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7"/>
  <workbookPr/>
  <mc:AlternateContent xmlns:mc="http://schemas.openxmlformats.org/markup-compatibility/2006">
    <mc:Choice Requires="x15">
      <x15ac:absPath xmlns:x15ac="http://schemas.microsoft.com/office/spreadsheetml/2010/11/ac" url="/Users/aaggarwal/Library/Containers/com.microsoft.Excel/Data/state-eps-data-repository/NM/indst/BIFUbC/"/>
    </mc:Choice>
  </mc:AlternateContent>
  <xr:revisionPtr revIDLastSave="0" documentId="13_ncr:1_{19E5D10E-47FE-0747-9DC5-159B6387D714}" xr6:coauthVersionLast="47" xr6:coauthVersionMax="47" xr10:uidLastSave="{00000000-0000-0000-0000-000000000000}"/>
  <bookViews>
    <workbookView xWindow="0" yWindow="500" windowWidth="28800" windowHeight="16020" firstSheet="1" activeTab="8" xr2:uid="{00000000-000D-0000-FFFF-FFFF00000000}"/>
  </bookViews>
  <sheets>
    <sheet name="About" sheetId="1" r:id="rId1"/>
    <sheet name="E3 Oil + Gas Ext vs. Refi" sheetId="2" r:id="rId2"/>
    <sheet name="E3 BIFUbC-natural-gas" sheetId="3" r:id="rId3"/>
    <sheet name="Calibration Multiplier" sheetId="15" r:id="rId4"/>
    <sheet name="BIFUbC-natural-gas-script" sheetId="16" r:id="rId5"/>
    <sheet name="E3 BIFUbC-heavy-residual-oil" sheetId="4" r:id="rId6"/>
    <sheet name="BIFUbC-electricity" sheetId="5" r:id="rId7"/>
    <sheet name="BIFUbC-coal" sheetId="6" r:id="rId8"/>
    <sheet name="BIFUbC-natural-gas" sheetId="7" r:id="rId9"/>
    <sheet name="BIFUbC-biomass" sheetId="8" r:id="rId10"/>
    <sheet name="BIFUbC-petroleum-diesel" sheetId="9" r:id="rId11"/>
    <sheet name="BIFUbC-heat" sheetId="10" r:id="rId12"/>
    <sheet name="BIFUbC-crude-oil" sheetId="11" r:id="rId13"/>
    <sheet name="BIFUbC-heavy-or-residual-oil" sheetId="12" r:id="rId14"/>
    <sheet name="BIFUbC-LPG-propane-or-butane" sheetId="13" r:id="rId15"/>
    <sheet name="BIFUbC-hydrogen" sheetId="14" r:id="rId16"/>
  </sheets>
  <definedNames>
    <definedName name="gal_per_barrel">About!$A$76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7" l="1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C25" i="7"/>
  <c r="D25" i="7"/>
  <c r="E25" i="7"/>
  <c r="F25" i="7"/>
  <c r="G25" i="7"/>
  <c r="G25" i="3" s="1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C24" i="7"/>
  <c r="D24" i="7"/>
  <c r="E24" i="7"/>
  <c r="F24" i="7"/>
  <c r="G24" i="7"/>
  <c r="H24" i="7"/>
  <c r="H24" i="3" s="1"/>
  <c r="I24" i="7"/>
  <c r="J24" i="7"/>
  <c r="K24" i="7"/>
  <c r="L24" i="7"/>
  <c r="M24" i="7"/>
  <c r="N24" i="7"/>
  <c r="O24" i="7"/>
  <c r="P24" i="7"/>
  <c r="P24" i="3" s="1"/>
  <c r="Q24" i="7"/>
  <c r="R24" i="7"/>
  <c r="S24" i="7"/>
  <c r="T24" i="7"/>
  <c r="U24" i="7"/>
  <c r="V24" i="7"/>
  <c r="W24" i="7"/>
  <c r="X24" i="7"/>
  <c r="X24" i="3" s="1"/>
  <c r="Y24" i="7"/>
  <c r="Z24" i="7"/>
  <c r="AA24" i="7"/>
  <c r="AB24" i="7"/>
  <c r="AC24" i="7"/>
  <c r="AD24" i="7"/>
  <c r="AE24" i="7"/>
  <c r="AF24" i="7"/>
  <c r="AF24" i="3" s="1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C22" i="7"/>
  <c r="D22" i="7"/>
  <c r="E22" i="7"/>
  <c r="F22" i="7"/>
  <c r="G22" i="7"/>
  <c r="H22" i="7"/>
  <c r="I22" i="7"/>
  <c r="I22" i="3" s="1"/>
  <c r="J22" i="7"/>
  <c r="K22" i="7"/>
  <c r="L22" i="7"/>
  <c r="M22" i="7"/>
  <c r="N22" i="7"/>
  <c r="O22" i="7"/>
  <c r="P22" i="7"/>
  <c r="P22" i="3" s="1"/>
  <c r="Q22" i="7"/>
  <c r="Q22" i="3" s="1"/>
  <c r="R22" i="7"/>
  <c r="S22" i="7"/>
  <c r="T22" i="7"/>
  <c r="U22" i="7"/>
  <c r="V22" i="7"/>
  <c r="W22" i="7"/>
  <c r="X22" i="7"/>
  <c r="X22" i="3" s="1"/>
  <c r="Y22" i="7"/>
  <c r="Y22" i="3" s="1"/>
  <c r="Z22" i="7"/>
  <c r="AA22" i="7"/>
  <c r="AB22" i="7"/>
  <c r="AC22" i="7"/>
  <c r="AD22" i="7"/>
  <c r="AE22" i="7"/>
  <c r="AF22" i="7"/>
  <c r="AF22" i="3" s="1"/>
  <c r="C21" i="7"/>
  <c r="D21" i="7"/>
  <c r="E21" i="7"/>
  <c r="F21" i="7"/>
  <c r="G21" i="7"/>
  <c r="G21" i="3" s="1"/>
  <c r="H21" i="7"/>
  <c r="I21" i="7"/>
  <c r="J21" i="7"/>
  <c r="K21" i="7"/>
  <c r="L21" i="7"/>
  <c r="M21" i="7"/>
  <c r="N21" i="7"/>
  <c r="O21" i="7"/>
  <c r="O21" i="3" s="1"/>
  <c r="P21" i="7"/>
  <c r="Q21" i="7"/>
  <c r="R21" i="7"/>
  <c r="S21" i="7"/>
  <c r="T21" i="7"/>
  <c r="U21" i="7"/>
  <c r="V21" i="7"/>
  <c r="W21" i="7"/>
  <c r="W21" i="3" s="1"/>
  <c r="X21" i="7"/>
  <c r="Y21" i="7"/>
  <c r="Z21" i="7"/>
  <c r="AA21" i="7"/>
  <c r="AB21" i="7"/>
  <c r="AC21" i="7"/>
  <c r="AD21" i="7"/>
  <c r="AE21" i="7"/>
  <c r="AE21" i="3" s="1"/>
  <c r="AF21" i="7"/>
  <c r="C20" i="7"/>
  <c r="D20" i="7"/>
  <c r="E20" i="7"/>
  <c r="F20" i="7"/>
  <c r="G20" i="7"/>
  <c r="H20" i="7"/>
  <c r="I20" i="7"/>
  <c r="J20" i="7"/>
  <c r="K20" i="7"/>
  <c r="L20" i="7"/>
  <c r="M20" i="7"/>
  <c r="N20" i="7"/>
  <c r="N20" i="3" s="1"/>
  <c r="O20" i="7"/>
  <c r="P20" i="7"/>
  <c r="Q20" i="7"/>
  <c r="R20" i="7"/>
  <c r="S20" i="7"/>
  <c r="T20" i="7"/>
  <c r="U20" i="7"/>
  <c r="V20" i="7"/>
  <c r="V20" i="3" s="1"/>
  <c r="W20" i="7"/>
  <c r="X20" i="7"/>
  <c r="Y20" i="7"/>
  <c r="Y20" i="3" s="1"/>
  <c r="Z20" i="7"/>
  <c r="AA20" i="7"/>
  <c r="AB20" i="7"/>
  <c r="AC20" i="7"/>
  <c r="AD20" i="7"/>
  <c r="AD20" i="3" s="1"/>
  <c r="AE20" i="7"/>
  <c r="AF20" i="7"/>
  <c r="C19" i="7"/>
  <c r="D19" i="7"/>
  <c r="E19" i="7"/>
  <c r="F19" i="7"/>
  <c r="G19" i="7"/>
  <c r="G19" i="3" s="1"/>
  <c r="H19" i="7"/>
  <c r="H19" i="3" s="1"/>
  <c r="I19" i="7"/>
  <c r="I19" i="3" s="1"/>
  <c r="J19" i="7"/>
  <c r="K19" i="7"/>
  <c r="L19" i="7"/>
  <c r="M19" i="7"/>
  <c r="N19" i="7"/>
  <c r="O19" i="7"/>
  <c r="O19" i="3" s="1"/>
  <c r="P19" i="7"/>
  <c r="P19" i="3" s="1"/>
  <c r="Q19" i="7"/>
  <c r="Q19" i="3" s="1"/>
  <c r="R19" i="7"/>
  <c r="S19" i="7"/>
  <c r="T19" i="7"/>
  <c r="U19" i="7"/>
  <c r="V19" i="7"/>
  <c r="W19" i="7"/>
  <c r="W19" i="3" s="1"/>
  <c r="X19" i="7"/>
  <c r="X19" i="3" s="1"/>
  <c r="Y19" i="7"/>
  <c r="Y19" i="3" s="1"/>
  <c r="Z19" i="7"/>
  <c r="AA19" i="7"/>
  <c r="AB19" i="7"/>
  <c r="AC19" i="7"/>
  <c r="AD19" i="7"/>
  <c r="AE19" i="7"/>
  <c r="AE19" i="3" s="1"/>
  <c r="AF19" i="7"/>
  <c r="AF19" i="3" s="1"/>
  <c r="C18" i="7"/>
  <c r="D18" i="7"/>
  <c r="E18" i="7"/>
  <c r="F18" i="7"/>
  <c r="G18" i="7"/>
  <c r="G18" i="3" s="1"/>
  <c r="H18" i="7"/>
  <c r="I18" i="7"/>
  <c r="J18" i="7"/>
  <c r="K18" i="7"/>
  <c r="L18" i="7"/>
  <c r="L18" i="3" s="1"/>
  <c r="M18" i="7"/>
  <c r="N18" i="7"/>
  <c r="O18" i="7"/>
  <c r="O18" i="3" s="1"/>
  <c r="P18" i="7"/>
  <c r="Q18" i="7"/>
  <c r="R18" i="7"/>
  <c r="S18" i="7"/>
  <c r="T18" i="7"/>
  <c r="T18" i="3" s="1"/>
  <c r="U18" i="7"/>
  <c r="V18" i="7"/>
  <c r="W18" i="7"/>
  <c r="W18" i="3" s="1"/>
  <c r="X18" i="7"/>
  <c r="Y18" i="7"/>
  <c r="Z18" i="7"/>
  <c r="AA18" i="7"/>
  <c r="AB18" i="7"/>
  <c r="AB18" i="3" s="1"/>
  <c r="AC18" i="7"/>
  <c r="AD18" i="7"/>
  <c r="AE18" i="7"/>
  <c r="AE18" i="3" s="1"/>
  <c r="AF18" i="7"/>
  <c r="C17" i="7"/>
  <c r="D17" i="7"/>
  <c r="E17" i="7"/>
  <c r="F17" i="7"/>
  <c r="G17" i="7"/>
  <c r="G17" i="3" s="1"/>
  <c r="H17" i="7"/>
  <c r="I17" i="7"/>
  <c r="I17" i="3" s="1"/>
  <c r="J17" i="7"/>
  <c r="K17" i="7"/>
  <c r="L17" i="7"/>
  <c r="M17" i="7"/>
  <c r="N17" i="7"/>
  <c r="O17" i="7"/>
  <c r="O17" i="3" s="1"/>
  <c r="P17" i="7"/>
  <c r="Q17" i="7"/>
  <c r="Q17" i="3" s="1"/>
  <c r="R17" i="7"/>
  <c r="S17" i="7"/>
  <c r="T17" i="7"/>
  <c r="U17" i="7"/>
  <c r="V17" i="7"/>
  <c r="W17" i="7"/>
  <c r="W17" i="3" s="1"/>
  <c r="X17" i="7"/>
  <c r="Y17" i="7"/>
  <c r="Y17" i="3" s="1"/>
  <c r="Z17" i="7"/>
  <c r="AA17" i="7"/>
  <c r="AB17" i="7"/>
  <c r="AC17" i="7"/>
  <c r="AD17" i="7"/>
  <c r="AE17" i="7"/>
  <c r="AE17" i="3" s="1"/>
  <c r="AF17" i="7"/>
  <c r="C16" i="7"/>
  <c r="D16" i="7"/>
  <c r="E16" i="7"/>
  <c r="F16" i="7"/>
  <c r="G16" i="7"/>
  <c r="G16" i="3" s="1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X16" i="3" s="1"/>
  <c r="Y16" i="7"/>
  <c r="Z16" i="7"/>
  <c r="AA16" i="7"/>
  <c r="AB16" i="7"/>
  <c r="AC16" i="7"/>
  <c r="AD16" i="7"/>
  <c r="AE16" i="7"/>
  <c r="AF16" i="7"/>
  <c r="AF16" i="3" s="1"/>
  <c r="C15" i="7"/>
  <c r="D15" i="7"/>
  <c r="E15" i="7"/>
  <c r="E15" i="3" s="1"/>
  <c r="F15" i="7"/>
  <c r="F15" i="3" s="1"/>
  <c r="G15" i="7"/>
  <c r="G15" i="3" s="1"/>
  <c r="H15" i="7"/>
  <c r="I15" i="7"/>
  <c r="J15" i="7"/>
  <c r="K15" i="7"/>
  <c r="L15" i="7"/>
  <c r="M15" i="7"/>
  <c r="M15" i="3" s="1"/>
  <c r="N15" i="7"/>
  <c r="N15" i="3" s="1"/>
  <c r="O15" i="7"/>
  <c r="O15" i="3" s="1"/>
  <c r="P15" i="7"/>
  <c r="Q15" i="7"/>
  <c r="R15" i="7"/>
  <c r="S15" i="7"/>
  <c r="T15" i="7"/>
  <c r="U15" i="7"/>
  <c r="U15" i="3" s="1"/>
  <c r="V15" i="7"/>
  <c r="V15" i="3" s="1"/>
  <c r="W15" i="7"/>
  <c r="W15" i="3" s="1"/>
  <c r="X15" i="7"/>
  <c r="Y15" i="7"/>
  <c r="Z15" i="7"/>
  <c r="AA15" i="7"/>
  <c r="AB15" i="7"/>
  <c r="AC15" i="7"/>
  <c r="AC15" i="3" s="1"/>
  <c r="AD15" i="7"/>
  <c r="AD15" i="3" s="1"/>
  <c r="AE15" i="7"/>
  <c r="AE15" i="3" s="1"/>
  <c r="AF15" i="7"/>
  <c r="C14" i="7"/>
  <c r="D14" i="7"/>
  <c r="E14" i="7"/>
  <c r="F14" i="7"/>
  <c r="G14" i="7"/>
  <c r="H14" i="7"/>
  <c r="H14" i="3" s="1"/>
  <c r="I14" i="7"/>
  <c r="J14" i="7"/>
  <c r="K14" i="7"/>
  <c r="L14" i="7"/>
  <c r="M14" i="7"/>
  <c r="N14" i="7"/>
  <c r="O14" i="7"/>
  <c r="P14" i="7"/>
  <c r="P14" i="3" s="1"/>
  <c r="Q14" i="7"/>
  <c r="R14" i="7"/>
  <c r="S14" i="7"/>
  <c r="T14" i="7"/>
  <c r="U14" i="7"/>
  <c r="V14" i="7"/>
  <c r="W14" i="7"/>
  <c r="X14" i="7"/>
  <c r="X14" i="3" s="1"/>
  <c r="Y14" i="7"/>
  <c r="Z14" i="7"/>
  <c r="AA14" i="7"/>
  <c r="AB14" i="7"/>
  <c r="AC14" i="7"/>
  <c r="AD14" i="7"/>
  <c r="AE14" i="7"/>
  <c r="AF14" i="7"/>
  <c r="AF14" i="3" s="1"/>
  <c r="C13" i="7"/>
  <c r="D13" i="7"/>
  <c r="E13" i="7"/>
  <c r="F13" i="7"/>
  <c r="G13" i="7"/>
  <c r="H13" i="7"/>
  <c r="H13" i="3" s="1"/>
  <c r="I13" i="7"/>
  <c r="J13" i="7"/>
  <c r="K13" i="7"/>
  <c r="L13" i="7"/>
  <c r="M13" i="7"/>
  <c r="N13" i="7"/>
  <c r="O13" i="7"/>
  <c r="P13" i="7"/>
  <c r="P13" i="3" s="1"/>
  <c r="Q13" i="7"/>
  <c r="R13" i="7"/>
  <c r="S13" i="7"/>
  <c r="T13" i="7"/>
  <c r="U13" i="7"/>
  <c r="V13" i="7"/>
  <c r="W13" i="7"/>
  <c r="X13" i="7"/>
  <c r="X13" i="3" s="1"/>
  <c r="Y13" i="7"/>
  <c r="Z13" i="7"/>
  <c r="AA13" i="7"/>
  <c r="AB13" i="7"/>
  <c r="AC13" i="7"/>
  <c r="AD13" i="7"/>
  <c r="AE13" i="7"/>
  <c r="AE13" i="3" s="1"/>
  <c r="AF13" i="7"/>
  <c r="AF13" i="3" s="1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D11" i="7"/>
  <c r="E11" i="7"/>
  <c r="F11" i="7"/>
  <c r="G11" i="7"/>
  <c r="H11" i="7"/>
  <c r="I11" i="7"/>
  <c r="I11" i="3" s="1"/>
  <c r="J11" i="7"/>
  <c r="J11" i="3" s="1"/>
  <c r="K11" i="7"/>
  <c r="L11" i="7"/>
  <c r="M11" i="7"/>
  <c r="N11" i="7"/>
  <c r="O11" i="7"/>
  <c r="P11" i="7"/>
  <c r="Q11" i="7"/>
  <c r="Q11" i="3" s="1"/>
  <c r="R11" i="7"/>
  <c r="R11" i="3" s="1"/>
  <c r="S11" i="7"/>
  <c r="T11" i="7"/>
  <c r="U11" i="7"/>
  <c r="V11" i="7"/>
  <c r="W11" i="7"/>
  <c r="X11" i="7"/>
  <c r="Y11" i="7"/>
  <c r="Y11" i="3" s="1"/>
  <c r="Z11" i="7"/>
  <c r="Z11" i="3" s="1"/>
  <c r="AA11" i="7"/>
  <c r="AB11" i="7"/>
  <c r="AC11" i="7"/>
  <c r="AD11" i="7"/>
  <c r="AE11" i="7"/>
  <c r="AF11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D9" i="7"/>
  <c r="E9" i="7"/>
  <c r="F9" i="7"/>
  <c r="G9" i="7"/>
  <c r="H9" i="7"/>
  <c r="I9" i="7"/>
  <c r="I9" i="3" s="1"/>
  <c r="J9" i="7"/>
  <c r="K9" i="7"/>
  <c r="L9" i="7"/>
  <c r="M9" i="7"/>
  <c r="N9" i="7"/>
  <c r="O9" i="7"/>
  <c r="P9" i="7"/>
  <c r="Q9" i="7"/>
  <c r="Q9" i="3" s="1"/>
  <c r="R9" i="7"/>
  <c r="R9" i="3" s="1"/>
  <c r="S9" i="7"/>
  <c r="S9" i="3" s="1"/>
  <c r="T9" i="7"/>
  <c r="U9" i="7"/>
  <c r="V9" i="7"/>
  <c r="W9" i="7"/>
  <c r="X9" i="7"/>
  <c r="Y9" i="7"/>
  <c r="Z9" i="7"/>
  <c r="Z9" i="3" s="1"/>
  <c r="AA9" i="7"/>
  <c r="AA9" i="3" s="1"/>
  <c r="AB9" i="7"/>
  <c r="AC9" i="7"/>
  <c r="AD9" i="7"/>
  <c r="AE9" i="7"/>
  <c r="AF9" i="7"/>
  <c r="L9" i="3"/>
  <c r="M9" i="3"/>
  <c r="T9" i="3"/>
  <c r="U9" i="3"/>
  <c r="AB9" i="3"/>
  <c r="AC9" i="3"/>
  <c r="F8" i="7"/>
  <c r="E9" i="3"/>
  <c r="E14" i="3"/>
  <c r="E17" i="3"/>
  <c r="E24" i="3"/>
  <c r="D8" i="7"/>
  <c r="E8" i="7"/>
  <c r="G8" i="7"/>
  <c r="H8" i="7"/>
  <c r="I8" i="7"/>
  <c r="J8" i="7"/>
  <c r="K8" i="7"/>
  <c r="K8" i="3" s="1"/>
  <c r="L8" i="7"/>
  <c r="M8" i="7"/>
  <c r="N8" i="7"/>
  <c r="O8" i="7"/>
  <c r="O8" i="3" s="1"/>
  <c r="P8" i="7"/>
  <c r="P8" i="3" s="1"/>
  <c r="Q8" i="7"/>
  <c r="R8" i="7"/>
  <c r="S8" i="7"/>
  <c r="S8" i="3" s="1"/>
  <c r="T8" i="7"/>
  <c r="U8" i="7"/>
  <c r="V8" i="7"/>
  <c r="W8" i="7"/>
  <c r="W8" i="3" s="1"/>
  <c r="X8" i="7"/>
  <c r="X8" i="3" s="1"/>
  <c r="Y8" i="7"/>
  <c r="Z8" i="7"/>
  <c r="AA8" i="7"/>
  <c r="AA8" i="3" s="1"/>
  <c r="AB8" i="7"/>
  <c r="AC8" i="7"/>
  <c r="AD8" i="7"/>
  <c r="AE8" i="7"/>
  <c r="AE8" i="3" s="1"/>
  <c r="AF8" i="7"/>
  <c r="AF8" i="3" s="1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G3" i="7"/>
  <c r="H3" i="7"/>
  <c r="I3" i="7"/>
  <c r="J3" i="7"/>
  <c r="K3" i="7"/>
  <c r="K3" i="3" s="1"/>
  <c r="L3" i="7"/>
  <c r="L3" i="3" s="1"/>
  <c r="M3" i="7"/>
  <c r="N3" i="7"/>
  <c r="O3" i="7"/>
  <c r="P3" i="7"/>
  <c r="Q3" i="7"/>
  <c r="R3" i="7"/>
  <c r="S3" i="7"/>
  <c r="S3" i="3" s="1"/>
  <c r="T3" i="7"/>
  <c r="T3" i="3" s="1"/>
  <c r="U3" i="7"/>
  <c r="V3" i="7"/>
  <c r="W3" i="7"/>
  <c r="X3" i="7"/>
  <c r="Y3" i="7"/>
  <c r="Z3" i="7"/>
  <c r="Z3" i="3" s="1"/>
  <c r="AA3" i="7"/>
  <c r="AA3" i="3" s="1"/>
  <c r="AB3" i="7"/>
  <c r="AB3" i="3" s="1"/>
  <c r="AC3" i="7"/>
  <c r="AD3" i="7"/>
  <c r="AE3" i="7"/>
  <c r="AF3" i="7"/>
  <c r="G5" i="3"/>
  <c r="G8" i="3"/>
  <c r="G9" i="3"/>
  <c r="G13" i="3"/>
  <c r="G20" i="3"/>
  <c r="F3" i="7"/>
  <c r="F8" i="3"/>
  <c r="F9" i="3"/>
  <c r="F18" i="3"/>
  <c r="F26" i="3"/>
  <c r="E3" i="7"/>
  <c r="E3" i="3" s="1"/>
  <c r="E4" i="7"/>
  <c r="E6" i="3"/>
  <c r="E19" i="3"/>
  <c r="E22" i="3"/>
  <c r="D3" i="7"/>
  <c r="D4" i="7"/>
  <c r="D5" i="7"/>
  <c r="D6" i="7"/>
  <c r="D7" i="7"/>
  <c r="D8" i="3"/>
  <c r="D14" i="3"/>
  <c r="D15" i="3"/>
  <c r="D24" i="3"/>
  <c r="C3" i="7"/>
  <c r="C4" i="7"/>
  <c r="C5" i="7"/>
  <c r="C6" i="7"/>
  <c r="C7" i="7"/>
  <c r="C8" i="7"/>
  <c r="C8" i="3" s="1"/>
  <c r="C9" i="7"/>
  <c r="C9" i="3" s="1"/>
  <c r="C10" i="7"/>
  <c r="C5" i="2" s="1"/>
  <c r="C68" i="2" s="1"/>
  <c r="C11" i="7"/>
  <c r="C16" i="3"/>
  <c r="C17" i="3"/>
  <c r="C18" i="3"/>
  <c r="C23" i="3"/>
  <c r="C24" i="3"/>
  <c r="C26" i="3"/>
  <c r="C2" i="7"/>
  <c r="D2" i="7"/>
  <c r="E2" i="7"/>
  <c r="F2" i="7"/>
  <c r="G2" i="7"/>
  <c r="H2" i="7"/>
  <c r="I2" i="7"/>
  <c r="I2" i="3" s="1"/>
  <c r="J2" i="7"/>
  <c r="K2" i="7"/>
  <c r="L2" i="7"/>
  <c r="M2" i="7"/>
  <c r="N2" i="7"/>
  <c r="O2" i="7"/>
  <c r="P2" i="7"/>
  <c r="Q2" i="7"/>
  <c r="Q2" i="3" s="1"/>
  <c r="R2" i="7"/>
  <c r="S2" i="7"/>
  <c r="T2" i="7"/>
  <c r="U2" i="7"/>
  <c r="V2" i="7"/>
  <c r="W2" i="7"/>
  <c r="X2" i="7"/>
  <c r="Y2" i="7"/>
  <c r="Y2" i="3" s="1"/>
  <c r="Z2" i="7"/>
  <c r="Z2" i="3" s="1"/>
  <c r="AA2" i="7"/>
  <c r="AB2" i="7"/>
  <c r="AC2" i="7"/>
  <c r="AD2" i="7"/>
  <c r="AE2" i="7"/>
  <c r="AF2" i="7"/>
  <c r="B3" i="7"/>
  <c r="B4" i="7"/>
  <c r="B5" i="7"/>
  <c r="B6" i="7"/>
  <c r="B7" i="7"/>
  <c r="B8" i="7"/>
  <c r="B8" i="3" s="1"/>
  <c r="B9" i="7"/>
  <c r="B9" i="3" s="1"/>
  <c r="B10" i="7"/>
  <c r="B11" i="7"/>
  <c r="B12" i="7"/>
  <c r="B13" i="7"/>
  <c r="B14" i="7"/>
  <c r="B15" i="7"/>
  <c r="B16" i="7"/>
  <c r="B16" i="3" s="1"/>
  <c r="B17" i="7"/>
  <c r="B17" i="3" s="1"/>
  <c r="B18" i="7"/>
  <c r="B19" i="7"/>
  <c r="B20" i="7"/>
  <c r="B21" i="7"/>
  <c r="B22" i="7"/>
  <c r="B23" i="7"/>
  <c r="B24" i="7"/>
  <c r="B24" i="3" s="1"/>
  <c r="B25" i="7"/>
  <c r="B25" i="3" s="1"/>
  <c r="B26" i="7"/>
  <c r="B2" i="7"/>
  <c r="B2" i="15"/>
  <c r="AF26" i="4"/>
  <c r="AE26" i="4"/>
  <c r="AD26" i="4"/>
  <c r="AC26" i="4"/>
  <c r="AB26" i="4"/>
  <c r="AA26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AF25" i="4"/>
  <c r="AE25" i="4"/>
  <c r="AD25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B25" i="4"/>
  <c r="AF24" i="4"/>
  <c r="AE24" i="4"/>
  <c r="AD24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F23" i="4"/>
  <c r="AE23" i="4"/>
  <c r="AD23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F22" i="4"/>
  <c r="AE22" i="4"/>
  <c r="AD22" i="4"/>
  <c r="AC22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AF21" i="4"/>
  <c r="AE21" i="4"/>
  <c r="AD21" i="4"/>
  <c r="AC21" i="4"/>
  <c r="AB21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AF20" i="4"/>
  <c r="AE20" i="4"/>
  <c r="AD20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AF19" i="4"/>
  <c r="AE19" i="4"/>
  <c r="AD19" i="4"/>
  <c r="AC19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F17" i="4"/>
  <c r="AE17" i="4"/>
  <c r="AD17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F16" i="4"/>
  <c r="AE16" i="4"/>
  <c r="AD16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AF15" i="4"/>
  <c r="AE15" i="4"/>
  <c r="AD15" i="4"/>
  <c r="AC15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AF14" i="4"/>
  <c r="AE14" i="4"/>
  <c r="AD14" i="4"/>
  <c r="AC14" i="4"/>
  <c r="AB14" i="4"/>
  <c r="AA14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F13" i="4"/>
  <c r="AE13" i="4"/>
  <c r="AD13" i="4"/>
  <c r="AC13" i="4"/>
  <c r="AB13" i="4"/>
  <c r="AA13" i="4"/>
  <c r="Z13" i="4"/>
  <c r="Y13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F12" i="4"/>
  <c r="AE12" i="4"/>
  <c r="AD12" i="4"/>
  <c r="AC12" i="4"/>
  <c r="AB12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F11" i="4"/>
  <c r="AE11" i="4"/>
  <c r="AD11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B8" i="4"/>
  <c r="AF7" i="4"/>
  <c r="AE7" i="4"/>
  <c r="AD7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F6" i="4"/>
  <c r="AE6" i="4"/>
  <c r="AD6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F5" i="4"/>
  <c r="AE5" i="4"/>
  <c r="AD5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F2" i="4"/>
  <c r="AE2" i="4"/>
  <c r="AD2" i="4"/>
  <c r="AC2" i="4"/>
  <c r="AB2" i="4"/>
  <c r="AA2" i="4"/>
  <c r="Z2" i="4"/>
  <c r="Y2" i="4"/>
  <c r="X2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E26" i="3"/>
  <c r="D26" i="3"/>
  <c r="B26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F25" i="3"/>
  <c r="E25" i="3"/>
  <c r="D25" i="3"/>
  <c r="C25" i="3"/>
  <c r="AE24" i="3"/>
  <c r="AD24" i="3"/>
  <c r="AC24" i="3"/>
  <c r="AB24" i="3"/>
  <c r="AA24" i="3"/>
  <c r="Z24" i="3"/>
  <c r="Y24" i="3"/>
  <c r="W24" i="3"/>
  <c r="V24" i="3"/>
  <c r="U24" i="3"/>
  <c r="T24" i="3"/>
  <c r="S24" i="3"/>
  <c r="R24" i="3"/>
  <c r="Q24" i="3"/>
  <c r="O24" i="3"/>
  <c r="N24" i="3"/>
  <c r="M24" i="3"/>
  <c r="L24" i="3"/>
  <c r="K24" i="3"/>
  <c r="J24" i="3"/>
  <c r="I24" i="3"/>
  <c r="G24" i="3"/>
  <c r="F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B23" i="3"/>
  <c r="AE22" i="3"/>
  <c r="AD22" i="3"/>
  <c r="AC22" i="3"/>
  <c r="AB22" i="3"/>
  <c r="AA22" i="3"/>
  <c r="Z22" i="3"/>
  <c r="W22" i="3"/>
  <c r="V22" i="3"/>
  <c r="U22" i="3"/>
  <c r="T22" i="3"/>
  <c r="S22" i="3"/>
  <c r="R22" i="3"/>
  <c r="O22" i="3"/>
  <c r="N22" i="3"/>
  <c r="M22" i="3"/>
  <c r="L22" i="3"/>
  <c r="K22" i="3"/>
  <c r="J22" i="3"/>
  <c r="H22" i="3"/>
  <c r="G22" i="3"/>
  <c r="F22" i="3"/>
  <c r="D22" i="3"/>
  <c r="C22" i="3"/>
  <c r="B22" i="3"/>
  <c r="AF21" i="3"/>
  <c r="AD21" i="3"/>
  <c r="AC21" i="3"/>
  <c r="AB21" i="3"/>
  <c r="AA21" i="3"/>
  <c r="Z21" i="3"/>
  <c r="Y21" i="3"/>
  <c r="X21" i="3"/>
  <c r="V21" i="3"/>
  <c r="U21" i="3"/>
  <c r="T21" i="3"/>
  <c r="S21" i="3"/>
  <c r="R21" i="3"/>
  <c r="Q21" i="3"/>
  <c r="P21" i="3"/>
  <c r="N21" i="3"/>
  <c r="M21" i="3"/>
  <c r="L21" i="3"/>
  <c r="K21" i="3"/>
  <c r="J21" i="3"/>
  <c r="I21" i="3"/>
  <c r="H21" i="3"/>
  <c r="F21" i="3"/>
  <c r="E21" i="3"/>
  <c r="D21" i="3"/>
  <c r="C21" i="3"/>
  <c r="B21" i="3"/>
  <c r="AF20" i="3"/>
  <c r="AE20" i="3"/>
  <c r="AC20" i="3"/>
  <c r="AB20" i="3"/>
  <c r="AA20" i="3"/>
  <c r="Z20" i="3"/>
  <c r="X20" i="3"/>
  <c r="W20" i="3"/>
  <c r="U20" i="3"/>
  <c r="T20" i="3"/>
  <c r="S20" i="3"/>
  <c r="R20" i="3"/>
  <c r="Q20" i="3"/>
  <c r="P20" i="3"/>
  <c r="O20" i="3"/>
  <c r="M20" i="3"/>
  <c r="L20" i="3"/>
  <c r="K20" i="3"/>
  <c r="J20" i="3"/>
  <c r="I20" i="3"/>
  <c r="H20" i="3"/>
  <c r="F20" i="3"/>
  <c r="E20" i="3"/>
  <c r="D20" i="3"/>
  <c r="C20" i="3"/>
  <c r="B20" i="3"/>
  <c r="AD19" i="3"/>
  <c r="AC19" i="3"/>
  <c r="AB19" i="3"/>
  <c r="AA19" i="3"/>
  <c r="Z19" i="3"/>
  <c r="V19" i="3"/>
  <c r="U19" i="3"/>
  <c r="T19" i="3"/>
  <c r="S19" i="3"/>
  <c r="R19" i="3"/>
  <c r="N19" i="3"/>
  <c r="M19" i="3"/>
  <c r="L19" i="3"/>
  <c r="K19" i="3"/>
  <c r="J19" i="3"/>
  <c r="F19" i="3"/>
  <c r="D19" i="3"/>
  <c r="C19" i="3"/>
  <c r="B19" i="3"/>
  <c r="AF18" i="3"/>
  <c r="AD18" i="3"/>
  <c r="AC18" i="3"/>
  <c r="AA18" i="3"/>
  <c r="Z18" i="3"/>
  <c r="Y18" i="3"/>
  <c r="X18" i="3"/>
  <c r="V18" i="3"/>
  <c r="U18" i="3"/>
  <c r="S18" i="3"/>
  <c r="R18" i="3"/>
  <c r="Q18" i="3"/>
  <c r="P18" i="3"/>
  <c r="N18" i="3"/>
  <c r="M18" i="3"/>
  <c r="K18" i="3"/>
  <c r="J18" i="3"/>
  <c r="I18" i="3"/>
  <c r="H18" i="3"/>
  <c r="E18" i="3"/>
  <c r="D18" i="3"/>
  <c r="B18" i="3"/>
  <c r="AF17" i="3"/>
  <c r="AD17" i="3"/>
  <c r="AC17" i="3"/>
  <c r="AB17" i="3"/>
  <c r="AA17" i="3"/>
  <c r="Z17" i="3"/>
  <c r="X17" i="3"/>
  <c r="V17" i="3"/>
  <c r="U17" i="3"/>
  <c r="T17" i="3"/>
  <c r="S17" i="3"/>
  <c r="R17" i="3"/>
  <c r="P17" i="3"/>
  <c r="N17" i="3"/>
  <c r="M17" i="3"/>
  <c r="L17" i="3"/>
  <c r="K17" i="3"/>
  <c r="J17" i="3"/>
  <c r="H17" i="3"/>
  <c r="F17" i="3"/>
  <c r="D17" i="3"/>
  <c r="AE16" i="3"/>
  <c r="AD16" i="3"/>
  <c r="AC16" i="3"/>
  <c r="AB16" i="3"/>
  <c r="AA16" i="3"/>
  <c r="Z16" i="3"/>
  <c r="Y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F16" i="3"/>
  <c r="E16" i="3"/>
  <c r="D16" i="3"/>
  <c r="AF15" i="3"/>
  <c r="AB15" i="3"/>
  <c r="AA15" i="3"/>
  <c r="Z15" i="3"/>
  <c r="Y15" i="3"/>
  <c r="X15" i="3"/>
  <c r="T15" i="3"/>
  <c r="S15" i="3"/>
  <c r="R15" i="3"/>
  <c r="Q15" i="3"/>
  <c r="P15" i="3"/>
  <c r="L15" i="3"/>
  <c r="K15" i="3"/>
  <c r="J15" i="3"/>
  <c r="I15" i="3"/>
  <c r="H15" i="3"/>
  <c r="C15" i="3"/>
  <c r="B15" i="3"/>
  <c r="AE14" i="3"/>
  <c r="AD14" i="3"/>
  <c r="AC14" i="3"/>
  <c r="AB14" i="3"/>
  <c r="AA14" i="3"/>
  <c r="Z14" i="3"/>
  <c r="Y14" i="3"/>
  <c r="W14" i="3"/>
  <c r="V14" i="3"/>
  <c r="U14" i="3"/>
  <c r="T14" i="3"/>
  <c r="S14" i="3"/>
  <c r="R14" i="3"/>
  <c r="Q14" i="3"/>
  <c r="O14" i="3"/>
  <c r="N14" i="3"/>
  <c r="M14" i="3"/>
  <c r="L14" i="3"/>
  <c r="K14" i="3"/>
  <c r="J14" i="3"/>
  <c r="I14" i="3"/>
  <c r="G14" i="3"/>
  <c r="F14" i="3"/>
  <c r="C14" i="3"/>
  <c r="B14" i="3"/>
  <c r="AD13" i="3"/>
  <c r="AC13" i="3"/>
  <c r="AB13" i="3"/>
  <c r="AA13" i="3"/>
  <c r="Z13" i="3"/>
  <c r="Y13" i="3"/>
  <c r="W13" i="3"/>
  <c r="V13" i="3"/>
  <c r="U13" i="3"/>
  <c r="T13" i="3"/>
  <c r="S13" i="3"/>
  <c r="R13" i="3"/>
  <c r="Q13" i="3"/>
  <c r="O13" i="3"/>
  <c r="N13" i="3"/>
  <c r="M13" i="3"/>
  <c r="L13" i="3"/>
  <c r="K13" i="3"/>
  <c r="J13" i="3"/>
  <c r="I13" i="3"/>
  <c r="F13" i="3"/>
  <c r="E13" i="3"/>
  <c r="D13" i="3"/>
  <c r="C13" i="3"/>
  <c r="B13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F11" i="3"/>
  <c r="AE11" i="3"/>
  <c r="AD11" i="3"/>
  <c r="AC11" i="3"/>
  <c r="AB11" i="3"/>
  <c r="AA11" i="3"/>
  <c r="X11" i="3"/>
  <c r="W11" i="3"/>
  <c r="V11" i="3"/>
  <c r="U11" i="3"/>
  <c r="T11" i="3"/>
  <c r="S11" i="3"/>
  <c r="P11" i="3"/>
  <c r="O11" i="3"/>
  <c r="N11" i="3"/>
  <c r="M11" i="3"/>
  <c r="L11" i="3"/>
  <c r="K11" i="3"/>
  <c r="H11" i="3"/>
  <c r="G11" i="3"/>
  <c r="F11" i="3"/>
  <c r="E11" i="3"/>
  <c r="D11" i="3"/>
  <c r="C11" i="3"/>
  <c r="B11" i="3"/>
  <c r="AF9" i="3"/>
  <c r="AE9" i="3"/>
  <c r="AD9" i="3"/>
  <c r="Y9" i="3"/>
  <c r="X9" i="3"/>
  <c r="W9" i="3"/>
  <c r="V9" i="3"/>
  <c r="P9" i="3"/>
  <c r="O9" i="3"/>
  <c r="N9" i="3"/>
  <c r="K9" i="3"/>
  <c r="J9" i="3"/>
  <c r="H9" i="3"/>
  <c r="D9" i="3"/>
  <c r="AD8" i="3"/>
  <c r="AC8" i="3"/>
  <c r="AB8" i="3"/>
  <c r="Z8" i="3"/>
  <c r="Y8" i="3"/>
  <c r="V8" i="3"/>
  <c r="U8" i="3"/>
  <c r="T8" i="3"/>
  <c r="R8" i="3"/>
  <c r="Q8" i="3"/>
  <c r="N8" i="3"/>
  <c r="M8" i="3"/>
  <c r="L8" i="3"/>
  <c r="J8" i="3"/>
  <c r="I8" i="3"/>
  <c r="H8" i="3"/>
  <c r="E8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D6" i="3"/>
  <c r="C6" i="3"/>
  <c r="B6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F5" i="3"/>
  <c r="E5" i="3"/>
  <c r="D5" i="3"/>
  <c r="C5" i="3"/>
  <c r="B5" i="3"/>
  <c r="AF3" i="3"/>
  <c r="AE3" i="3"/>
  <c r="AD3" i="3"/>
  <c r="AC3" i="3"/>
  <c r="Y3" i="3"/>
  <c r="X3" i="3"/>
  <c r="W3" i="3"/>
  <c r="V3" i="3"/>
  <c r="U3" i="3"/>
  <c r="R3" i="3"/>
  <c r="Q3" i="3"/>
  <c r="P3" i="3"/>
  <c r="O3" i="3"/>
  <c r="N3" i="3"/>
  <c r="M3" i="3"/>
  <c r="J3" i="3"/>
  <c r="I3" i="3"/>
  <c r="H3" i="3"/>
  <c r="G3" i="3"/>
  <c r="F3" i="3"/>
  <c r="D3" i="3"/>
  <c r="C3" i="3"/>
  <c r="B3" i="3"/>
  <c r="AF2" i="3"/>
  <c r="AE2" i="3"/>
  <c r="AD2" i="3"/>
  <c r="AC2" i="3"/>
  <c r="AB2" i="3"/>
  <c r="AA2" i="3"/>
  <c r="X2" i="3"/>
  <c r="W2" i="3"/>
  <c r="V2" i="3"/>
  <c r="U2" i="3"/>
  <c r="T2" i="3"/>
  <c r="S2" i="3"/>
  <c r="R2" i="3"/>
  <c r="P2" i="3"/>
  <c r="O2" i="3"/>
  <c r="N2" i="3"/>
  <c r="M2" i="3"/>
  <c r="L2" i="3"/>
  <c r="K2" i="3"/>
  <c r="J2" i="3"/>
  <c r="H2" i="3"/>
  <c r="G2" i="3"/>
  <c r="F2" i="3"/>
  <c r="E2" i="3"/>
  <c r="D2" i="3"/>
  <c r="C2" i="3"/>
  <c r="B2" i="3"/>
  <c r="F79" i="2"/>
  <c r="F10" i="3" s="1"/>
  <c r="AC78" i="2"/>
  <c r="AC4" i="3" s="1"/>
  <c r="AB73" i="2"/>
  <c r="T73" i="2"/>
  <c r="L73" i="2"/>
  <c r="D73" i="2"/>
  <c r="AA72" i="2"/>
  <c r="S72" i="2"/>
  <c r="K72" i="2"/>
  <c r="C72" i="2"/>
  <c r="B69" i="2"/>
  <c r="AF10" i="2"/>
  <c r="AF73" i="2" s="1"/>
  <c r="AE10" i="2"/>
  <c r="AE73" i="2" s="1"/>
  <c r="AD10" i="2"/>
  <c r="AD73" i="2" s="1"/>
  <c r="AC10" i="2"/>
  <c r="AC73" i="2" s="1"/>
  <c r="AB10" i="2"/>
  <c r="AA10" i="2"/>
  <c r="AA73" i="2" s="1"/>
  <c r="Z10" i="2"/>
  <c r="Z73" i="2" s="1"/>
  <c r="Y10" i="2"/>
  <c r="Y73" i="2" s="1"/>
  <c r="X10" i="2"/>
  <c r="X73" i="2" s="1"/>
  <c r="W10" i="2"/>
  <c r="W73" i="2" s="1"/>
  <c r="V10" i="2"/>
  <c r="V73" i="2" s="1"/>
  <c r="U10" i="2"/>
  <c r="U73" i="2" s="1"/>
  <c r="T10" i="2"/>
  <c r="S10" i="2"/>
  <c r="S73" i="2" s="1"/>
  <c r="R10" i="2"/>
  <c r="R73" i="2" s="1"/>
  <c r="Q10" i="2"/>
  <c r="Q73" i="2" s="1"/>
  <c r="P10" i="2"/>
  <c r="P73" i="2" s="1"/>
  <c r="O10" i="2"/>
  <c r="O73" i="2" s="1"/>
  <c r="N10" i="2"/>
  <c r="N73" i="2" s="1"/>
  <c r="M10" i="2"/>
  <c r="M73" i="2" s="1"/>
  <c r="L10" i="2"/>
  <c r="K10" i="2"/>
  <c r="K73" i="2" s="1"/>
  <c r="J10" i="2"/>
  <c r="J73" i="2" s="1"/>
  <c r="I10" i="2"/>
  <c r="I73" i="2" s="1"/>
  <c r="H10" i="2"/>
  <c r="H73" i="2" s="1"/>
  <c r="G10" i="2"/>
  <c r="G73" i="2" s="1"/>
  <c r="F10" i="2"/>
  <c r="F73" i="2" s="1"/>
  <c r="E10" i="2"/>
  <c r="E73" i="2" s="1"/>
  <c r="D10" i="2"/>
  <c r="C10" i="2"/>
  <c r="C73" i="2" s="1"/>
  <c r="B10" i="2"/>
  <c r="AF9" i="2"/>
  <c r="AF72" i="2" s="1"/>
  <c r="AE9" i="2"/>
  <c r="AE72" i="2" s="1"/>
  <c r="AD9" i="2"/>
  <c r="AD72" i="2" s="1"/>
  <c r="AC9" i="2"/>
  <c r="AC72" i="2" s="1"/>
  <c r="AB9" i="2"/>
  <c r="AB72" i="2" s="1"/>
  <c r="AA9" i="2"/>
  <c r="Z9" i="2"/>
  <c r="Z72" i="2" s="1"/>
  <c r="Y9" i="2"/>
  <c r="Y72" i="2" s="1"/>
  <c r="X9" i="2"/>
  <c r="X72" i="2" s="1"/>
  <c r="W9" i="2"/>
  <c r="W72" i="2" s="1"/>
  <c r="V9" i="2"/>
  <c r="V72" i="2" s="1"/>
  <c r="U9" i="2"/>
  <c r="U72" i="2" s="1"/>
  <c r="T9" i="2"/>
  <c r="T72" i="2" s="1"/>
  <c r="S9" i="2"/>
  <c r="R9" i="2"/>
  <c r="R72" i="2" s="1"/>
  <c r="Q9" i="2"/>
  <c r="Q72" i="2" s="1"/>
  <c r="P9" i="2"/>
  <c r="P72" i="2" s="1"/>
  <c r="O9" i="2"/>
  <c r="O72" i="2" s="1"/>
  <c r="N9" i="2"/>
  <c r="N72" i="2" s="1"/>
  <c r="M9" i="2"/>
  <c r="M72" i="2" s="1"/>
  <c r="L9" i="2"/>
  <c r="L72" i="2" s="1"/>
  <c r="K9" i="2"/>
  <c r="J9" i="2"/>
  <c r="J72" i="2" s="1"/>
  <c r="I9" i="2"/>
  <c r="I72" i="2" s="1"/>
  <c r="H9" i="2"/>
  <c r="H72" i="2" s="1"/>
  <c r="G9" i="2"/>
  <c r="G72" i="2" s="1"/>
  <c r="F9" i="2"/>
  <c r="F72" i="2" s="1"/>
  <c r="E9" i="2"/>
  <c r="E72" i="2" s="1"/>
  <c r="D9" i="2"/>
  <c r="D72" i="2" s="1"/>
  <c r="C9" i="2"/>
  <c r="B9" i="2"/>
  <c r="B82" i="2" s="1"/>
  <c r="AF6" i="2"/>
  <c r="AF69" i="2" s="1"/>
  <c r="AE6" i="2"/>
  <c r="AE69" i="2" s="1"/>
  <c r="AD6" i="2"/>
  <c r="AD69" i="2" s="1"/>
  <c r="AC6" i="2"/>
  <c r="AC69" i="2" s="1"/>
  <c r="AB6" i="2"/>
  <c r="AB69" i="2" s="1"/>
  <c r="AA6" i="2"/>
  <c r="AA69" i="2" s="1"/>
  <c r="Z6" i="2"/>
  <c r="Z69" i="2" s="1"/>
  <c r="Y6" i="2"/>
  <c r="Y69" i="2" s="1"/>
  <c r="X6" i="2"/>
  <c r="X69" i="2" s="1"/>
  <c r="W6" i="2"/>
  <c r="W69" i="2" s="1"/>
  <c r="V6" i="2"/>
  <c r="V69" i="2" s="1"/>
  <c r="U6" i="2"/>
  <c r="U69" i="2" s="1"/>
  <c r="T6" i="2"/>
  <c r="T69" i="2" s="1"/>
  <c r="S6" i="2"/>
  <c r="S69" i="2" s="1"/>
  <c r="R6" i="2"/>
  <c r="R69" i="2" s="1"/>
  <c r="Q6" i="2"/>
  <c r="Q69" i="2" s="1"/>
  <c r="P6" i="2"/>
  <c r="P69" i="2" s="1"/>
  <c r="O6" i="2"/>
  <c r="O69" i="2" s="1"/>
  <c r="N6" i="2"/>
  <c r="N69" i="2" s="1"/>
  <c r="M6" i="2"/>
  <c r="M69" i="2" s="1"/>
  <c r="L6" i="2"/>
  <c r="L69" i="2" s="1"/>
  <c r="K6" i="2"/>
  <c r="K69" i="2" s="1"/>
  <c r="J6" i="2"/>
  <c r="J69" i="2" s="1"/>
  <c r="I6" i="2"/>
  <c r="I69" i="2" s="1"/>
  <c r="H6" i="2"/>
  <c r="H69" i="2" s="1"/>
  <c r="G6" i="2"/>
  <c r="G69" i="2" s="1"/>
  <c r="F6" i="2"/>
  <c r="F69" i="2" s="1"/>
  <c r="E6" i="2"/>
  <c r="E69" i="2" s="1"/>
  <c r="D6" i="2"/>
  <c r="D69" i="2" s="1"/>
  <c r="B6" i="2"/>
  <c r="B79" i="2" s="1"/>
  <c r="N79" i="2" s="1"/>
  <c r="N10" i="3" s="1"/>
  <c r="AF5" i="2"/>
  <c r="AF68" i="2" s="1"/>
  <c r="AE5" i="2"/>
  <c r="AE68" i="2" s="1"/>
  <c r="AD5" i="2"/>
  <c r="AD68" i="2" s="1"/>
  <c r="AC5" i="2"/>
  <c r="AC68" i="2" s="1"/>
  <c r="AB5" i="2"/>
  <c r="AB68" i="2" s="1"/>
  <c r="AA5" i="2"/>
  <c r="AA68" i="2" s="1"/>
  <c r="Z5" i="2"/>
  <c r="Z68" i="2" s="1"/>
  <c r="Y5" i="2"/>
  <c r="Y68" i="2" s="1"/>
  <c r="X5" i="2"/>
  <c r="X68" i="2" s="1"/>
  <c r="W5" i="2"/>
  <c r="W68" i="2" s="1"/>
  <c r="V5" i="2"/>
  <c r="V68" i="2" s="1"/>
  <c r="U5" i="2"/>
  <c r="U68" i="2" s="1"/>
  <c r="T5" i="2"/>
  <c r="T68" i="2" s="1"/>
  <c r="S5" i="2"/>
  <c r="S68" i="2" s="1"/>
  <c r="R5" i="2"/>
  <c r="R68" i="2" s="1"/>
  <c r="Q5" i="2"/>
  <c r="Q68" i="2" s="1"/>
  <c r="P5" i="2"/>
  <c r="P68" i="2" s="1"/>
  <c r="O5" i="2"/>
  <c r="O68" i="2" s="1"/>
  <c r="N5" i="2"/>
  <c r="N68" i="2" s="1"/>
  <c r="M5" i="2"/>
  <c r="M68" i="2" s="1"/>
  <c r="L5" i="2"/>
  <c r="L68" i="2" s="1"/>
  <c r="K5" i="2"/>
  <c r="K68" i="2" s="1"/>
  <c r="J5" i="2"/>
  <c r="J68" i="2" s="1"/>
  <c r="I5" i="2"/>
  <c r="I68" i="2" s="1"/>
  <c r="H5" i="2"/>
  <c r="H68" i="2" s="1"/>
  <c r="G5" i="2"/>
  <c r="G68" i="2" s="1"/>
  <c r="F5" i="2"/>
  <c r="F68" i="2" s="1"/>
  <c r="E5" i="2"/>
  <c r="E68" i="2" s="1"/>
  <c r="D5" i="2"/>
  <c r="D68" i="2" s="1"/>
  <c r="B5" i="2"/>
  <c r="B78" i="2" s="1"/>
  <c r="U78" i="2" s="1"/>
  <c r="U4" i="3" s="1"/>
  <c r="C6" i="2" l="1"/>
  <c r="C69" i="2" s="1"/>
  <c r="E78" i="2"/>
  <c r="E4" i="3" s="1"/>
  <c r="B83" i="2"/>
  <c r="B73" i="2"/>
  <c r="B4" i="4"/>
  <c r="C82" i="2"/>
  <c r="AA79" i="2"/>
  <c r="AA10" i="3" s="1"/>
  <c r="S79" i="2"/>
  <c r="S10" i="3" s="1"/>
  <c r="K79" i="2"/>
  <c r="K10" i="3" s="1"/>
  <c r="C79" i="2"/>
  <c r="C10" i="3" s="1"/>
  <c r="Z79" i="2"/>
  <c r="Z10" i="3" s="1"/>
  <c r="R79" i="2"/>
  <c r="R10" i="3" s="1"/>
  <c r="J79" i="2"/>
  <c r="J10" i="3" s="1"/>
  <c r="Y79" i="2"/>
  <c r="Y10" i="3" s="1"/>
  <c r="Q79" i="2"/>
  <c r="Q10" i="3" s="1"/>
  <c r="I79" i="2"/>
  <c r="I10" i="3" s="1"/>
  <c r="AF79" i="2"/>
  <c r="AF10" i="3" s="1"/>
  <c r="X79" i="2"/>
  <c r="X10" i="3" s="1"/>
  <c r="P79" i="2"/>
  <c r="P10" i="3" s="1"/>
  <c r="H79" i="2"/>
  <c r="H10" i="3" s="1"/>
  <c r="B10" i="3"/>
  <c r="AE79" i="2"/>
  <c r="AE10" i="3" s="1"/>
  <c r="W79" i="2"/>
  <c r="W10" i="3" s="1"/>
  <c r="O79" i="2"/>
  <c r="O10" i="3" s="1"/>
  <c r="G79" i="2"/>
  <c r="G10" i="3" s="1"/>
  <c r="AC79" i="2"/>
  <c r="AC10" i="3" s="1"/>
  <c r="U79" i="2"/>
  <c r="U10" i="3" s="1"/>
  <c r="M79" i="2"/>
  <c r="M10" i="3" s="1"/>
  <c r="E79" i="2"/>
  <c r="E10" i="3" s="1"/>
  <c r="AB79" i="2"/>
  <c r="AB10" i="3" s="1"/>
  <c r="T79" i="2"/>
  <c r="T10" i="3" s="1"/>
  <c r="L79" i="2"/>
  <c r="L10" i="3" s="1"/>
  <c r="D79" i="2"/>
  <c r="D10" i="3" s="1"/>
  <c r="V79" i="2"/>
  <c r="V10" i="3" s="1"/>
  <c r="Z78" i="2"/>
  <c r="Z4" i="3" s="1"/>
  <c r="R78" i="2"/>
  <c r="R4" i="3" s="1"/>
  <c r="J78" i="2"/>
  <c r="J4" i="3" s="1"/>
  <c r="Y78" i="2"/>
  <c r="Y4" i="3" s="1"/>
  <c r="Q78" i="2"/>
  <c r="Q4" i="3" s="1"/>
  <c r="I78" i="2"/>
  <c r="I4" i="3" s="1"/>
  <c r="AF78" i="2"/>
  <c r="AF4" i="3" s="1"/>
  <c r="X78" i="2"/>
  <c r="X4" i="3" s="1"/>
  <c r="P78" i="2"/>
  <c r="P4" i="3" s="1"/>
  <c r="H78" i="2"/>
  <c r="H4" i="3" s="1"/>
  <c r="AE78" i="2"/>
  <c r="AE4" i="3" s="1"/>
  <c r="W78" i="2"/>
  <c r="W4" i="3" s="1"/>
  <c r="O78" i="2"/>
  <c r="O4" i="3" s="1"/>
  <c r="G78" i="2"/>
  <c r="G4" i="3" s="1"/>
  <c r="AD78" i="2"/>
  <c r="AD4" i="3" s="1"/>
  <c r="V78" i="2"/>
  <c r="V4" i="3" s="1"/>
  <c r="N78" i="2"/>
  <c r="N4" i="3" s="1"/>
  <c r="F78" i="2"/>
  <c r="F4" i="3" s="1"/>
  <c r="B4" i="3"/>
  <c r="AB78" i="2"/>
  <c r="AB4" i="3" s="1"/>
  <c r="T78" i="2"/>
  <c r="T4" i="3" s="1"/>
  <c r="L78" i="2"/>
  <c r="L4" i="3" s="1"/>
  <c r="D78" i="2"/>
  <c r="D4" i="3" s="1"/>
  <c r="AA78" i="2"/>
  <c r="AA4" i="3" s="1"/>
  <c r="S78" i="2"/>
  <c r="S4" i="3" s="1"/>
  <c r="K78" i="2"/>
  <c r="K4" i="3" s="1"/>
  <c r="C78" i="2"/>
  <c r="C4" i="3" s="1"/>
  <c r="AD79" i="2"/>
  <c r="AD10" i="3" s="1"/>
  <c r="M78" i="2"/>
  <c r="M4" i="3" s="1"/>
  <c r="B72" i="2"/>
  <c r="B68" i="2"/>
  <c r="D82" i="2" l="1"/>
  <c r="C4" i="4"/>
  <c r="C83" i="2"/>
  <c r="B10" i="4"/>
  <c r="D83" i="2" l="1"/>
  <c r="C10" i="4"/>
  <c r="E82" i="2"/>
  <c r="D4" i="4"/>
  <c r="E4" i="4" l="1"/>
  <c r="F82" i="2"/>
  <c r="E83" i="2"/>
  <c r="D10" i="4"/>
  <c r="E10" i="4" l="1"/>
  <c r="F83" i="2"/>
  <c r="F4" i="4"/>
  <c r="G82" i="2"/>
  <c r="G4" i="4" l="1"/>
  <c r="H82" i="2"/>
  <c r="F10" i="4"/>
  <c r="G83" i="2"/>
  <c r="G10" i="4" l="1"/>
  <c r="H83" i="2"/>
  <c r="H4" i="4"/>
  <c r="I82" i="2"/>
  <c r="I4" i="4" l="1"/>
  <c r="J82" i="2"/>
  <c r="H10" i="4"/>
  <c r="I83" i="2"/>
  <c r="J83" i="2" l="1"/>
  <c r="I10" i="4"/>
  <c r="J4" i="4"/>
  <c r="K82" i="2"/>
  <c r="L82" i="2" l="1"/>
  <c r="K4" i="4"/>
  <c r="K83" i="2"/>
  <c r="J10" i="4"/>
  <c r="L83" i="2" l="1"/>
  <c r="K10" i="4"/>
  <c r="L4" i="4"/>
  <c r="M82" i="2"/>
  <c r="M4" i="4" l="1"/>
  <c r="N82" i="2"/>
  <c r="M83" i="2"/>
  <c r="L10" i="4"/>
  <c r="M10" i="4" l="1"/>
  <c r="N83" i="2"/>
  <c r="N4" i="4"/>
  <c r="O82" i="2"/>
  <c r="O4" i="4" l="1"/>
  <c r="P82" i="2"/>
  <c r="N10" i="4"/>
  <c r="O83" i="2"/>
  <c r="P4" i="4" l="1"/>
  <c r="Q82" i="2"/>
  <c r="O10" i="4"/>
  <c r="P83" i="2"/>
  <c r="Q4" i="4" l="1"/>
  <c r="R82" i="2"/>
  <c r="P10" i="4"/>
  <c r="Q83" i="2"/>
  <c r="R83" i="2" l="1"/>
  <c r="Q10" i="4"/>
  <c r="R4" i="4"/>
  <c r="S82" i="2"/>
  <c r="T82" i="2" l="1"/>
  <c r="S4" i="4"/>
  <c r="S83" i="2"/>
  <c r="R10" i="4"/>
  <c r="T83" i="2" l="1"/>
  <c r="S10" i="4"/>
  <c r="T4" i="4"/>
  <c r="U82" i="2"/>
  <c r="U4" i="4" l="1"/>
  <c r="V82" i="2"/>
  <c r="U83" i="2"/>
  <c r="T10" i="4"/>
  <c r="U10" i="4" l="1"/>
  <c r="V83" i="2"/>
  <c r="V4" i="4"/>
  <c r="W82" i="2"/>
  <c r="W4" i="4" l="1"/>
  <c r="X82" i="2"/>
  <c r="V10" i="4"/>
  <c r="W83" i="2"/>
  <c r="W10" i="4" l="1"/>
  <c r="X83" i="2"/>
  <c r="X4" i="4"/>
  <c r="Y82" i="2"/>
  <c r="Y4" i="4" l="1"/>
  <c r="Z82" i="2"/>
  <c r="X10" i="4"/>
  <c r="Y83" i="2"/>
  <c r="Z4" i="4" l="1"/>
  <c r="AA82" i="2"/>
  <c r="Z83" i="2"/>
  <c r="Y10" i="4"/>
  <c r="AA83" i="2" l="1"/>
  <c r="Z10" i="4"/>
  <c r="AB82" i="2"/>
  <c r="AA4" i="4"/>
  <c r="AB4" i="4" l="1"/>
  <c r="AC82" i="2"/>
  <c r="AB83" i="2"/>
  <c r="AA10" i="4"/>
  <c r="AC83" i="2" l="1"/>
  <c r="AB10" i="4"/>
  <c r="AC4" i="4"/>
  <c r="AD82" i="2"/>
  <c r="AD4" i="4" l="1"/>
  <c r="AE82" i="2"/>
  <c r="AC10" i="4"/>
  <c r="AD83" i="2"/>
  <c r="AD10" i="4" l="1"/>
  <c r="AE83" i="2"/>
  <c r="AE4" i="4"/>
  <c r="AF82" i="2"/>
  <c r="AF4" i="4" s="1"/>
  <c r="AE10" i="4" l="1"/>
  <c r="AF83" i="2"/>
  <c r="AF10" i="4" s="1"/>
</calcChain>
</file>

<file path=xl/sharedStrings.xml><?xml version="1.0" encoding="utf-8"?>
<sst xmlns="http://schemas.openxmlformats.org/spreadsheetml/2006/main" count="704" uniqueCount="201">
  <si>
    <t>BIFUbC BAU Industrial Fuel Use before CCS</t>
  </si>
  <si>
    <t>Sources:</t>
  </si>
  <si>
    <t>All Subscripts Except Waste Management</t>
  </si>
  <si>
    <t>&lt;- All 0</t>
  </si>
  <si>
    <t>Energy Information Administration</t>
  </si>
  <si>
    <t>&lt;- Values inputted by script</t>
  </si>
  <si>
    <t>Annual Energy Outlook 2019</t>
  </si>
  <si>
    <t>https://www.eia.gov/outlooks/aeo/tables_ref.php</t>
  </si>
  <si>
    <t>Waste Management (2010)</t>
  </si>
  <si>
    <t>Population</t>
  </si>
  <si>
    <t>Sanders, Kelly and Webber, Michael.</t>
  </si>
  <si>
    <t>U.S. Census Bureau</t>
  </si>
  <si>
    <t>Evaluating the energy consumed for water use in the United States</t>
  </si>
  <si>
    <t>2017 National Population Projections: Summary Tables</t>
  </si>
  <si>
    <t>http://iopscience.iop.org/1748-9326/7/3/034034/media/erl426087suppdata.pdf</t>
  </si>
  <si>
    <t>https://www2.census.gov/programs-surveys/popproj/tables/2017/2017-summary-tables/np2017-t1.xlsx</t>
  </si>
  <si>
    <t>Supplementary data, Page 6, Paragraph 1</t>
  </si>
  <si>
    <t>Table 1</t>
  </si>
  <si>
    <t>Model subscript</t>
  </si>
  <si>
    <t>Table</t>
  </si>
  <si>
    <t>Note</t>
  </si>
  <si>
    <t>cement and other carbonate use</t>
  </si>
  <si>
    <t>Table 30</t>
  </si>
  <si>
    <t>natural gas and petroleum systems</t>
  </si>
  <si>
    <t>Table 11, Table 25, Table 35, Table 37</t>
  </si>
  <si>
    <t>Calculated crude in from Tables 11 and 25. Lease and plant fuel taken from Table 35. Pipline fuel natural gas taken from Table 37.</t>
  </si>
  <si>
    <t>iron and steel</t>
  </si>
  <si>
    <t>Table 31</t>
  </si>
  <si>
    <t>We intentionally exclude metallurgical coal</t>
  </si>
  <si>
    <t>chemicals</t>
  </si>
  <si>
    <t>Table 28</t>
  </si>
  <si>
    <t>mining</t>
  </si>
  <si>
    <t>Table 35</t>
  </si>
  <si>
    <t>waste management</t>
  </si>
  <si>
    <t>Sanders and Webber 2012 plus population estimates (U.S. Census Bureau)</t>
  </si>
  <si>
    <t>wastewater only (2010)</t>
  </si>
  <si>
    <t>agriculture</t>
  </si>
  <si>
    <t>other industries</t>
  </si>
  <si>
    <t>Table 2, Table 37</t>
  </si>
  <si>
    <t>Industry total minus the industries above plus military fuel use</t>
  </si>
  <si>
    <t>Mining Industry Breakout: Coal, Metals, Minerals</t>
  </si>
  <si>
    <t>U.S. DOE</t>
  </si>
  <si>
    <t>Mining Industry Energy Bandwidth Study</t>
  </si>
  <si>
    <t>https://www.energy.gov/sites/prod/files/2013/11/f4/mining_bandwidth.pdf</t>
  </si>
  <si>
    <t>Page 2, Exhibit 2</t>
  </si>
  <si>
    <t>Coal mining historical production for scaling</t>
  </si>
  <si>
    <t>U.S. EIA</t>
  </si>
  <si>
    <t>Coal Data Browser</t>
  </si>
  <si>
    <t>https://www.eia.gov/coal/data/browser/#/topic/33?agg=2</t>
  </si>
  <si>
    <t>Metals and minerals mining historical production for scaling</t>
  </si>
  <si>
    <t>U.S. Federal Reserve Bank of St. Louis</t>
  </si>
  <si>
    <t>Industrial Production: Mining: Copper, nickel, lead, and zinc mining, Index 2012=100, Quarterly, Not Seasonally Adjusted</t>
  </si>
  <si>
    <t>https://fred.stlouisfed.org/series/IPG21223NQ</t>
  </si>
  <si>
    <t>State Downscale: Census Bureau Business Activity</t>
  </si>
  <si>
    <t>Census Bureau</t>
  </si>
  <si>
    <t>County Business Patterns &amp; Nonemployer Statistics Combined Report</t>
  </si>
  <si>
    <t>https://www.census.gov/data/tables/2018/econ/nonemployer-statistics/2018-combined-report.html</t>
  </si>
  <si>
    <t>State Downscaling: Electrification Futures</t>
  </si>
  <si>
    <t>National Renewable Energy Laboratory</t>
  </si>
  <si>
    <t>Electrification Futures Study</t>
  </si>
  <si>
    <t>Service Demand, Technical Stock, Final Demand</t>
  </si>
  <si>
    <t>https://data.nrel.gov/submissions/92</t>
  </si>
  <si>
    <t>Note:</t>
  </si>
  <si>
    <t>The words "before CCS" in this variable name indicate that this is the fuel use by industry, excluding</t>
  </si>
  <si>
    <t>any fuel used to power the energy-intensive process of carbon capture and sequestration.  If any CCS</t>
  </si>
  <si>
    <t>is performed by Industry in the BAU case, this is handled in CCS sector input variables, not here.</t>
  </si>
  <si>
    <t>This Variable Excludes All On-Site Energy Carrier Generation (Electricity, Heat, Hydrogen)</t>
  </si>
  <si>
    <t>This variable is for energy purchased and consumed by the Industry sector.</t>
  </si>
  <si>
    <t>Secondary energy, including electricity, heat, or hydrogen that is generated on-site and also consumed on-site</t>
  </si>
  <si>
    <t>(e.g. entirely within an industrial facility) should not be included in this variable.</t>
  </si>
  <si>
    <t>Any energy carrier (electricity, heat, hydrogen) demand entered here will be</t>
  </si>
  <si>
    <t>supplied by the electricity, district heat, or hydrogen supply sectors respectively.</t>
  </si>
  <si>
    <t>The "Renewables" rows in the U.S. source data are for on-site generation, including both</t>
  </si>
  <si>
    <t>electricity and non-electric energy from renewable sources.  We do not include this line</t>
  </si>
  <si>
    <t>in electricity fuel use, because that total is used to calculate demand for electricity from</t>
  </si>
  <si>
    <t>the Electricity Supply sector (and therefore should exclude on-site generation).</t>
  </si>
  <si>
    <t>Since the AEO doesn't break down this category into solar, wind, biomass, etc. we do not</t>
  </si>
  <si>
    <t>know how much on-site renewables generation was from biomass.  We assume the vast</t>
  </si>
  <si>
    <t>majority is from solar, small wind turbines, etc. and only assign the "Biofuels Heat and</t>
  </si>
  <si>
    <t>Coproducts" column to the Biomass fuel type.  This may slightly under-estimate biomass</t>
  </si>
  <si>
    <t>fuel usage by the Industry Sector.</t>
  </si>
  <si>
    <t>No information is provided on district heat usage for industry.  We assume this usage is zero.</t>
  </si>
  <si>
    <t>(Heat generated on-site is not district heat.)</t>
  </si>
  <si>
    <t>Note that fuel usage from our EIA source for this variable includes fuel used for non-energy purposes.</t>
  </si>
  <si>
    <t>Any emissions associated with non-energy uses of fuel are already included in the "BPEiC BAU</t>
  </si>
  <si>
    <t>Process Emissions in CO2e" variable, so we need to remove non-energy fuel use from the total Industrial</t>
  </si>
  <si>
    <t>Fuel Use.  This is handled in Vensim using a separate variable, "PoFUfE Proportion of</t>
  </si>
  <si>
    <t xml:space="preserve">Fuel Used for Energy."  </t>
  </si>
  <si>
    <t>Note that Lease and Plant Fuel under Mining is actually natural gas consumed in wells and fields.</t>
  </si>
  <si>
    <t>We count this in the Natural Gas and Petroleum Systems sub industry and not in mining.</t>
  </si>
  <si>
    <t>We also add in pipeline natural gas fuel use, which EIA categorizes under the transportation sector.</t>
  </si>
  <si>
    <t>Finally, we add in fuel used by the military, which is under transportation in EIA's data but</t>
  </si>
  <si>
    <t>we assign to the other industries category.</t>
  </si>
  <si>
    <t>For refineries, we estimate crude oil in by taking a weighted average of the energy content of</t>
  </si>
  <si>
    <t>domestic and imported crude and multiplying by the fuel going into distillation units. We add the fuel used</t>
  </si>
  <si>
    <t>by ethanol plants back into the total for industry as well.</t>
  </si>
  <si>
    <t>Petroleum Fuels Categorization (mapped based on closest BTU Content)</t>
  </si>
  <si>
    <t xml:space="preserve">   Crude Oil</t>
  </si>
  <si>
    <t>Crude Oil</t>
  </si>
  <si>
    <t xml:space="preserve">   Propane Heat and Power</t>
  </si>
  <si>
    <t>LPG/propane/butane</t>
  </si>
  <si>
    <t xml:space="preserve">   Liquefied Petroleum Gas and Other Feedstocks</t>
  </si>
  <si>
    <t xml:space="preserve">   Motor Gasoline</t>
  </si>
  <si>
    <t>Petroleum Diesel</t>
  </si>
  <si>
    <t xml:space="preserve">   Distillate Fuel Oil</t>
  </si>
  <si>
    <t xml:space="preserve">   Residual Fuel Oil</t>
  </si>
  <si>
    <t>Heavy or Residual Oil</t>
  </si>
  <si>
    <t xml:space="preserve">   Petrochemical Feedstocks</t>
  </si>
  <si>
    <t xml:space="preserve">   Petroleum Coke</t>
  </si>
  <si>
    <t xml:space="preserve">   Asphalt and Road Oil</t>
  </si>
  <si>
    <t xml:space="preserve">   Miscellaneous Petroleum 3/</t>
  </si>
  <si>
    <t>State Downscaling Notes</t>
  </si>
  <si>
    <t>AEO provides energy demand by industrial subsector and fuel nationwide. Currently, the script calls the API for the given subsector and fuel (e.g. Cement and Lime Manufacturing, Residual Fuel Oil)</t>
  </si>
  <si>
    <t>Census data (County Business Patterns) used to obtain employment by industrial subsector and state</t>
  </si>
  <si>
    <t>We use employment as a proxy for energy consumption, scaling national level AEO data to the state/subsector level</t>
  </si>
  <si>
    <t>Energy demand by subsector, fuel, and state = energy demand by subsector, fuel, and US * subsector employment by state / subsector employment by US</t>
  </si>
  <si>
    <t>Subsectors are defined by NAICS code</t>
  </si>
  <si>
    <t>Adjustments for military, pipelines, and refineries</t>
  </si>
  <si>
    <t>These adjustments are calculated in the Excel spreadsheet</t>
  </si>
  <si>
    <t>We populate a scaling parameter for pipelines and refineries</t>
  </si>
  <si>
    <t>Military adjustments are direct made in the “Pipelines &amp; Military” tab</t>
  </si>
  <si>
    <t>Adjustments for military</t>
  </si>
  <si>
    <t>NREL EF provides transportation energy demand for military use by state and fuel. We use these values directly in the military adjustments</t>
  </si>
  <si>
    <t>Adjustments for pipelines</t>
  </si>
  <si>
    <t>EIA publishes pipeline capacity by state (link)</t>
  </si>
  <si>
    <t>We estimate a state’s pipeline capacity as capacity for inflow + capacity for outflow</t>
  </si>
  <si>
    <t>Scaling parameter = share of pipeline capacity by state</t>
  </si>
  <si>
    <t>Adjustments for refining</t>
  </si>
  <si>
    <t>Scaling parameter is the share of total employment in refineries in a given state</t>
  </si>
  <si>
    <t>This is the same scaling procedure as the other BIFUbc tables above</t>
  </si>
  <si>
    <t>Multiply refining energy consumption by scaling parameter</t>
  </si>
  <si>
    <t>Script:</t>
  </si>
  <si>
    <t>https://github.com/RMI-Web/state-policy-simulator/blob/master/derive_metrics/indst/BIFUbC.py</t>
  </si>
  <si>
    <t>Share of energy use between oil and gas extraction vs. refineries</t>
  </si>
  <si>
    <t>Natural Gas</t>
  </si>
  <si>
    <t>oil and gas extraction 06</t>
  </si>
  <si>
    <t>refined petroleum and coke 19</t>
  </si>
  <si>
    <t>Heavy and Residual Oil</t>
  </si>
  <si>
    <t>E3 Data: Energy by Sector and Fuel</t>
  </si>
  <si>
    <t>Scenario</t>
  </si>
  <si>
    <t>Sector</t>
  </si>
  <si>
    <t>Branch</t>
  </si>
  <si>
    <t>Electricity</t>
  </si>
  <si>
    <t>baseline</t>
  </si>
  <si>
    <t>Commercial</t>
  </si>
  <si>
    <t>electricity</t>
  </si>
  <si>
    <t>natural gas</t>
  </si>
  <si>
    <t>Other</t>
  </si>
  <si>
    <t>wood</t>
  </si>
  <si>
    <t>Gasoline</t>
  </si>
  <si>
    <t>gasoline</t>
  </si>
  <si>
    <t>solar</t>
  </si>
  <si>
    <t>Diesel</t>
  </si>
  <si>
    <t>diesel</t>
  </si>
  <si>
    <t>lpg</t>
  </si>
  <si>
    <t>Renewable Diesel</t>
  </si>
  <si>
    <t>renewable diesel</t>
  </si>
  <si>
    <t>DAC</t>
  </si>
  <si>
    <t>Industrial</t>
  </si>
  <si>
    <t>petroleum coke</t>
  </si>
  <si>
    <t>refinery feedstocks</t>
  </si>
  <si>
    <t>coal unspecified</t>
  </si>
  <si>
    <t>residual fuel oil</t>
  </si>
  <si>
    <t>industry electrification</t>
  </si>
  <si>
    <t>Oil &amp; Gas (Fuel Combustion)</t>
  </si>
  <si>
    <t>Residential</t>
  </si>
  <si>
    <t>Transportation</t>
  </si>
  <si>
    <t>Renewable Gasoline</t>
  </si>
  <si>
    <t>ethanol</t>
  </si>
  <si>
    <t>Jet Fuel</t>
  </si>
  <si>
    <t>jet kerosene</t>
  </si>
  <si>
    <t>cng</t>
  </si>
  <si>
    <t>Hydrogen</t>
  </si>
  <si>
    <t>liquid hydrogen</t>
  </si>
  <si>
    <t>Oil and Gas Extraction Energy divided</t>
  </si>
  <si>
    <t>Oil and Gas Extraction Energy divided, using AEO trajectory</t>
  </si>
  <si>
    <t xml:space="preserve"> </t>
  </si>
  <si>
    <t>Unit: BTU</t>
  </si>
  <si>
    <t>agriculture and forestry 01T03</t>
  </si>
  <si>
    <t>coal mining 05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</si>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</sst>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E+00"/>
    <numFmt numFmtId="165" formatCode="#,##0.0"/>
    <numFmt numFmtId="166" formatCode="#,##0.00000"/>
  </numFmts>
  <fonts count="26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4"/>
      <name val="Calibri"/>
      <family val="2"/>
    </font>
    <font>
      <b/>
      <sz val="11"/>
      <name val="Calibri"/>
      <family val="2"/>
    </font>
    <font>
      <u/>
      <sz val="11"/>
      <color rgb="FF0000FF"/>
      <name val="Calibri"/>
      <family val="2"/>
    </font>
    <font>
      <u/>
      <sz val="11"/>
      <color rgb="FF0000FF"/>
      <name val="Calibri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rgb="FF000000"/>
      <name val="Calibri"/>
      <family val="2"/>
    </font>
    <font>
      <b/>
      <sz val="11"/>
      <name val="Arial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u/>
      <sz val="11"/>
      <color rgb="FF000000"/>
      <name val="Calibri"/>
      <family val="2"/>
    </font>
    <font>
      <u/>
      <sz val="11"/>
      <color rgb="FF0000FF"/>
      <name val="Arial"/>
      <family val="2"/>
    </font>
    <font>
      <sz val="9"/>
      <color rgb="FF000000"/>
      <name val="Calibri"/>
      <family val="2"/>
    </font>
    <font>
      <sz val="11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indexed="8"/>
      <name val="Calibri"/>
      <family val="2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</font>
    <font>
      <i/>
      <sz val="11"/>
      <color rgb="FF7F7F7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2F2F2"/>
        <bgColor rgb="FFF2F2F2"/>
      </patternFill>
    </fill>
    <fill>
      <patternFill patternType="solid">
        <fgColor rgb="FFFDE9D9"/>
        <bgColor rgb="FFFDE9D9"/>
      </patternFill>
    </fill>
    <fill>
      <patternFill patternType="solid">
        <fgColor rgb="FFAEAAAA"/>
        <bgColor rgb="FFAEAAAA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theme="0" tint="-0.249977111117893"/>
      </bottom>
      <diagonal/>
    </border>
  </borders>
  <cellStyleXfs count="5">
    <xf numFmtId="0" fontId="0" fillId="0" borderId="1"/>
    <xf numFmtId="9" fontId="17" fillId="0" borderId="1"/>
    <xf numFmtId="0" fontId="20" fillId="0" borderId="5">
      <alignment wrapText="1"/>
    </xf>
    <xf numFmtId="0" fontId="21" fillId="0" borderId="7">
      <alignment wrapText="1"/>
    </xf>
    <xf numFmtId="0" fontId="20" fillId="0" borderId="1"/>
  </cellStyleXfs>
  <cellXfs count="61">
    <xf numFmtId="0" fontId="0" fillId="0" borderId="0" xfId="0" applyBorder="1"/>
    <xf numFmtId="0" fontId="1" fillId="0" borderId="0" xfId="0" applyFont="1" applyBorder="1"/>
    <xf numFmtId="0" fontId="1" fillId="2" borderId="1" xfId="0" applyFont="1" applyFill="1"/>
    <xf numFmtId="0" fontId="2" fillId="3" borderId="1" xfId="0" applyFont="1" applyFill="1"/>
    <xf numFmtId="0" fontId="4" fillId="0" borderId="0" xfId="0" applyFont="1" applyBorder="1"/>
    <xf numFmtId="0" fontId="2" fillId="0" borderId="0" xfId="0" applyFont="1" applyBorder="1" applyAlignment="1">
      <alignment wrapText="1"/>
    </xf>
    <xf numFmtId="0" fontId="5" fillId="5" borderId="0" xfId="0" applyFont="1" applyFill="1" applyBorder="1"/>
    <xf numFmtId="0" fontId="2" fillId="0" borderId="0" xfId="0" applyFont="1" applyBorder="1" applyAlignment="1">
      <alignment horizontal="left"/>
    </xf>
    <xf numFmtId="0" fontId="6" fillId="0" borderId="0" xfId="0" applyFont="1" applyBorder="1" applyAlignment="1">
      <alignment horizontal="left"/>
    </xf>
    <xf numFmtId="0" fontId="1" fillId="6" borderId="0" xfId="0" applyFont="1" applyFill="1" applyBorder="1"/>
    <xf numFmtId="0" fontId="2" fillId="0" borderId="0" xfId="0" applyFont="1" applyBorder="1"/>
    <xf numFmtId="0" fontId="7" fillId="0" borderId="0" xfId="0" applyFont="1" applyBorder="1"/>
    <xf numFmtId="0" fontId="8" fillId="7" borderId="1" xfId="0" applyFont="1" applyFill="1"/>
    <xf numFmtId="0" fontId="9" fillId="7" borderId="1" xfId="0" applyFont="1" applyFill="1"/>
    <xf numFmtId="0" fontId="9" fillId="0" borderId="0" xfId="0" applyFont="1" applyBorder="1"/>
    <xf numFmtId="0" fontId="8" fillId="0" borderId="0" xfId="0" applyFont="1" applyBorder="1"/>
    <xf numFmtId="0" fontId="2" fillId="0" borderId="2" xfId="0" applyFont="1" applyBorder="1" applyAlignment="1">
      <alignment wrapText="1"/>
    </xf>
    <xf numFmtId="0" fontId="9" fillId="0" borderId="2" xfId="0" applyFont="1" applyBorder="1"/>
    <xf numFmtId="0" fontId="2" fillId="0" borderId="2" xfId="0" applyFont="1" applyBorder="1"/>
    <xf numFmtId="0" fontId="10" fillId="0" borderId="3" xfId="0" applyFont="1" applyBorder="1" applyAlignment="1">
      <alignment wrapText="1"/>
    </xf>
    <xf numFmtId="0" fontId="11" fillId="0" borderId="0" xfId="0" applyFont="1" applyBorder="1"/>
    <xf numFmtId="0" fontId="13" fillId="0" borderId="0" xfId="0" applyFont="1" applyBorder="1"/>
    <xf numFmtId="0" fontId="14" fillId="0" borderId="0" xfId="0" applyFont="1" applyBorder="1"/>
    <xf numFmtId="0" fontId="3" fillId="0" borderId="0" xfId="0" applyFont="1" applyBorder="1"/>
    <xf numFmtId="0" fontId="15" fillId="0" borderId="0" xfId="0" applyFont="1" applyBorder="1"/>
    <xf numFmtId="0" fontId="2" fillId="0" borderId="0" xfId="0" applyFont="1" applyBorder="1" applyAlignment="1">
      <alignment horizontal="right"/>
    </xf>
    <xf numFmtId="0" fontId="12" fillId="0" borderId="0" xfId="0" applyFont="1" applyBorder="1"/>
    <xf numFmtId="0" fontId="2" fillId="4" borderId="1" xfId="0" applyFont="1" applyFill="1"/>
    <xf numFmtId="0" fontId="18" fillId="0" borderId="1" xfId="0" applyFont="1"/>
    <xf numFmtId="0" fontId="19" fillId="0" borderId="1" xfId="0" applyFont="1"/>
    <xf numFmtId="11" fontId="0" fillId="0" borderId="1" xfId="0" applyNumberFormat="1"/>
    <xf numFmtId="0" fontId="0" fillId="0" borderId="6" xfId="2" applyFont="1" applyBorder="1">
      <alignment wrapText="1"/>
    </xf>
    <xf numFmtId="11" fontId="0" fillId="0" borderId="5" xfId="2" applyNumberFormat="1" applyFont="1" applyAlignment="1">
      <alignment horizontal="right" wrapText="1"/>
    </xf>
    <xf numFmtId="0" fontId="22" fillId="0" borderId="4" xfId="3" applyFont="1" applyBorder="1">
      <alignment wrapText="1"/>
    </xf>
    <xf numFmtId="11" fontId="21" fillId="0" borderId="7" xfId="3" applyNumberFormat="1" applyAlignment="1">
      <alignment horizontal="right" wrapText="1"/>
    </xf>
    <xf numFmtId="0" fontId="23" fillId="0" borderId="6" xfId="2" applyFont="1" applyBorder="1">
      <alignment wrapText="1"/>
    </xf>
    <xf numFmtId="9" fontId="0" fillId="0" borderId="5" xfId="1" applyFont="1" applyBorder="1" applyAlignment="1">
      <alignment horizontal="right" wrapText="1"/>
    </xf>
    <xf numFmtId="0" fontId="19" fillId="0" borderId="1" xfId="4" applyFont="1"/>
    <xf numFmtId="0" fontId="19" fillId="0" borderId="1" xfId="2" applyFont="1" applyBorder="1">
      <alignment wrapText="1"/>
    </xf>
    <xf numFmtId="0" fontId="16" fillId="0" borderId="1" xfId="2" applyFont="1" applyBorder="1">
      <alignment wrapText="1"/>
    </xf>
    <xf numFmtId="11" fontId="20" fillId="0" borderId="1" xfId="0" applyNumberFormat="1" applyFont="1" applyAlignment="1" applyProtection="1">
      <alignment horizontal="right"/>
      <protection locked="0"/>
    </xf>
    <xf numFmtId="0" fontId="20" fillId="0" borderId="1" xfId="0" applyFont="1" applyAlignment="1" applyProtection="1">
      <alignment horizontal="right"/>
      <protection locked="0"/>
    </xf>
    <xf numFmtId="0" fontId="20" fillId="0" borderId="1" xfId="0" applyFont="1"/>
    <xf numFmtId="11" fontId="20" fillId="0" borderId="1" xfId="0" applyNumberFormat="1" applyFont="1"/>
    <xf numFmtId="1" fontId="20" fillId="0" borderId="1" xfId="0" applyNumberFormat="1" applyFont="1"/>
    <xf numFmtId="4" fontId="0" fillId="0" borderId="5" xfId="2" applyNumberFormat="1" applyFont="1" applyAlignment="1">
      <alignment horizontal="right" wrapText="1"/>
    </xf>
    <xf numFmtId="4" fontId="21" fillId="0" borderId="7" xfId="3" applyNumberFormat="1" applyAlignment="1">
      <alignment horizontal="right" wrapText="1"/>
    </xf>
    <xf numFmtId="14" fontId="2" fillId="0" borderId="0" xfId="0" applyNumberFormat="1" applyFont="1" applyBorder="1"/>
    <xf numFmtId="0" fontId="0" fillId="0" borderId="1" xfId="0"/>
    <xf numFmtId="0" fontId="8" fillId="8" borderId="0" xfId="0" applyFont="1" applyFill="1" applyBorder="1"/>
    <xf numFmtId="0" fontId="0" fillId="8" borderId="0" xfId="0" applyFill="1" applyBorder="1"/>
    <xf numFmtId="0" fontId="24" fillId="0" borderId="1" xfId="0" applyFont="1"/>
    <xf numFmtId="0" fontId="25" fillId="0" borderId="1" xfId="0" applyFont="1"/>
    <xf numFmtId="0" fontId="2" fillId="0" borderId="1" xfId="0" applyFont="1"/>
    <xf numFmtId="2" fontId="2" fillId="0" borderId="1" xfId="0" applyNumberFormat="1" applyFont="1"/>
    <xf numFmtId="0" fontId="8" fillId="0" borderId="1" xfId="0" applyFont="1"/>
    <xf numFmtId="11" fontId="0" fillId="0" borderId="0" xfId="0" applyNumberFormat="1" applyBorder="1"/>
    <xf numFmtId="164" fontId="0" fillId="0" borderId="1" xfId="0" applyNumberFormat="1"/>
    <xf numFmtId="165" fontId="0" fillId="0" borderId="5" xfId="2" applyNumberFormat="1" applyFont="1" applyAlignment="1">
      <alignment horizontal="right" wrapText="1"/>
    </xf>
    <xf numFmtId="165" fontId="21" fillId="0" borderId="7" xfId="3" applyNumberFormat="1" applyAlignment="1">
      <alignment horizontal="right" wrapText="1"/>
    </xf>
    <xf numFmtId="166" fontId="0" fillId="0" borderId="1" xfId="0" applyNumberFormat="1"/>
  </cellXfs>
  <cellStyles count="5">
    <cellStyle name="Body: normal cell" xfId="2" xr:uid="{00000000-0005-0000-0000-000002000000}"/>
    <cellStyle name="Font: Calibri, 9pt regular" xfId="4" xr:uid="{00000000-0005-0000-0000-000004000000}"/>
    <cellStyle name="Normal" xfId="0" builtinId="0"/>
    <cellStyle name="Parent row" xfId="3" xr:uid="{00000000-0005-0000-0000-000003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ensus.gov/programs-surveys/cbp/data/tables.html" TargetMode="External"/><Relationship Id="rId2" Type="http://schemas.openxmlformats.org/officeDocument/2006/relationships/hyperlink" Target="https://data.nrel.gov/submissions/92" TargetMode="External"/><Relationship Id="rId1" Type="http://schemas.openxmlformats.org/officeDocument/2006/relationships/hyperlink" Target="https://www.census.gov/data/tables/2018/econ/nonemployer-statistics/2018-combined-report.html" TargetMode="External"/><Relationship Id="rId5" Type="http://schemas.openxmlformats.org/officeDocument/2006/relationships/hyperlink" Target="https://github.com/RMI-Web/state-policy-simulator/blob/master/derive_metrics/indst/BIFUbC.py" TargetMode="External"/><Relationship Id="rId4" Type="http://schemas.openxmlformats.org/officeDocument/2006/relationships/hyperlink" Target="https://www.eia.gov/naturalgas/pipelines/EIA-StatetoStateCapacity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workbookViewId="0">
      <selection activeCell="B27" sqref="B27"/>
    </sheetView>
  </sheetViews>
  <sheetFormatPr baseColWidth="10" defaultColWidth="12.6640625" defaultRowHeight="15" customHeight="1" x14ac:dyDescent="0.15"/>
  <cols>
    <col min="1" max="1" width="7.6640625" customWidth="1"/>
    <col min="2" max="2" width="47.83203125" customWidth="1"/>
    <col min="3" max="3" width="37" customWidth="1"/>
    <col min="4" max="4" width="50.6640625" customWidth="1"/>
    <col min="5" max="5" width="52.6640625" customWidth="1"/>
    <col min="6" max="26" width="7.6640625" customWidth="1"/>
  </cols>
  <sheetData>
    <row r="1" spans="1:6" ht="14.5" customHeight="1" x14ac:dyDescent="0.2">
      <c r="A1" s="1" t="s">
        <v>0</v>
      </c>
      <c r="B1" s="10"/>
      <c r="C1" s="47">
        <v>44307</v>
      </c>
      <c r="D1" s="10"/>
      <c r="E1" s="10"/>
    </row>
    <row r="2" spans="1:6" ht="14.5" customHeight="1" x14ac:dyDescent="0.2">
      <c r="B2" s="10"/>
      <c r="C2" s="10"/>
      <c r="D2" s="10"/>
      <c r="E2" s="10"/>
    </row>
    <row r="3" spans="1:6" ht="14.5" customHeight="1" x14ac:dyDescent="0.2">
      <c r="A3" s="1" t="s">
        <v>1</v>
      </c>
      <c r="B3" s="2" t="s">
        <v>2</v>
      </c>
      <c r="C3" s="10"/>
      <c r="D3" s="10"/>
      <c r="E3" s="3"/>
      <c r="F3" s="23" t="s">
        <v>3</v>
      </c>
    </row>
    <row r="4" spans="1:6" ht="14.5" customHeight="1" x14ac:dyDescent="0.2">
      <c r="B4" s="23" t="s">
        <v>4</v>
      </c>
      <c r="C4" s="10"/>
      <c r="D4" s="10"/>
      <c r="E4" s="27"/>
      <c r="F4" s="23" t="s">
        <v>5</v>
      </c>
    </row>
    <row r="5" spans="1:6" ht="14.5" customHeight="1" x14ac:dyDescent="0.2">
      <c r="B5" s="7">
        <v>2019</v>
      </c>
      <c r="C5" s="10"/>
      <c r="D5" s="10"/>
      <c r="E5" s="10"/>
    </row>
    <row r="6" spans="1:6" ht="14.5" customHeight="1" x14ac:dyDescent="0.2">
      <c r="B6" s="23" t="s">
        <v>6</v>
      </c>
      <c r="C6" s="10"/>
      <c r="D6" s="10"/>
      <c r="E6" s="10"/>
    </row>
    <row r="7" spans="1:6" ht="14.5" customHeight="1" x14ac:dyDescent="0.2">
      <c r="B7" s="23" t="s">
        <v>7</v>
      </c>
      <c r="C7" s="10"/>
      <c r="D7" s="10"/>
      <c r="E7" s="10"/>
    </row>
    <row r="8" spans="1:6" ht="14.5" customHeight="1" x14ac:dyDescent="0.2">
      <c r="B8" s="10"/>
      <c r="C8" s="10"/>
      <c r="D8" s="10"/>
      <c r="E8" s="10"/>
    </row>
    <row r="9" spans="1:6" ht="14.5" customHeight="1" x14ac:dyDescent="0.2">
      <c r="B9" s="2" t="s">
        <v>8</v>
      </c>
      <c r="C9" s="2" t="s">
        <v>9</v>
      </c>
      <c r="D9" s="4"/>
      <c r="E9" s="10"/>
    </row>
    <row r="10" spans="1:6" ht="14.5" customHeight="1" x14ac:dyDescent="0.2">
      <c r="B10" s="23" t="s">
        <v>10</v>
      </c>
      <c r="C10" s="23" t="s">
        <v>11</v>
      </c>
      <c r="D10" s="4"/>
      <c r="E10" s="10"/>
    </row>
    <row r="11" spans="1:6" ht="14.5" customHeight="1" x14ac:dyDescent="0.2">
      <c r="B11" s="7">
        <v>2012</v>
      </c>
      <c r="C11" s="7">
        <v>2017</v>
      </c>
      <c r="D11" s="4"/>
      <c r="E11" s="10"/>
    </row>
    <row r="12" spans="1:6" ht="14.5" customHeight="1" x14ac:dyDescent="0.2">
      <c r="B12" s="23" t="s">
        <v>12</v>
      </c>
      <c r="C12" s="23" t="s">
        <v>13</v>
      </c>
      <c r="D12" s="4"/>
      <c r="E12" s="10"/>
    </row>
    <row r="13" spans="1:6" ht="14.5" customHeight="1" x14ac:dyDescent="0.2">
      <c r="B13" s="23" t="s">
        <v>14</v>
      </c>
      <c r="C13" s="23" t="s">
        <v>15</v>
      </c>
      <c r="D13" s="4"/>
      <c r="E13" s="10"/>
    </row>
    <row r="14" spans="1:6" ht="14.5" customHeight="1" x14ac:dyDescent="0.2">
      <c r="B14" s="23" t="s">
        <v>16</v>
      </c>
      <c r="C14" s="10" t="s">
        <v>17</v>
      </c>
      <c r="D14" s="4"/>
      <c r="E14" s="10"/>
    </row>
    <row r="15" spans="1:6" ht="14.5" customHeight="1" x14ac:dyDescent="0.2">
      <c r="B15" s="10"/>
      <c r="C15" s="10"/>
      <c r="D15" s="4"/>
      <c r="E15" s="4"/>
    </row>
    <row r="16" spans="1:6" ht="14.5" customHeight="1" x14ac:dyDescent="0.2">
      <c r="B16" s="2" t="s">
        <v>18</v>
      </c>
      <c r="C16" s="2" t="s">
        <v>19</v>
      </c>
      <c r="D16" s="2" t="s">
        <v>20</v>
      </c>
      <c r="E16" s="10"/>
    </row>
    <row r="17" spans="2:5" ht="14.5" customHeight="1" x14ac:dyDescent="0.2">
      <c r="B17" s="23" t="s">
        <v>21</v>
      </c>
      <c r="C17" s="23" t="s">
        <v>22</v>
      </c>
      <c r="D17" s="10"/>
      <c r="E17" s="10"/>
    </row>
    <row r="18" spans="2:5" ht="31.5" customHeight="1" x14ac:dyDescent="0.2">
      <c r="B18" s="23" t="s">
        <v>23</v>
      </c>
      <c r="C18" s="23" t="s">
        <v>24</v>
      </c>
      <c r="D18" s="5" t="s">
        <v>25</v>
      </c>
      <c r="E18" s="10"/>
    </row>
    <row r="19" spans="2:5" ht="14.5" customHeight="1" x14ac:dyDescent="0.2">
      <c r="B19" s="23" t="s">
        <v>26</v>
      </c>
      <c r="C19" s="23" t="s">
        <v>27</v>
      </c>
      <c r="D19" s="23" t="s">
        <v>28</v>
      </c>
      <c r="E19" s="10"/>
    </row>
    <row r="20" spans="2:5" ht="14.5" customHeight="1" x14ac:dyDescent="0.2">
      <c r="B20" s="23" t="s">
        <v>29</v>
      </c>
      <c r="C20" s="23" t="s">
        <v>30</v>
      </c>
      <c r="D20" s="10"/>
      <c r="E20" s="10"/>
    </row>
    <row r="21" spans="2:5" ht="15.75" customHeight="1" x14ac:dyDescent="0.2">
      <c r="B21" s="23" t="s">
        <v>31</v>
      </c>
      <c r="C21" s="23" t="s">
        <v>32</v>
      </c>
      <c r="D21" s="10"/>
      <c r="E21" s="10"/>
    </row>
    <row r="22" spans="2:5" ht="15.75" customHeight="1" x14ac:dyDescent="0.2">
      <c r="B22" s="23" t="s">
        <v>33</v>
      </c>
      <c r="C22" s="23" t="s">
        <v>34</v>
      </c>
      <c r="D22" s="23" t="s">
        <v>35</v>
      </c>
      <c r="E22" s="10"/>
    </row>
    <row r="23" spans="2:5" ht="15.75" customHeight="1" x14ac:dyDescent="0.2">
      <c r="B23" s="23" t="s">
        <v>36</v>
      </c>
      <c r="C23" s="23" t="s">
        <v>32</v>
      </c>
      <c r="D23" s="10"/>
      <c r="E23" s="10"/>
    </row>
    <row r="24" spans="2:5" ht="15.75" customHeight="1" x14ac:dyDescent="0.2">
      <c r="B24" s="23" t="s">
        <v>37</v>
      </c>
      <c r="C24" s="23" t="s">
        <v>38</v>
      </c>
      <c r="D24" s="23" t="s">
        <v>39</v>
      </c>
      <c r="E24" s="10"/>
    </row>
    <row r="25" spans="2:5" ht="15.75" customHeight="1" x14ac:dyDescent="0.2">
      <c r="B25" s="10"/>
      <c r="C25" s="10"/>
      <c r="D25" s="10"/>
      <c r="E25" s="10"/>
    </row>
    <row r="26" spans="2:5" ht="15.75" customHeight="1" x14ac:dyDescent="0.2">
      <c r="B26" s="2" t="s">
        <v>40</v>
      </c>
      <c r="C26" s="10"/>
      <c r="D26" s="10"/>
      <c r="E26" s="10"/>
    </row>
    <row r="27" spans="2:5" ht="15.75" customHeight="1" x14ac:dyDescent="0.2">
      <c r="B27" s="23" t="s">
        <v>41</v>
      </c>
      <c r="C27" s="10"/>
      <c r="D27" s="10"/>
      <c r="E27" s="10"/>
    </row>
    <row r="28" spans="2:5" ht="15.75" customHeight="1" x14ac:dyDescent="0.2">
      <c r="B28" s="7">
        <v>2007</v>
      </c>
      <c r="C28" s="10"/>
      <c r="D28" s="10"/>
      <c r="E28" s="10"/>
    </row>
    <row r="29" spans="2:5" ht="15.75" customHeight="1" x14ac:dyDescent="0.2">
      <c r="B29" s="23" t="s">
        <v>42</v>
      </c>
      <c r="C29" s="10"/>
      <c r="D29" s="10"/>
      <c r="E29" s="10"/>
    </row>
    <row r="30" spans="2:5" ht="15.75" customHeight="1" x14ac:dyDescent="0.2">
      <c r="B30" s="23" t="s">
        <v>43</v>
      </c>
      <c r="C30" s="10"/>
      <c r="D30" s="10"/>
      <c r="E30" s="10"/>
    </row>
    <row r="31" spans="2:5" ht="15.75" customHeight="1" x14ac:dyDescent="0.2">
      <c r="B31" s="23" t="s">
        <v>44</v>
      </c>
      <c r="C31" s="10"/>
      <c r="D31" s="10"/>
      <c r="E31" s="10"/>
    </row>
    <row r="32" spans="2:5" ht="15.75" customHeight="1" x14ac:dyDescent="0.2">
      <c r="B32" s="10"/>
      <c r="C32" s="10"/>
      <c r="D32" s="10"/>
      <c r="E32" s="10"/>
    </row>
    <row r="33" spans="2:5" ht="15.75" customHeight="1" x14ac:dyDescent="0.2">
      <c r="B33" s="2" t="s">
        <v>45</v>
      </c>
      <c r="C33" s="10"/>
      <c r="D33" s="10"/>
      <c r="E33" s="10"/>
    </row>
    <row r="34" spans="2:5" ht="15.75" customHeight="1" x14ac:dyDescent="0.2">
      <c r="B34" s="23" t="s">
        <v>46</v>
      </c>
      <c r="C34" s="10"/>
      <c r="D34" s="10"/>
      <c r="E34" s="10"/>
    </row>
    <row r="35" spans="2:5" ht="15.75" customHeight="1" x14ac:dyDescent="0.2">
      <c r="B35" s="7">
        <v>2019</v>
      </c>
      <c r="C35" s="10"/>
      <c r="D35" s="10"/>
      <c r="E35" s="10"/>
    </row>
    <row r="36" spans="2:5" ht="15.75" customHeight="1" x14ac:dyDescent="0.2">
      <c r="B36" s="23" t="s">
        <v>47</v>
      </c>
      <c r="C36" s="10"/>
      <c r="D36" s="10"/>
      <c r="E36" s="10"/>
    </row>
    <row r="37" spans="2:5" ht="15.75" customHeight="1" x14ac:dyDescent="0.2">
      <c r="B37" s="23" t="s">
        <v>48</v>
      </c>
      <c r="C37" s="10"/>
      <c r="D37" s="10"/>
      <c r="E37" s="10"/>
    </row>
    <row r="38" spans="2:5" ht="15.75" customHeight="1" x14ac:dyDescent="0.2">
      <c r="B38" s="10"/>
      <c r="C38" s="10"/>
      <c r="D38" s="10"/>
      <c r="E38" s="10"/>
    </row>
    <row r="39" spans="2:5" ht="15.75" customHeight="1" x14ac:dyDescent="0.2">
      <c r="B39" s="2" t="s">
        <v>49</v>
      </c>
      <c r="C39" s="10"/>
      <c r="D39" s="10"/>
      <c r="E39" s="10"/>
    </row>
    <row r="40" spans="2:5" ht="15.75" customHeight="1" x14ac:dyDescent="0.2">
      <c r="B40" s="23" t="s">
        <v>50</v>
      </c>
      <c r="C40" s="10"/>
      <c r="D40" s="10"/>
      <c r="E40" s="10"/>
    </row>
    <row r="41" spans="2:5" ht="15.75" customHeight="1" x14ac:dyDescent="0.2">
      <c r="B41" s="7">
        <v>2019</v>
      </c>
      <c r="C41" s="10"/>
      <c r="D41" s="10"/>
      <c r="E41" s="10"/>
    </row>
    <row r="42" spans="2:5" ht="15.75" customHeight="1" x14ac:dyDescent="0.2">
      <c r="B42" s="23" t="s">
        <v>51</v>
      </c>
      <c r="C42" s="10"/>
      <c r="D42" s="10"/>
      <c r="E42" s="10"/>
    </row>
    <row r="43" spans="2:5" ht="15.75" customHeight="1" x14ac:dyDescent="0.2">
      <c r="B43" s="23" t="s">
        <v>52</v>
      </c>
      <c r="C43" s="10"/>
      <c r="D43" s="10"/>
      <c r="E43" s="10"/>
    </row>
    <row r="44" spans="2:5" ht="15.75" customHeight="1" x14ac:dyDescent="0.2">
      <c r="B44" s="10"/>
      <c r="C44" s="10"/>
      <c r="D44" s="10"/>
      <c r="E44" s="10"/>
    </row>
    <row r="45" spans="2:5" ht="15.75" customHeight="1" x14ac:dyDescent="0.2">
      <c r="B45" s="6" t="s">
        <v>53</v>
      </c>
      <c r="C45" s="10"/>
      <c r="D45" s="10"/>
      <c r="E45" s="10"/>
    </row>
    <row r="46" spans="2:5" ht="15.75" customHeight="1" x14ac:dyDescent="0.2">
      <c r="B46" s="7" t="s">
        <v>54</v>
      </c>
      <c r="D46" s="10"/>
      <c r="E46" s="10"/>
    </row>
    <row r="47" spans="2:5" ht="15.75" customHeight="1" x14ac:dyDescent="0.2">
      <c r="B47" s="7">
        <v>2018</v>
      </c>
      <c r="D47" s="10"/>
      <c r="E47" s="10"/>
    </row>
    <row r="48" spans="2:5" ht="15.75" customHeight="1" x14ac:dyDescent="0.2">
      <c r="B48" s="7" t="s">
        <v>55</v>
      </c>
      <c r="D48" s="10"/>
      <c r="E48" s="10"/>
    </row>
    <row r="49" spans="1:5" ht="15.75" customHeight="1" x14ac:dyDescent="0.2">
      <c r="B49" s="8" t="s">
        <v>56</v>
      </c>
      <c r="D49" s="10"/>
      <c r="E49" s="10"/>
    </row>
    <row r="50" spans="1:5" ht="15.75" customHeight="1" x14ac:dyDescent="0.2">
      <c r="D50" s="10"/>
      <c r="E50" s="10"/>
    </row>
    <row r="51" spans="1:5" ht="15.75" customHeight="1" x14ac:dyDescent="0.2">
      <c r="B51" s="9" t="s">
        <v>57</v>
      </c>
      <c r="D51" s="10"/>
      <c r="E51" s="10"/>
    </row>
    <row r="52" spans="1:5" ht="15.75" customHeight="1" x14ac:dyDescent="0.2">
      <c r="B52" s="10" t="s">
        <v>58</v>
      </c>
      <c r="D52" s="10"/>
      <c r="E52" s="10"/>
    </row>
    <row r="53" spans="1:5" ht="15.75" customHeight="1" x14ac:dyDescent="0.2">
      <c r="B53" s="25">
        <v>2017</v>
      </c>
      <c r="D53" s="10"/>
      <c r="E53" s="10"/>
    </row>
    <row r="54" spans="1:5" ht="15.75" customHeight="1" x14ac:dyDescent="0.2">
      <c r="B54" s="10" t="s">
        <v>59</v>
      </c>
      <c r="D54" s="10"/>
      <c r="E54" s="10"/>
    </row>
    <row r="55" spans="1:5" ht="15.75" customHeight="1" x14ac:dyDescent="0.2">
      <c r="B55" s="10" t="s">
        <v>60</v>
      </c>
      <c r="D55" s="10"/>
      <c r="E55" s="10"/>
    </row>
    <row r="56" spans="1:5" ht="15.75" customHeight="1" x14ac:dyDescent="0.2">
      <c r="B56" s="11" t="s">
        <v>61</v>
      </c>
      <c r="D56" s="10"/>
      <c r="E56" s="10"/>
    </row>
    <row r="57" spans="1:5" ht="15.75" customHeight="1" x14ac:dyDescent="0.2">
      <c r="D57" s="10"/>
      <c r="E57" s="10"/>
    </row>
    <row r="58" spans="1:5" ht="15.75" customHeight="1" x14ac:dyDescent="0.2">
      <c r="D58" s="10"/>
      <c r="E58" s="10"/>
    </row>
    <row r="59" spans="1:5" ht="15.75" customHeight="1" x14ac:dyDescent="0.2">
      <c r="A59" s="1" t="s">
        <v>62</v>
      </c>
      <c r="B59" s="10"/>
      <c r="C59" s="10"/>
      <c r="D59" s="10"/>
      <c r="E59" s="10"/>
    </row>
    <row r="60" spans="1:5" ht="15.75" customHeight="1" x14ac:dyDescent="0.2">
      <c r="A60" s="23" t="s">
        <v>63</v>
      </c>
      <c r="B60" s="10"/>
      <c r="C60" s="10"/>
      <c r="D60" s="10"/>
      <c r="E60" s="10"/>
    </row>
    <row r="61" spans="1:5" ht="15.75" customHeight="1" x14ac:dyDescent="0.2">
      <c r="A61" s="23" t="s">
        <v>64</v>
      </c>
      <c r="B61" s="10"/>
      <c r="C61" s="10"/>
      <c r="D61" s="10"/>
      <c r="E61" s="10"/>
    </row>
    <row r="62" spans="1:5" ht="15.75" customHeight="1" x14ac:dyDescent="0.2">
      <c r="A62" s="23" t="s">
        <v>65</v>
      </c>
      <c r="B62" s="10"/>
      <c r="C62" s="10"/>
      <c r="D62" s="10"/>
      <c r="E62" s="10"/>
    </row>
    <row r="63" spans="1:5" ht="15.75" customHeight="1" x14ac:dyDescent="0.2">
      <c r="B63" s="10"/>
      <c r="C63" s="10"/>
      <c r="D63" s="10"/>
      <c r="E63" s="10"/>
    </row>
    <row r="64" spans="1:5" ht="15.75" customHeight="1" x14ac:dyDescent="0.2">
      <c r="A64" s="12" t="s">
        <v>66</v>
      </c>
      <c r="B64" s="13"/>
      <c r="C64" s="13"/>
      <c r="D64" s="10"/>
      <c r="E64" s="10"/>
    </row>
    <row r="65" spans="1:5" ht="15.75" customHeight="1" x14ac:dyDescent="0.2">
      <c r="A65" t="s">
        <v>67</v>
      </c>
      <c r="B65" s="14"/>
      <c r="C65" s="14"/>
      <c r="D65" s="10"/>
      <c r="E65" s="10"/>
    </row>
    <row r="66" spans="1:5" ht="15.75" customHeight="1" x14ac:dyDescent="0.2">
      <c r="A66" t="s">
        <v>68</v>
      </c>
      <c r="B66" s="14"/>
      <c r="C66" s="14"/>
      <c r="D66" s="10"/>
      <c r="E66" s="10"/>
    </row>
    <row r="67" spans="1:5" ht="15.75" customHeight="1" x14ac:dyDescent="0.2">
      <c r="A67" t="s">
        <v>69</v>
      </c>
      <c r="B67" s="14"/>
      <c r="C67" s="14"/>
      <c r="D67" s="10"/>
      <c r="E67" s="10"/>
    </row>
    <row r="68" spans="1:5" ht="15.75" customHeight="1" x14ac:dyDescent="0.2">
      <c r="A68" s="23" t="s">
        <v>70</v>
      </c>
      <c r="B68" s="14"/>
      <c r="C68" s="14"/>
      <c r="D68" s="10"/>
      <c r="E68" s="10"/>
    </row>
    <row r="69" spans="1:5" ht="15.75" customHeight="1" x14ac:dyDescent="0.2">
      <c r="A69" t="s">
        <v>71</v>
      </c>
      <c r="B69" s="14"/>
      <c r="C69" s="14"/>
      <c r="D69" s="10"/>
      <c r="E69" s="10"/>
    </row>
    <row r="70" spans="1:5" ht="15.75" customHeight="1" x14ac:dyDescent="0.2">
      <c r="A70" s="15"/>
      <c r="B70" s="14"/>
      <c r="C70" s="14"/>
      <c r="D70" s="10"/>
      <c r="E70" s="10"/>
    </row>
    <row r="71" spans="1:5" ht="15.75" customHeight="1" x14ac:dyDescent="0.2">
      <c r="A71" t="s">
        <v>72</v>
      </c>
      <c r="B71" s="14"/>
      <c r="C71" s="14"/>
      <c r="D71" s="10"/>
      <c r="E71" s="10"/>
    </row>
    <row r="72" spans="1:5" ht="15.75" customHeight="1" x14ac:dyDescent="0.2">
      <c r="A72" t="s">
        <v>73</v>
      </c>
      <c r="B72" s="14"/>
      <c r="C72" s="14"/>
      <c r="D72" s="10"/>
      <c r="E72" s="10"/>
    </row>
    <row r="73" spans="1:5" ht="15.75" customHeight="1" x14ac:dyDescent="0.2">
      <c r="A73" t="s">
        <v>74</v>
      </c>
      <c r="B73" s="14"/>
      <c r="C73" s="14"/>
      <c r="D73" s="10"/>
      <c r="E73" s="10"/>
    </row>
    <row r="74" spans="1:5" ht="15.75" customHeight="1" x14ac:dyDescent="0.2">
      <c r="A74" t="s">
        <v>75</v>
      </c>
      <c r="B74" s="14"/>
      <c r="C74" s="14"/>
      <c r="D74" s="10"/>
      <c r="E74" s="10"/>
    </row>
    <row r="75" spans="1:5" ht="15.75" customHeight="1" x14ac:dyDescent="0.2">
      <c r="B75" s="14"/>
      <c r="C75" s="14"/>
      <c r="D75" s="10"/>
      <c r="E75" s="10"/>
    </row>
    <row r="76" spans="1:5" ht="15.75" customHeight="1" x14ac:dyDescent="0.2">
      <c r="A76" t="s">
        <v>76</v>
      </c>
      <c r="B76" s="14"/>
      <c r="C76" s="14"/>
      <c r="D76" s="10"/>
      <c r="E76" s="10"/>
    </row>
    <row r="77" spans="1:5" ht="15.75" customHeight="1" x14ac:dyDescent="0.2">
      <c r="A77" t="s">
        <v>77</v>
      </c>
      <c r="B77" s="14"/>
      <c r="C77" s="14"/>
      <c r="D77" s="10"/>
      <c r="E77" s="10"/>
    </row>
    <row r="78" spans="1:5" ht="15.75" customHeight="1" x14ac:dyDescent="0.2">
      <c r="A78" t="s">
        <v>78</v>
      </c>
      <c r="B78" s="14"/>
      <c r="C78" s="14"/>
      <c r="D78" s="10"/>
      <c r="E78" s="10"/>
    </row>
    <row r="79" spans="1:5" ht="15.75" customHeight="1" x14ac:dyDescent="0.2">
      <c r="A79" t="s">
        <v>79</v>
      </c>
      <c r="B79" s="14"/>
      <c r="C79" s="14"/>
      <c r="D79" s="10"/>
      <c r="E79" s="10"/>
    </row>
    <row r="80" spans="1:5" ht="15.75" customHeight="1" x14ac:dyDescent="0.2">
      <c r="A80" s="23" t="s">
        <v>80</v>
      </c>
      <c r="B80" s="14"/>
      <c r="C80" s="14"/>
      <c r="D80" s="10"/>
      <c r="E80" s="10"/>
    </row>
    <row r="81" spans="1:5" ht="15.75" customHeight="1" x14ac:dyDescent="0.2">
      <c r="B81" s="14"/>
      <c r="C81" s="14"/>
      <c r="D81" s="10"/>
      <c r="E81" s="10"/>
    </row>
    <row r="82" spans="1:5" ht="15.75" customHeight="1" x14ac:dyDescent="0.2">
      <c r="A82" t="s">
        <v>81</v>
      </c>
      <c r="B82" s="14"/>
      <c r="C82" s="14"/>
      <c r="D82" s="10"/>
      <c r="E82" s="10"/>
    </row>
    <row r="83" spans="1:5" ht="15.75" customHeight="1" x14ac:dyDescent="0.2">
      <c r="A83" t="s">
        <v>82</v>
      </c>
      <c r="B83" s="14"/>
      <c r="C83" s="14"/>
      <c r="D83" s="10"/>
      <c r="E83" s="10"/>
    </row>
    <row r="84" spans="1:5" ht="15.75" customHeight="1" x14ac:dyDescent="0.2">
      <c r="B84" s="14"/>
      <c r="C84" s="14"/>
      <c r="D84" s="10"/>
      <c r="E84" s="10"/>
    </row>
    <row r="85" spans="1:5" ht="15.75" customHeight="1" x14ac:dyDescent="0.2">
      <c r="A85" t="s">
        <v>83</v>
      </c>
      <c r="B85" s="14"/>
      <c r="C85" s="14"/>
      <c r="D85" s="10"/>
      <c r="E85" s="10"/>
    </row>
    <row r="86" spans="1:5" ht="15.75" customHeight="1" x14ac:dyDescent="0.2">
      <c r="A86" s="23" t="s">
        <v>84</v>
      </c>
      <c r="B86" s="14"/>
      <c r="C86" s="14"/>
      <c r="D86" s="10"/>
      <c r="E86" s="10"/>
    </row>
    <row r="87" spans="1:5" ht="15.75" customHeight="1" x14ac:dyDescent="0.2">
      <c r="A87" t="s">
        <v>85</v>
      </c>
      <c r="B87" s="14"/>
      <c r="C87" s="14"/>
      <c r="D87" s="10"/>
      <c r="E87" s="10"/>
    </row>
    <row r="88" spans="1:5" ht="15.75" customHeight="1" x14ac:dyDescent="0.2">
      <c r="A88" t="s">
        <v>86</v>
      </c>
      <c r="B88" s="14"/>
      <c r="C88" s="14"/>
      <c r="D88" s="16"/>
      <c r="E88" s="10"/>
    </row>
    <row r="89" spans="1:5" ht="15.75" customHeight="1" x14ac:dyDescent="0.2">
      <c r="A89" s="23" t="s">
        <v>87</v>
      </c>
      <c r="B89" s="14"/>
      <c r="C89" s="14"/>
      <c r="D89" s="16"/>
      <c r="E89" s="10"/>
    </row>
    <row r="90" spans="1:5" ht="15.75" customHeight="1" x14ac:dyDescent="0.2">
      <c r="B90" s="14"/>
      <c r="C90" s="14"/>
      <c r="D90" s="16"/>
      <c r="E90" s="10"/>
    </row>
    <row r="91" spans="1:5" ht="15.75" customHeight="1" x14ac:dyDescent="0.2">
      <c r="A91" t="s">
        <v>88</v>
      </c>
      <c r="B91" s="14"/>
      <c r="C91" s="14"/>
      <c r="D91" s="16"/>
      <c r="E91" s="10"/>
    </row>
    <row r="92" spans="1:5" ht="15.75" customHeight="1" x14ac:dyDescent="0.2">
      <c r="A92" t="s">
        <v>89</v>
      </c>
      <c r="B92" s="14"/>
      <c r="C92" s="14"/>
      <c r="D92" s="16"/>
      <c r="E92" s="10"/>
    </row>
    <row r="93" spans="1:5" ht="15.75" customHeight="1" x14ac:dyDescent="0.2">
      <c r="A93" t="s">
        <v>90</v>
      </c>
      <c r="B93" s="14"/>
      <c r="C93" s="14"/>
      <c r="D93" s="16"/>
      <c r="E93" s="10"/>
    </row>
    <row r="94" spans="1:5" ht="15.75" customHeight="1" x14ac:dyDescent="0.2">
      <c r="A94" t="s">
        <v>91</v>
      </c>
      <c r="B94" s="14"/>
      <c r="C94" s="14"/>
      <c r="D94" s="16"/>
      <c r="E94" s="10"/>
    </row>
    <row r="95" spans="1:5" ht="15.75" customHeight="1" x14ac:dyDescent="0.2">
      <c r="A95" s="23" t="s">
        <v>92</v>
      </c>
      <c r="B95" s="14"/>
      <c r="C95" s="14"/>
      <c r="D95" s="16"/>
      <c r="E95" s="10"/>
    </row>
    <row r="96" spans="1:5" ht="15.75" customHeight="1" x14ac:dyDescent="0.2">
      <c r="B96" s="14"/>
      <c r="C96" s="14"/>
      <c r="D96" s="16"/>
      <c r="E96" s="10"/>
    </row>
    <row r="97" spans="1:5" ht="15.75" customHeight="1" x14ac:dyDescent="0.2">
      <c r="A97" t="s">
        <v>93</v>
      </c>
      <c r="B97" s="14"/>
      <c r="C97" s="14"/>
      <c r="D97" s="16"/>
      <c r="E97" s="10"/>
    </row>
    <row r="98" spans="1:5" ht="15.75" customHeight="1" x14ac:dyDescent="0.2">
      <c r="A98" t="s">
        <v>94</v>
      </c>
      <c r="B98" s="14"/>
      <c r="C98" s="14"/>
      <c r="D98" s="16"/>
      <c r="E98" s="10"/>
    </row>
    <row r="99" spans="1:5" ht="15.75" customHeight="1" x14ac:dyDescent="0.2">
      <c r="A99" t="s">
        <v>95</v>
      </c>
      <c r="B99" s="14"/>
      <c r="C99" s="14"/>
      <c r="D99" s="16"/>
      <c r="E99" s="10"/>
    </row>
    <row r="100" spans="1:5" ht="15.75" customHeight="1" x14ac:dyDescent="0.2">
      <c r="B100" s="14"/>
      <c r="C100" s="14"/>
      <c r="D100" s="16"/>
      <c r="E100" s="10"/>
    </row>
    <row r="101" spans="1:5" ht="15.75" customHeight="1" x14ac:dyDescent="0.2">
      <c r="A101" s="23" t="s">
        <v>96</v>
      </c>
      <c r="B101" s="14"/>
      <c r="C101" s="14"/>
      <c r="D101" s="16"/>
      <c r="E101" s="10"/>
    </row>
    <row r="102" spans="1:5" ht="15.75" customHeight="1" x14ac:dyDescent="0.2">
      <c r="A102" s="17" t="s">
        <v>97</v>
      </c>
      <c r="B102" s="14"/>
      <c r="C102" t="s">
        <v>98</v>
      </c>
      <c r="D102" s="16"/>
      <c r="E102" s="10"/>
    </row>
    <row r="103" spans="1:5" ht="15.75" customHeight="1" x14ac:dyDescent="0.2">
      <c r="A103" s="17" t="s">
        <v>99</v>
      </c>
      <c r="B103" s="14"/>
      <c r="C103" t="s">
        <v>100</v>
      </c>
      <c r="D103" s="16"/>
      <c r="E103" s="10"/>
    </row>
    <row r="104" spans="1:5" ht="15.75" customHeight="1" x14ac:dyDescent="0.2">
      <c r="A104" s="17" t="s">
        <v>101</v>
      </c>
      <c r="B104" s="14"/>
      <c r="C104" t="s">
        <v>100</v>
      </c>
      <c r="D104" s="16"/>
      <c r="E104" s="10"/>
    </row>
    <row r="105" spans="1:5" ht="15.75" customHeight="1" x14ac:dyDescent="0.2">
      <c r="A105" s="18" t="s">
        <v>102</v>
      </c>
      <c r="B105" s="14"/>
      <c r="C105" t="s">
        <v>103</v>
      </c>
      <c r="D105" s="16"/>
      <c r="E105" s="10"/>
    </row>
    <row r="106" spans="1:5" ht="15.75" customHeight="1" x14ac:dyDescent="0.2">
      <c r="A106" s="17" t="s">
        <v>104</v>
      </c>
      <c r="B106" s="14"/>
      <c r="C106" t="s">
        <v>103</v>
      </c>
      <c r="D106" s="16"/>
      <c r="E106" s="10"/>
    </row>
    <row r="107" spans="1:5" ht="15.75" customHeight="1" x14ac:dyDescent="0.2">
      <c r="A107" s="17" t="s">
        <v>105</v>
      </c>
      <c r="B107" s="14"/>
      <c r="C107" t="s">
        <v>106</v>
      </c>
      <c r="D107" s="16"/>
      <c r="E107" s="10"/>
    </row>
    <row r="108" spans="1:5" ht="15.75" customHeight="1" x14ac:dyDescent="0.2">
      <c r="A108" s="17" t="s">
        <v>107</v>
      </c>
      <c r="B108" s="14"/>
      <c r="C108" t="s">
        <v>100</v>
      </c>
      <c r="D108" s="19"/>
      <c r="E108" s="10"/>
    </row>
    <row r="109" spans="1:5" ht="15.75" customHeight="1" x14ac:dyDescent="0.2">
      <c r="A109" s="17" t="s">
        <v>108</v>
      </c>
      <c r="B109" s="14"/>
      <c r="C109" t="s">
        <v>103</v>
      </c>
      <c r="D109" s="16"/>
      <c r="E109" s="10"/>
    </row>
    <row r="110" spans="1:5" ht="15.75" customHeight="1" x14ac:dyDescent="0.2">
      <c r="A110" s="17" t="s">
        <v>109</v>
      </c>
      <c r="B110" s="14"/>
      <c r="C110" t="s">
        <v>103</v>
      </c>
      <c r="D110" s="19"/>
      <c r="E110" s="10"/>
    </row>
    <row r="111" spans="1:5" ht="15.75" customHeight="1" x14ac:dyDescent="0.2">
      <c r="A111" s="17" t="s">
        <v>110</v>
      </c>
      <c r="B111" s="14"/>
      <c r="C111" t="s">
        <v>106</v>
      </c>
      <c r="D111" s="10"/>
      <c r="E111" s="10"/>
    </row>
    <row r="112" spans="1:5" ht="15.75" customHeight="1" x14ac:dyDescent="0.2">
      <c r="D112" s="10"/>
      <c r="E112" s="10"/>
    </row>
    <row r="113" spans="1:5" ht="15.75" customHeight="1" x14ac:dyDescent="0.2">
      <c r="D113" s="10"/>
      <c r="E113" s="10"/>
    </row>
    <row r="114" spans="1:5" ht="15.75" customHeight="1" x14ac:dyDescent="0.2">
      <c r="A114" s="20" t="s">
        <v>111</v>
      </c>
      <c r="D114" s="10"/>
      <c r="E114" s="10"/>
    </row>
    <row r="115" spans="1:5" ht="15.75" customHeight="1" x14ac:dyDescent="0.2">
      <c r="A115" s="26" t="s">
        <v>112</v>
      </c>
      <c r="B115" s="21"/>
      <c r="D115" s="10"/>
      <c r="E115" s="10"/>
    </row>
    <row r="116" spans="1:5" ht="15.75" customHeight="1" x14ac:dyDescent="0.2">
      <c r="D116" s="10"/>
      <c r="E116" s="10"/>
    </row>
    <row r="117" spans="1:5" ht="15.75" customHeight="1" x14ac:dyDescent="0.2">
      <c r="A117" s="22" t="s">
        <v>113</v>
      </c>
      <c r="B117" s="21"/>
      <c r="C117" s="10"/>
      <c r="D117" s="10"/>
      <c r="E117" s="10"/>
    </row>
    <row r="118" spans="1:5" ht="15.75" customHeight="1" x14ac:dyDescent="0.2">
      <c r="A118" s="26" t="s">
        <v>114</v>
      </c>
      <c r="B118" s="10"/>
      <c r="C118" s="10"/>
      <c r="D118" s="10"/>
      <c r="E118" s="10"/>
    </row>
    <row r="119" spans="1:5" ht="15.75" customHeight="1" x14ac:dyDescent="0.2">
      <c r="A119" s="26" t="s">
        <v>115</v>
      </c>
      <c r="B119" s="10"/>
      <c r="C119" s="10"/>
      <c r="D119" s="10"/>
      <c r="E119" s="10"/>
    </row>
    <row r="120" spans="1:5" ht="15.75" customHeight="1" x14ac:dyDescent="0.2">
      <c r="A120" s="26" t="s">
        <v>116</v>
      </c>
      <c r="C120" s="10"/>
      <c r="D120" s="10"/>
      <c r="E120" s="10"/>
    </row>
    <row r="121" spans="1:5" ht="15.75" customHeight="1" x14ac:dyDescent="0.2">
      <c r="A121" s="26" t="s">
        <v>117</v>
      </c>
      <c r="C121" s="10"/>
      <c r="D121" s="10"/>
      <c r="E121" s="10"/>
    </row>
    <row r="122" spans="1:5" ht="15.75" customHeight="1" x14ac:dyDescent="0.2">
      <c r="A122" s="26" t="s">
        <v>118</v>
      </c>
      <c r="C122" s="10"/>
      <c r="D122" s="10"/>
      <c r="E122" s="10"/>
    </row>
    <row r="123" spans="1:5" ht="15.75" customHeight="1" x14ac:dyDescent="0.2">
      <c r="C123" s="10"/>
      <c r="D123" s="10"/>
      <c r="E123" s="10"/>
    </row>
    <row r="124" spans="1:5" ht="15.75" customHeight="1" x14ac:dyDescent="0.2">
      <c r="A124" s="26" t="s">
        <v>119</v>
      </c>
      <c r="C124" s="10"/>
      <c r="D124" s="10"/>
      <c r="E124" s="10"/>
    </row>
    <row r="125" spans="1:5" ht="15.75" customHeight="1" x14ac:dyDescent="0.2">
      <c r="A125" s="26" t="s">
        <v>120</v>
      </c>
      <c r="C125" s="10"/>
      <c r="D125" s="10"/>
      <c r="E125" s="10"/>
    </row>
    <row r="126" spans="1:5" ht="15.75" customHeight="1" x14ac:dyDescent="0.2">
      <c r="A126" s="26" t="s">
        <v>121</v>
      </c>
      <c r="C126" s="10"/>
      <c r="D126" s="10"/>
      <c r="E126" s="10"/>
    </row>
    <row r="127" spans="1:5" ht="15.75" customHeight="1" x14ac:dyDescent="0.2">
      <c r="A127" s="26" t="s">
        <v>122</v>
      </c>
      <c r="C127" s="10"/>
      <c r="D127" s="10"/>
      <c r="E127" s="10"/>
    </row>
    <row r="128" spans="1:5" ht="15.75" customHeight="1" x14ac:dyDescent="0.2">
      <c r="A128" s="26" t="s">
        <v>123</v>
      </c>
      <c r="B128" s="10"/>
      <c r="C128" s="10"/>
      <c r="D128" s="10"/>
      <c r="E128" s="10"/>
    </row>
    <row r="129" spans="1:5" ht="15.75" customHeight="1" x14ac:dyDescent="0.2">
      <c r="B129" s="10"/>
      <c r="C129" s="10"/>
      <c r="D129" s="10"/>
      <c r="E129" s="10"/>
    </row>
    <row r="130" spans="1:5" ht="15.75" customHeight="1" x14ac:dyDescent="0.2">
      <c r="A130" s="22" t="s">
        <v>124</v>
      </c>
      <c r="B130" s="10"/>
      <c r="C130" s="10"/>
      <c r="D130" s="10"/>
      <c r="E130" s="10"/>
    </row>
    <row r="131" spans="1:5" ht="15.75" customHeight="1" x14ac:dyDescent="0.2">
      <c r="A131" s="26" t="s">
        <v>125</v>
      </c>
      <c r="B131" s="10"/>
      <c r="C131" s="10"/>
      <c r="D131" s="10"/>
      <c r="E131" s="10"/>
    </row>
    <row r="132" spans="1:5" ht="15.75" customHeight="1" x14ac:dyDescent="0.2">
      <c r="A132" s="26" t="s">
        <v>126</v>
      </c>
      <c r="B132" s="10"/>
      <c r="C132" s="10"/>
      <c r="D132" s="10"/>
      <c r="E132" s="10"/>
    </row>
    <row r="133" spans="1:5" ht="15.75" customHeight="1" x14ac:dyDescent="0.2">
      <c r="A133" s="26" t="s">
        <v>127</v>
      </c>
      <c r="C133" s="10"/>
      <c r="D133" s="10"/>
      <c r="E133" s="10"/>
    </row>
    <row r="134" spans="1:5" ht="15.75" customHeight="1" x14ac:dyDescent="0.2">
      <c r="A134" s="26" t="s">
        <v>128</v>
      </c>
      <c r="B134" s="10"/>
      <c r="C134" s="10"/>
      <c r="D134" s="10"/>
      <c r="E134" s="10"/>
    </row>
    <row r="135" spans="1:5" ht="15.75" customHeight="1" x14ac:dyDescent="0.2">
      <c r="A135" s="26" t="s">
        <v>129</v>
      </c>
      <c r="B135" s="10"/>
      <c r="C135" s="10"/>
      <c r="D135" s="10"/>
      <c r="E135" s="10"/>
    </row>
    <row r="136" spans="1:5" ht="15.75" customHeight="1" x14ac:dyDescent="0.2">
      <c r="A136" s="26" t="s">
        <v>130</v>
      </c>
      <c r="B136" s="10"/>
      <c r="C136" s="10"/>
      <c r="D136" s="10"/>
      <c r="E136" s="10"/>
    </row>
    <row r="137" spans="1:5" ht="15.75" customHeight="1" x14ac:dyDescent="0.2">
      <c r="B137" s="10"/>
      <c r="C137" s="10"/>
      <c r="D137" s="10"/>
      <c r="E137" s="10"/>
    </row>
    <row r="138" spans="1:5" ht="15.75" customHeight="1" x14ac:dyDescent="0.2">
      <c r="A138" s="23" t="s">
        <v>131</v>
      </c>
      <c r="B138" s="10"/>
      <c r="C138" s="10"/>
      <c r="D138" s="10"/>
      <c r="E138" s="10"/>
    </row>
    <row r="139" spans="1:5" ht="15.75" customHeight="1" x14ac:dyDescent="0.2">
      <c r="A139" s="24" t="s">
        <v>132</v>
      </c>
      <c r="B139" s="10"/>
      <c r="C139" s="10"/>
      <c r="D139" s="10"/>
      <c r="E139" s="10"/>
    </row>
    <row r="140" spans="1:5" ht="15.75" customHeight="1" x14ac:dyDescent="0.2">
      <c r="B140" s="10"/>
      <c r="C140" s="10"/>
      <c r="D140" s="10"/>
      <c r="E140" s="10"/>
    </row>
    <row r="141" spans="1:5" ht="15.75" customHeight="1" x14ac:dyDescent="0.2">
      <c r="B141" s="14"/>
      <c r="C141" s="10"/>
      <c r="D141" s="10"/>
      <c r="E141" s="10"/>
    </row>
    <row r="142" spans="1:5" ht="15.75" customHeight="1" x14ac:dyDescent="0.2">
      <c r="B142" s="10"/>
      <c r="C142" s="10"/>
      <c r="D142" s="10"/>
      <c r="E142" s="10"/>
    </row>
    <row r="143" spans="1:5" ht="15.75" customHeight="1" x14ac:dyDescent="0.2">
      <c r="B143" s="10"/>
      <c r="C143" s="10"/>
      <c r="D143" s="10"/>
      <c r="E143" s="10"/>
    </row>
    <row r="144" spans="1:5" ht="15.75" customHeight="1" x14ac:dyDescent="0.2">
      <c r="B144" s="10"/>
      <c r="C144" s="10"/>
      <c r="D144" s="10"/>
      <c r="E144" s="10"/>
    </row>
    <row r="145" spans="2:5" ht="15.75" customHeight="1" x14ac:dyDescent="0.2">
      <c r="B145" s="10"/>
      <c r="C145" s="10"/>
      <c r="D145" s="10"/>
      <c r="E145" s="10"/>
    </row>
    <row r="146" spans="2:5" ht="15.75" customHeight="1" x14ac:dyDescent="0.2">
      <c r="B146" s="10"/>
      <c r="C146" s="10"/>
      <c r="D146" s="10"/>
      <c r="E146" s="10"/>
    </row>
    <row r="147" spans="2:5" ht="15.75" customHeight="1" x14ac:dyDescent="0.2">
      <c r="B147" s="10"/>
      <c r="C147" s="10"/>
      <c r="D147" s="10"/>
      <c r="E147" s="10"/>
    </row>
    <row r="148" spans="2:5" ht="15.75" customHeight="1" x14ac:dyDescent="0.2">
      <c r="B148" s="10"/>
      <c r="C148" s="10"/>
      <c r="D148" s="10"/>
      <c r="E148" s="10"/>
    </row>
    <row r="149" spans="2:5" ht="15.75" customHeight="1" x14ac:dyDescent="0.2">
      <c r="B149" s="10"/>
      <c r="C149" s="10"/>
      <c r="D149" s="10"/>
      <c r="E149" s="10"/>
    </row>
    <row r="150" spans="2:5" ht="15.75" customHeight="1" x14ac:dyDescent="0.2">
      <c r="B150" s="10"/>
      <c r="C150" s="10"/>
      <c r="D150" s="10"/>
      <c r="E150" s="10"/>
    </row>
    <row r="151" spans="2:5" ht="15.75" customHeight="1" x14ac:dyDescent="0.2">
      <c r="B151" s="10"/>
      <c r="C151" s="10"/>
      <c r="D151" s="10"/>
      <c r="E151" s="10"/>
    </row>
    <row r="152" spans="2:5" ht="15.75" customHeight="1" x14ac:dyDescent="0.2">
      <c r="B152" s="10"/>
      <c r="C152" s="10"/>
      <c r="D152" s="10"/>
      <c r="E152" s="10"/>
    </row>
    <row r="153" spans="2:5" ht="15.75" customHeight="1" x14ac:dyDescent="0.2">
      <c r="B153" s="10"/>
      <c r="C153" s="10"/>
      <c r="D153" s="10"/>
      <c r="E153" s="10"/>
    </row>
    <row r="154" spans="2:5" ht="15.75" customHeight="1" x14ac:dyDescent="0.2">
      <c r="B154" s="10"/>
      <c r="C154" s="10"/>
      <c r="D154" s="10"/>
      <c r="E154" s="10"/>
    </row>
    <row r="155" spans="2:5" ht="15.75" customHeight="1" x14ac:dyDescent="0.2">
      <c r="B155" s="10"/>
      <c r="C155" s="10"/>
      <c r="D155" s="10"/>
      <c r="E155" s="10"/>
    </row>
    <row r="156" spans="2:5" ht="15.75" customHeight="1" x14ac:dyDescent="0.2">
      <c r="B156" s="10"/>
      <c r="C156" s="10"/>
      <c r="D156" s="10"/>
      <c r="E156" s="10"/>
    </row>
    <row r="157" spans="2:5" ht="15.75" customHeight="1" x14ac:dyDescent="0.2">
      <c r="B157" s="10"/>
      <c r="C157" s="10"/>
      <c r="D157" s="10"/>
      <c r="E157" s="10"/>
    </row>
    <row r="158" spans="2:5" ht="15.75" customHeight="1" x14ac:dyDescent="0.2">
      <c r="B158" s="10"/>
      <c r="C158" s="10"/>
      <c r="D158" s="10"/>
      <c r="E158" s="10"/>
    </row>
    <row r="159" spans="2:5" ht="15.75" customHeight="1" x14ac:dyDescent="0.2">
      <c r="B159" s="10"/>
      <c r="C159" s="10"/>
      <c r="D159" s="10"/>
      <c r="E159" s="10"/>
    </row>
    <row r="160" spans="2:5" ht="15.75" customHeight="1" x14ac:dyDescent="0.2">
      <c r="B160" s="10"/>
      <c r="C160" s="10"/>
      <c r="D160" s="10"/>
      <c r="E160" s="10"/>
    </row>
    <row r="161" spans="2:5" ht="15.75" customHeight="1" x14ac:dyDescent="0.2">
      <c r="B161" s="10"/>
      <c r="C161" s="10"/>
      <c r="D161" s="10"/>
      <c r="E161" s="10"/>
    </row>
    <row r="162" spans="2:5" ht="15.75" customHeight="1" x14ac:dyDescent="0.2">
      <c r="B162" s="10"/>
      <c r="C162" s="10"/>
      <c r="D162" s="10"/>
      <c r="E162" s="10"/>
    </row>
    <row r="163" spans="2:5" ht="15.75" customHeight="1" x14ac:dyDescent="0.2">
      <c r="B163" s="10"/>
      <c r="C163" s="10"/>
      <c r="D163" s="10"/>
      <c r="E163" s="10"/>
    </row>
    <row r="164" spans="2:5" ht="15.75" customHeight="1" x14ac:dyDescent="0.2">
      <c r="B164" s="10"/>
      <c r="C164" s="10"/>
      <c r="D164" s="10"/>
      <c r="E164" s="10"/>
    </row>
    <row r="165" spans="2:5" ht="15.75" customHeight="1" x14ac:dyDescent="0.2">
      <c r="B165" s="10"/>
      <c r="C165" s="10"/>
      <c r="D165" s="10"/>
      <c r="E165" s="10"/>
    </row>
    <row r="166" spans="2:5" ht="15.75" customHeight="1" x14ac:dyDescent="0.2">
      <c r="B166" s="10"/>
      <c r="C166" s="10"/>
      <c r="D166" s="10"/>
      <c r="E166" s="10"/>
    </row>
    <row r="167" spans="2:5" ht="15.75" customHeight="1" x14ac:dyDescent="0.2">
      <c r="B167" s="10"/>
      <c r="C167" s="10"/>
      <c r="D167" s="10"/>
      <c r="E167" s="10"/>
    </row>
    <row r="168" spans="2:5" ht="15.75" customHeight="1" x14ac:dyDescent="0.2">
      <c r="B168" s="10"/>
      <c r="C168" s="10"/>
      <c r="D168" s="10"/>
      <c r="E168" s="10"/>
    </row>
    <row r="169" spans="2:5" ht="15.75" customHeight="1" x14ac:dyDescent="0.2">
      <c r="B169" s="10"/>
      <c r="C169" s="10"/>
      <c r="D169" s="10"/>
      <c r="E169" s="10"/>
    </row>
    <row r="170" spans="2:5" ht="15.75" customHeight="1" x14ac:dyDescent="0.2">
      <c r="B170" s="10"/>
      <c r="C170" s="10"/>
      <c r="D170" s="10"/>
      <c r="E170" s="10"/>
    </row>
    <row r="171" spans="2:5" ht="15.75" customHeight="1" x14ac:dyDescent="0.2">
      <c r="B171" s="10"/>
      <c r="C171" s="10"/>
      <c r="D171" s="10"/>
      <c r="E171" s="10"/>
    </row>
    <row r="172" spans="2:5" ht="15.75" customHeight="1" x14ac:dyDescent="0.2">
      <c r="B172" s="10"/>
      <c r="C172" s="10"/>
      <c r="D172" s="10"/>
      <c r="E172" s="10"/>
    </row>
    <row r="173" spans="2:5" ht="15.75" customHeight="1" x14ac:dyDescent="0.2">
      <c r="B173" s="10"/>
      <c r="C173" s="10"/>
      <c r="D173" s="10"/>
      <c r="E173" s="10"/>
    </row>
    <row r="174" spans="2:5" ht="15.75" customHeight="1" x14ac:dyDescent="0.2">
      <c r="B174" s="10"/>
      <c r="C174" s="10"/>
      <c r="D174" s="10"/>
      <c r="E174" s="10"/>
    </row>
    <row r="175" spans="2:5" ht="15.75" customHeight="1" x14ac:dyDescent="0.2">
      <c r="B175" s="10"/>
      <c r="C175" s="10"/>
      <c r="D175" s="10"/>
      <c r="E175" s="10"/>
    </row>
    <row r="176" spans="2:5" ht="15.75" customHeight="1" x14ac:dyDescent="0.2">
      <c r="B176" s="10"/>
      <c r="C176" s="10"/>
      <c r="D176" s="10"/>
      <c r="E176" s="10"/>
    </row>
    <row r="177" spans="2:5" ht="15.75" customHeight="1" x14ac:dyDescent="0.2">
      <c r="B177" s="10"/>
      <c r="C177" s="10"/>
      <c r="D177" s="10"/>
      <c r="E177" s="10"/>
    </row>
    <row r="178" spans="2:5" ht="15.75" customHeight="1" x14ac:dyDescent="0.2">
      <c r="B178" s="10"/>
      <c r="C178" s="10"/>
      <c r="D178" s="10"/>
      <c r="E178" s="10"/>
    </row>
    <row r="179" spans="2:5" ht="15.75" customHeight="1" x14ac:dyDescent="0.2">
      <c r="B179" s="10"/>
      <c r="C179" s="10"/>
      <c r="D179" s="10"/>
      <c r="E179" s="10"/>
    </row>
    <row r="180" spans="2:5" ht="15.75" customHeight="1" x14ac:dyDescent="0.2">
      <c r="B180" s="10"/>
      <c r="C180" s="10"/>
      <c r="D180" s="10"/>
      <c r="E180" s="10"/>
    </row>
    <row r="181" spans="2:5" ht="15.75" customHeight="1" x14ac:dyDescent="0.2">
      <c r="B181" s="10"/>
      <c r="C181" s="10"/>
      <c r="D181" s="10"/>
      <c r="E181" s="10"/>
    </row>
    <row r="182" spans="2:5" ht="15.75" customHeight="1" x14ac:dyDescent="0.2">
      <c r="B182" s="10"/>
      <c r="C182" s="10"/>
      <c r="D182" s="10"/>
      <c r="E182" s="10"/>
    </row>
    <row r="183" spans="2:5" ht="15.75" customHeight="1" x14ac:dyDescent="0.2">
      <c r="B183" s="10"/>
      <c r="C183" s="10"/>
      <c r="D183" s="10"/>
      <c r="E183" s="10"/>
    </row>
    <row r="184" spans="2:5" ht="15.75" customHeight="1" x14ac:dyDescent="0.2">
      <c r="B184" s="10"/>
      <c r="C184" s="10"/>
      <c r="D184" s="10"/>
      <c r="E184" s="10"/>
    </row>
    <row r="185" spans="2:5" ht="15.75" customHeight="1" x14ac:dyDescent="0.2">
      <c r="B185" s="10"/>
      <c r="C185" s="10"/>
      <c r="D185" s="10"/>
      <c r="E185" s="10"/>
    </row>
    <row r="186" spans="2:5" ht="15.75" customHeight="1" x14ac:dyDescent="0.2">
      <c r="B186" s="10"/>
      <c r="C186" s="10"/>
      <c r="D186" s="10"/>
      <c r="E186" s="10"/>
    </row>
    <row r="187" spans="2:5" ht="15.75" customHeight="1" x14ac:dyDescent="0.2">
      <c r="B187" s="10"/>
      <c r="C187" s="10"/>
      <c r="D187" s="10"/>
      <c r="E187" s="10"/>
    </row>
    <row r="188" spans="2:5" ht="15.75" customHeight="1" x14ac:dyDescent="0.2">
      <c r="B188" s="10"/>
      <c r="C188" s="10"/>
      <c r="D188" s="10"/>
      <c r="E188" s="10"/>
    </row>
    <row r="189" spans="2:5" ht="15.75" customHeight="1" x14ac:dyDescent="0.2">
      <c r="B189" s="10"/>
      <c r="C189" s="10"/>
      <c r="D189" s="10"/>
      <c r="E189" s="10"/>
    </row>
    <row r="190" spans="2:5" ht="15.75" customHeight="1" x14ac:dyDescent="0.2">
      <c r="B190" s="10"/>
      <c r="C190" s="10"/>
      <c r="D190" s="10"/>
      <c r="E190" s="10"/>
    </row>
    <row r="191" spans="2:5" ht="15.75" customHeight="1" x14ac:dyDescent="0.2">
      <c r="B191" s="10"/>
      <c r="C191" s="10"/>
      <c r="D191" s="10"/>
      <c r="E191" s="10"/>
    </row>
    <row r="192" spans="2:5" ht="15.75" customHeight="1" x14ac:dyDescent="0.2">
      <c r="B192" s="10"/>
      <c r="C192" s="10"/>
      <c r="D192" s="10"/>
      <c r="E192" s="10"/>
    </row>
    <row r="193" spans="2:5" ht="15.75" customHeight="1" x14ac:dyDescent="0.2">
      <c r="B193" s="10"/>
      <c r="C193" s="10"/>
      <c r="D193" s="10"/>
      <c r="E193" s="10"/>
    </row>
    <row r="194" spans="2:5" ht="15.75" customHeight="1" x14ac:dyDescent="0.2">
      <c r="B194" s="10"/>
      <c r="C194" s="10"/>
      <c r="D194" s="10"/>
      <c r="E194" s="10"/>
    </row>
    <row r="195" spans="2:5" ht="15.75" customHeight="1" x14ac:dyDescent="0.2">
      <c r="B195" s="10"/>
      <c r="C195" s="10"/>
      <c r="D195" s="10"/>
      <c r="E195" s="10"/>
    </row>
    <row r="196" spans="2:5" ht="15.75" customHeight="1" x14ac:dyDescent="0.2">
      <c r="B196" s="10"/>
      <c r="C196" s="10"/>
      <c r="D196" s="10"/>
      <c r="E196" s="10"/>
    </row>
    <row r="197" spans="2:5" ht="15.75" customHeight="1" x14ac:dyDescent="0.2">
      <c r="B197" s="10"/>
      <c r="C197" s="10"/>
      <c r="D197" s="10"/>
      <c r="E197" s="10"/>
    </row>
    <row r="198" spans="2:5" ht="15.75" customHeight="1" x14ac:dyDescent="0.2">
      <c r="B198" s="10"/>
      <c r="C198" s="10"/>
      <c r="D198" s="10"/>
      <c r="E198" s="10"/>
    </row>
    <row r="199" spans="2:5" ht="15.75" customHeight="1" x14ac:dyDescent="0.2">
      <c r="B199" s="10"/>
      <c r="C199" s="10"/>
      <c r="D199" s="10"/>
      <c r="E199" s="10"/>
    </row>
    <row r="200" spans="2:5" ht="15.75" customHeight="1" x14ac:dyDescent="0.2">
      <c r="B200" s="10"/>
      <c r="C200" s="10"/>
      <c r="D200" s="10"/>
      <c r="E200" s="10"/>
    </row>
    <row r="201" spans="2:5" ht="15.75" customHeight="1" x14ac:dyDescent="0.2">
      <c r="B201" s="10"/>
      <c r="C201" s="10"/>
      <c r="D201" s="10"/>
      <c r="E201" s="10"/>
    </row>
    <row r="202" spans="2:5" ht="15.75" customHeight="1" x14ac:dyDescent="0.2">
      <c r="B202" s="10"/>
      <c r="C202" s="10"/>
      <c r="D202" s="10"/>
      <c r="E202" s="10"/>
    </row>
    <row r="203" spans="2:5" ht="15.75" customHeight="1" x14ac:dyDescent="0.2">
      <c r="B203" s="10"/>
      <c r="C203" s="10"/>
      <c r="D203" s="10"/>
      <c r="E203" s="10"/>
    </row>
    <row r="204" spans="2:5" ht="15.75" customHeight="1" x14ac:dyDescent="0.2">
      <c r="B204" s="10"/>
      <c r="C204" s="10"/>
      <c r="D204" s="10"/>
      <c r="E204" s="10"/>
    </row>
    <row r="205" spans="2:5" ht="15.75" customHeight="1" x14ac:dyDescent="0.2">
      <c r="B205" s="10"/>
      <c r="C205" s="10"/>
      <c r="D205" s="10"/>
      <c r="E205" s="10"/>
    </row>
    <row r="206" spans="2:5" ht="15.75" customHeight="1" x14ac:dyDescent="0.2">
      <c r="B206" s="10"/>
      <c r="C206" s="10"/>
      <c r="D206" s="10"/>
      <c r="E206" s="10"/>
    </row>
    <row r="207" spans="2:5" ht="15.75" customHeight="1" x14ac:dyDescent="0.2">
      <c r="B207" s="10"/>
      <c r="C207" s="10"/>
      <c r="D207" s="10"/>
      <c r="E207" s="10"/>
    </row>
    <row r="208" spans="2:5" ht="15.75" customHeight="1" x14ac:dyDescent="0.2">
      <c r="B208" s="10"/>
      <c r="C208" s="10"/>
      <c r="D208" s="10"/>
      <c r="E208" s="10"/>
    </row>
    <row r="209" spans="2:5" ht="15.75" customHeight="1" x14ac:dyDescent="0.2">
      <c r="B209" s="10"/>
      <c r="C209" s="10"/>
      <c r="D209" s="10"/>
      <c r="E209" s="10"/>
    </row>
    <row r="210" spans="2:5" ht="15.75" customHeight="1" x14ac:dyDescent="0.2">
      <c r="B210" s="10"/>
      <c r="C210" s="10"/>
      <c r="D210" s="10"/>
      <c r="E210" s="10"/>
    </row>
    <row r="211" spans="2:5" ht="15.75" customHeight="1" x14ac:dyDescent="0.2">
      <c r="B211" s="10"/>
      <c r="C211" s="10"/>
      <c r="D211" s="10"/>
      <c r="E211" s="10"/>
    </row>
    <row r="212" spans="2:5" ht="15.75" customHeight="1" x14ac:dyDescent="0.2">
      <c r="B212" s="10"/>
      <c r="C212" s="10"/>
      <c r="D212" s="10"/>
      <c r="E212" s="10"/>
    </row>
    <row r="213" spans="2:5" ht="15.75" customHeight="1" x14ac:dyDescent="0.2">
      <c r="B213" s="10"/>
      <c r="C213" s="10"/>
      <c r="D213" s="10"/>
      <c r="E213" s="10"/>
    </row>
    <row r="214" spans="2:5" ht="15.75" customHeight="1" x14ac:dyDescent="0.2">
      <c r="B214" s="10"/>
      <c r="C214" s="10"/>
      <c r="D214" s="10"/>
      <c r="E214" s="10"/>
    </row>
    <row r="215" spans="2:5" ht="15.75" customHeight="1" x14ac:dyDescent="0.2">
      <c r="B215" s="10"/>
      <c r="C215" s="10"/>
      <c r="D215" s="10"/>
      <c r="E215" s="10"/>
    </row>
    <row r="216" spans="2:5" ht="15.75" customHeight="1" x14ac:dyDescent="0.2">
      <c r="B216" s="10"/>
      <c r="C216" s="10"/>
      <c r="D216" s="10"/>
      <c r="E216" s="10"/>
    </row>
    <row r="217" spans="2:5" ht="15.75" customHeight="1" x14ac:dyDescent="0.2">
      <c r="B217" s="10"/>
      <c r="C217" s="10"/>
      <c r="D217" s="10"/>
      <c r="E217" s="10"/>
    </row>
    <row r="218" spans="2:5" ht="15.75" customHeight="1" x14ac:dyDescent="0.2">
      <c r="B218" s="10"/>
      <c r="C218" s="10"/>
      <c r="D218" s="10"/>
      <c r="E218" s="10"/>
    </row>
    <row r="219" spans="2:5" ht="15.75" customHeight="1" x14ac:dyDescent="0.2">
      <c r="B219" s="10"/>
      <c r="C219" s="10"/>
      <c r="D219" s="10"/>
      <c r="E219" s="10"/>
    </row>
    <row r="220" spans="2:5" ht="15.75" customHeight="1" x14ac:dyDescent="0.2">
      <c r="B220" s="10"/>
      <c r="C220" s="10"/>
      <c r="D220" s="10"/>
      <c r="E220" s="10"/>
    </row>
    <row r="221" spans="2:5" ht="15.75" customHeight="1" x14ac:dyDescent="0.2">
      <c r="B221" s="10"/>
      <c r="C221" s="10"/>
      <c r="D221" s="10"/>
      <c r="E221" s="10"/>
    </row>
    <row r="222" spans="2:5" ht="15.75" customHeight="1" x14ac:dyDescent="0.2">
      <c r="B222" s="10"/>
      <c r="C222" s="10"/>
      <c r="D222" s="10"/>
      <c r="E222" s="10"/>
    </row>
    <row r="223" spans="2:5" ht="15.75" customHeight="1" x14ac:dyDescent="0.2">
      <c r="B223" s="10"/>
      <c r="C223" s="10"/>
      <c r="D223" s="10"/>
      <c r="E223" s="10"/>
    </row>
    <row r="224" spans="2:5" ht="15.75" customHeight="1" x14ac:dyDescent="0.2">
      <c r="B224" s="10"/>
      <c r="C224" s="10"/>
      <c r="D224" s="10"/>
      <c r="E224" s="10"/>
    </row>
    <row r="225" spans="2:5" ht="15.75" customHeight="1" x14ac:dyDescent="0.2">
      <c r="B225" s="10"/>
      <c r="C225" s="10"/>
      <c r="D225" s="10"/>
      <c r="E225" s="10"/>
    </row>
    <row r="226" spans="2:5" ht="15.75" customHeight="1" x14ac:dyDescent="0.2">
      <c r="B226" s="10"/>
      <c r="C226" s="10"/>
      <c r="D226" s="10"/>
      <c r="E226" s="10"/>
    </row>
    <row r="227" spans="2:5" ht="15.75" customHeight="1" x14ac:dyDescent="0.2">
      <c r="B227" s="10"/>
      <c r="C227" s="10"/>
      <c r="D227" s="10"/>
      <c r="E227" s="10"/>
    </row>
    <row r="228" spans="2:5" ht="15.75" customHeight="1" x14ac:dyDescent="0.2">
      <c r="B228" s="10"/>
      <c r="C228" s="10"/>
      <c r="D228" s="10"/>
      <c r="E228" s="10"/>
    </row>
    <row r="229" spans="2:5" ht="15.75" customHeight="1" x14ac:dyDescent="0.2">
      <c r="B229" s="10"/>
      <c r="C229" s="10"/>
      <c r="D229" s="10"/>
      <c r="E229" s="10"/>
    </row>
    <row r="230" spans="2:5" ht="15.75" customHeight="1" x14ac:dyDescent="0.2">
      <c r="B230" s="10"/>
      <c r="C230" s="10"/>
      <c r="D230" s="10"/>
      <c r="E230" s="10"/>
    </row>
    <row r="231" spans="2:5" ht="15.75" customHeight="1" x14ac:dyDescent="0.2">
      <c r="B231" s="10"/>
      <c r="C231" s="10"/>
      <c r="D231" s="10"/>
      <c r="E231" s="10"/>
    </row>
    <row r="232" spans="2:5" ht="15.75" customHeight="1" x14ac:dyDescent="0.2">
      <c r="B232" s="10"/>
      <c r="C232" s="10"/>
      <c r="D232" s="10"/>
      <c r="E232" s="10"/>
    </row>
    <row r="233" spans="2:5" ht="15.75" customHeight="1" x14ac:dyDescent="0.2">
      <c r="B233" s="10"/>
      <c r="C233" s="10"/>
      <c r="D233" s="10"/>
      <c r="E233" s="10"/>
    </row>
    <row r="234" spans="2:5" ht="15.75" customHeight="1" x14ac:dyDescent="0.2">
      <c r="B234" s="10"/>
      <c r="C234" s="10"/>
      <c r="D234" s="10"/>
      <c r="E234" s="10"/>
    </row>
    <row r="235" spans="2:5" ht="15.75" customHeight="1" x14ac:dyDescent="0.2">
      <c r="B235" s="10"/>
      <c r="C235" s="10"/>
      <c r="D235" s="10"/>
      <c r="E235" s="10"/>
    </row>
    <row r="236" spans="2:5" ht="15.75" customHeight="1" x14ac:dyDescent="0.2">
      <c r="B236" s="10"/>
      <c r="C236" s="10"/>
      <c r="D236" s="10"/>
      <c r="E236" s="10"/>
    </row>
    <row r="237" spans="2:5" ht="15.75" customHeight="1" x14ac:dyDescent="0.2">
      <c r="B237" s="10"/>
      <c r="C237" s="10"/>
      <c r="D237" s="10"/>
      <c r="E237" s="10"/>
    </row>
    <row r="238" spans="2:5" ht="15.75" customHeight="1" x14ac:dyDescent="0.2">
      <c r="B238" s="10"/>
      <c r="C238" s="10"/>
      <c r="D238" s="10"/>
      <c r="E238" s="10"/>
    </row>
    <row r="239" spans="2:5" ht="15.75" customHeight="1" x14ac:dyDescent="0.2">
      <c r="B239" s="10"/>
      <c r="C239" s="10"/>
      <c r="D239" s="10"/>
      <c r="E239" s="10"/>
    </row>
    <row r="240" spans="2:5" ht="15.75" customHeight="1" x14ac:dyDescent="0.2">
      <c r="B240" s="10"/>
      <c r="C240" s="10"/>
      <c r="D240" s="10"/>
      <c r="E240" s="10"/>
    </row>
    <row r="241" spans="2:5" ht="15.75" customHeight="1" x14ac:dyDescent="0.2">
      <c r="B241" s="10"/>
      <c r="C241" s="10"/>
      <c r="D241" s="10"/>
      <c r="E241" s="10"/>
    </row>
    <row r="242" spans="2:5" ht="15.75" customHeight="1" x14ac:dyDescent="0.2">
      <c r="B242" s="10"/>
      <c r="C242" s="10"/>
      <c r="D242" s="10"/>
      <c r="E242" s="10"/>
    </row>
    <row r="243" spans="2:5" ht="15.75" customHeight="1" x14ac:dyDescent="0.2">
      <c r="B243" s="10"/>
      <c r="C243" s="10"/>
      <c r="D243" s="10"/>
      <c r="E243" s="10"/>
    </row>
    <row r="244" spans="2:5" ht="15.75" customHeight="1" x14ac:dyDescent="0.2">
      <c r="B244" s="10"/>
      <c r="C244" s="10"/>
      <c r="D244" s="10"/>
      <c r="E244" s="10"/>
    </row>
    <row r="245" spans="2:5" ht="15.75" customHeight="1" x14ac:dyDescent="0.2">
      <c r="B245" s="10"/>
      <c r="C245" s="10"/>
      <c r="D245" s="10"/>
      <c r="E245" s="10"/>
    </row>
    <row r="246" spans="2:5" ht="15.75" customHeight="1" x14ac:dyDescent="0.2">
      <c r="B246" s="10"/>
      <c r="C246" s="10"/>
      <c r="D246" s="10"/>
      <c r="E246" s="10"/>
    </row>
    <row r="247" spans="2:5" ht="15.75" customHeight="1" x14ac:dyDescent="0.2">
      <c r="B247" s="10"/>
      <c r="C247" s="10"/>
      <c r="D247" s="10"/>
      <c r="E247" s="10"/>
    </row>
    <row r="248" spans="2:5" ht="15.75" customHeight="1" x14ac:dyDescent="0.2">
      <c r="B248" s="10"/>
      <c r="C248" s="10"/>
      <c r="D248" s="10"/>
      <c r="E248" s="10"/>
    </row>
    <row r="249" spans="2:5" ht="15.75" customHeight="1" x14ac:dyDescent="0.2">
      <c r="B249" s="10"/>
      <c r="C249" s="10"/>
      <c r="D249" s="10"/>
      <c r="E249" s="10"/>
    </row>
    <row r="250" spans="2:5" ht="15.75" customHeight="1" x14ac:dyDescent="0.2">
      <c r="B250" s="10"/>
      <c r="C250" s="10"/>
      <c r="D250" s="10"/>
      <c r="E250" s="10"/>
    </row>
    <row r="251" spans="2:5" ht="15.75" customHeight="1" x14ac:dyDescent="0.2">
      <c r="B251" s="10"/>
      <c r="C251" s="10"/>
      <c r="D251" s="10"/>
      <c r="E251" s="10"/>
    </row>
    <row r="252" spans="2:5" ht="15.75" customHeight="1" x14ac:dyDescent="0.2">
      <c r="B252" s="10"/>
      <c r="C252" s="10"/>
      <c r="D252" s="10"/>
      <c r="E252" s="10"/>
    </row>
    <row r="253" spans="2:5" ht="15.75" customHeight="1" x14ac:dyDescent="0.2">
      <c r="B253" s="10"/>
      <c r="C253" s="10"/>
      <c r="D253" s="10"/>
      <c r="E253" s="10"/>
    </row>
    <row r="254" spans="2:5" ht="15.75" customHeight="1" x14ac:dyDescent="0.2">
      <c r="B254" s="10"/>
      <c r="C254" s="10"/>
      <c r="D254" s="10"/>
      <c r="E254" s="10"/>
    </row>
    <row r="255" spans="2:5" ht="15.75" customHeight="1" x14ac:dyDescent="0.2">
      <c r="B255" s="10"/>
      <c r="C255" s="10"/>
      <c r="D255" s="10"/>
      <c r="E255" s="10"/>
    </row>
    <row r="256" spans="2:5" ht="15.75" customHeight="1" x14ac:dyDescent="0.2">
      <c r="B256" s="10"/>
      <c r="C256" s="10"/>
      <c r="D256" s="10"/>
      <c r="E256" s="10"/>
    </row>
    <row r="257" spans="2:5" ht="15.75" customHeight="1" x14ac:dyDescent="0.2">
      <c r="B257" s="10"/>
      <c r="C257" s="10"/>
      <c r="D257" s="10"/>
      <c r="E257" s="10"/>
    </row>
    <row r="258" spans="2:5" ht="15.75" customHeight="1" x14ac:dyDescent="0.2">
      <c r="B258" s="10"/>
      <c r="C258" s="10"/>
      <c r="D258" s="10"/>
      <c r="E258" s="10"/>
    </row>
    <row r="259" spans="2:5" ht="15.75" customHeight="1" x14ac:dyDescent="0.2">
      <c r="B259" s="10"/>
      <c r="C259" s="10"/>
      <c r="D259" s="10"/>
      <c r="E259" s="10"/>
    </row>
    <row r="260" spans="2:5" ht="15.75" customHeight="1" x14ac:dyDescent="0.2">
      <c r="B260" s="10"/>
      <c r="C260" s="10"/>
      <c r="D260" s="10"/>
      <c r="E260" s="10"/>
    </row>
    <row r="261" spans="2:5" ht="15.75" customHeight="1" x14ac:dyDescent="0.2">
      <c r="B261" s="10"/>
      <c r="C261" s="10"/>
      <c r="D261" s="10"/>
      <c r="E261" s="10"/>
    </row>
    <row r="262" spans="2:5" ht="15.75" customHeight="1" x14ac:dyDescent="0.2">
      <c r="B262" s="10"/>
      <c r="C262" s="10"/>
      <c r="D262" s="10"/>
      <c r="E262" s="10"/>
    </row>
    <row r="263" spans="2:5" ht="15.75" customHeight="1" x14ac:dyDescent="0.2">
      <c r="B263" s="10"/>
      <c r="C263" s="10"/>
      <c r="D263" s="10"/>
      <c r="E263" s="10"/>
    </row>
    <row r="264" spans="2:5" ht="15.75" customHeight="1" x14ac:dyDescent="0.2">
      <c r="B264" s="10"/>
      <c r="C264" s="10"/>
      <c r="D264" s="10"/>
      <c r="E264" s="10"/>
    </row>
    <row r="265" spans="2:5" ht="15.75" customHeight="1" x14ac:dyDescent="0.2">
      <c r="B265" s="10"/>
      <c r="C265" s="10"/>
      <c r="D265" s="10"/>
      <c r="E265" s="10"/>
    </row>
    <row r="266" spans="2:5" ht="15.75" customHeight="1" x14ac:dyDescent="0.2">
      <c r="B266" s="10"/>
      <c r="C266" s="10"/>
      <c r="D266" s="10"/>
      <c r="E266" s="10"/>
    </row>
    <row r="267" spans="2:5" ht="15.75" customHeight="1" x14ac:dyDescent="0.2">
      <c r="B267" s="10"/>
      <c r="C267" s="10"/>
      <c r="D267" s="10"/>
      <c r="E267" s="10"/>
    </row>
    <row r="268" spans="2:5" ht="15.75" customHeight="1" x14ac:dyDescent="0.2">
      <c r="B268" s="10"/>
      <c r="C268" s="10"/>
      <c r="D268" s="10"/>
      <c r="E268" s="10"/>
    </row>
    <row r="269" spans="2:5" ht="15.75" customHeight="1" x14ac:dyDescent="0.2">
      <c r="B269" s="10"/>
      <c r="C269" s="10"/>
      <c r="D269" s="10"/>
      <c r="E269" s="10"/>
    </row>
    <row r="270" spans="2:5" ht="15.75" customHeight="1" x14ac:dyDescent="0.2">
      <c r="B270" s="10"/>
      <c r="C270" s="10"/>
      <c r="D270" s="10"/>
      <c r="E270" s="10"/>
    </row>
    <row r="271" spans="2:5" ht="15.75" customHeight="1" x14ac:dyDescent="0.2">
      <c r="B271" s="10"/>
      <c r="C271" s="10"/>
      <c r="D271" s="10"/>
      <c r="E271" s="10"/>
    </row>
    <row r="272" spans="2:5" ht="15.75" customHeight="1" x14ac:dyDescent="0.2">
      <c r="B272" s="10"/>
      <c r="C272" s="10"/>
      <c r="D272" s="10"/>
      <c r="E272" s="10"/>
    </row>
    <row r="273" spans="2:5" ht="15.75" customHeight="1" x14ac:dyDescent="0.2">
      <c r="B273" s="10"/>
      <c r="C273" s="10"/>
      <c r="D273" s="10"/>
      <c r="E273" s="10"/>
    </row>
    <row r="274" spans="2:5" ht="15.75" customHeight="1" x14ac:dyDescent="0.2">
      <c r="B274" s="10"/>
      <c r="C274" s="10"/>
      <c r="D274" s="10"/>
      <c r="E274" s="10"/>
    </row>
    <row r="275" spans="2:5" ht="15.75" customHeight="1" x14ac:dyDescent="0.2">
      <c r="B275" s="10"/>
      <c r="C275" s="10"/>
      <c r="D275" s="10"/>
      <c r="E275" s="10"/>
    </row>
    <row r="276" spans="2:5" ht="15.75" customHeight="1" x14ac:dyDescent="0.2">
      <c r="B276" s="10"/>
      <c r="C276" s="10"/>
      <c r="D276" s="10"/>
      <c r="E276" s="10"/>
    </row>
    <row r="277" spans="2:5" ht="15.75" customHeight="1" x14ac:dyDescent="0.2">
      <c r="B277" s="10"/>
      <c r="C277" s="10"/>
      <c r="D277" s="10"/>
      <c r="E277" s="10"/>
    </row>
    <row r="278" spans="2:5" ht="15.75" customHeight="1" x14ac:dyDescent="0.2">
      <c r="B278" s="10"/>
      <c r="C278" s="10"/>
      <c r="D278" s="10"/>
      <c r="E278" s="10"/>
    </row>
    <row r="279" spans="2:5" ht="15.75" customHeight="1" x14ac:dyDescent="0.2">
      <c r="B279" s="10"/>
      <c r="C279" s="10"/>
      <c r="D279" s="10"/>
      <c r="E279" s="10"/>
    </row>
    <row r="280" spans="2:5" ht="15.75" customHeight="1" x14ac:dyDescent="0.2">
      <c r="B280" s="10"/>
      <c r="C280" s="10"/>
      <c r="D280" s="10"/>
      <c r="E280" s="10"/>
    </row>
    <row r="281" spans="2:5" ht="15.75" customHeight="1" x14ac:dyDescent="0.2">
      <c r="B281" s="10"/>
      <c r="C281" s="10"/>
      <c r="D281" s="10"/>
      <c r="E281" s="10"/>
    </row>
    <row r="282" spans="2:5" ht="15.75" customHeight="1" x14ac:dyDescent="0.2">
      <c r="B282" s="10"/>
      <c r="C282" s="10"/>
      <c r="D282" s="10"/>
      <c r="E282" s="10"/>
    </row>
    <row r="283" spans="2:5" ht="15.75" customHeight="1" x14ac:dyDescent="0.2">
      <c r="B283" s="10"/>
      <c r="C283" s="10"/>
      <c r="D283" s="10"/>
      <c r="E283" s="10"/>
    </row>
    <row r="284" spans="2:5" ht="15.75" customHeight="1" x14ac:dyDescent="0.2">
      <c r="B284" s="10"/>
      <c r="C284" s="10"/>
      <c r="D284" s="10"/>
      <c r="E284" s="10"/>
    </row>
    <row r="285" spans="2:5" ht="15.75" customHeight="1" x14ac:dyDescent="0.2">
      <c r="B285" s="10"/>
      <c r="C285" s="10"/>
      <c r="D285" s="10"/>
      <c r="E285" s="10"/>
    </row>
    <row r="286" spans="2:5" ht="15.75" customHeight="1" x14ac:dyDescent="0.2">
      <c r="B286" s="10"/>
      <c r="C286" s="10"/>
      <c r="D286" s="10"/>
      <c r="E286" s="10"/>
    </row>
    <row r="287" spans="2:5" ht="15.75" customHeight="1" x14ac:dyDescent="0.2">
      <c r="B287" s="10"/>
      <c r="C287" s="10"/>
      <c r="D287" s="10"/>
      <c r="E287" s="10"/>
    </row>
    <row r="288" spans="2:5" ht="15.75" customHeight="1" x14ac:dyDescent="0.2">
      <c r="B288" s="10"/>
      <c r="C288" s="10"/>
      <c r="D288" s="10"/>
      <c r="E288" s="10"/>
    </row>
    <row r="289" spans="2:5" ht="15.75" customHeight="1" x14ac:dyDescent="0.2">
      <c r="B289" s="10"/>
      <c r="C289" s="10"/>
      <c r="D289" s="10"/>
      <c r="E289" s="10"/>
    </row>
    <row r="290" spans="2:5" ht="15.75" customHeight="1" x14ac:dyDescent="0.2">
      <c r="B290" s="10"/>
      <c r="C290" s="10"/>
      <c r="D290" s="10"/>
      <c r="E290" s="10"/>
    </row>
    <row r="291" spans="2:5" ht="15.75" customHeight="1" x14ac:dyDescent="0.2">
      <c r="B291" s="10"/>
      <c r="C291" s="10"/>
      <c r="D291" s="10"/>
      <c r="E291" s="10"/>
    </row>
    <row r="292" spans="2:5" ht="15.75" customHeight="1" x14ac:dyDescent="0.2">
      <c r="B292" s="10"/>
      <c r="C292" s="10"/>
      <c r="D292" s="10"/>
      <c r="E292" s="10"/>
    </row>
    <row r="293" spans="2:5" ht="15.75" customHeight="1" x14ac:dyDescent="0.2">
      <c r="B293" s="10"/>
      <c r="C293" s="10"/>
      <c r="D293" s="10"/>
      <c r="E293" s="10"/>
    </row>
    <row r="294" spans="2:5" ht="15.75" customHeight="1" x14ac:dyDescent="0.2">
      <c r="B294" s="10"/>
      <c r="C294" s="10"/>
      <c r="D294" s="10"/>
      <c r="E294" s="10"/>
    </row>
    <row r="295" spans="2:5" ht="15.75" customHeight="1" x14ac:dyDescent="0.2">
      <c r="B295" s="10"/>
      <c r="C295" s="10"/>
      <c r="D295" s="10"/>
      <c r="E295" s="10"/>
    </row>
    <row r="296" spans="2:5" ht="15.75" customHeight="1" x14ac:dyDescent="0.2">
      <c r="B296" s="10"/>
      <c r="C296" s="10"/>
      <c r="D296" s="10"/>
      <c r="E296" s="10"/>
    </row>
    <row r="297" spans="2:5" ht="15.75" customHeight="1" x14ac:dyDescent="0.2">
      <c r="B297" s="10"/>
      <c r="C297" s="10"/>
      <c r="D297" s="10"/>
      <c r="E297" s="10"/>
    </row>
    <row r="298" spans="2:5" ht="15.75" customHeight="1" x14ac:dyDescent="0.2">
      <c r="B298" s="10"/>
      <c r="C298" s="10"/>
      <c r="D298" s="10"/>
      <c r="E298" s="10"/>
    </row>
    <row r="299" spans="2:5" ht="15.75" customHeight="1" x14ac:dyDescent="0.2">
      <c r="B299" s="10"/>
      <c r="C299" s="10"/>
      <c r="D299" s="10"/>
      <c r="E299" s="10"/>
    </row>
    <row r="300" spans="2:5" ht="15.75" customHeight="1" x14ac:dyDescent="0.2">
      <c r="B300" s="10"/>
      <c r="C300" s="10"/>
      <c r="D300" s="10"/>
      <c r="E300" s="10"/>
    </row>
    <row r="301" spans="2:5" ht="15.75" customHeight="1" x14ac:dyDescent="0.2">
      <c r="B301" s="10"/>
      <c r="C301" s="10"/>
      <c r="D301" s="10"/>
      <c r="E301" s="10"/>
    </row>
    <row r="302" spans="2:5" ht="15.75" customHeight="1" x14ac:dyDescent="0.2">
      <c r="B302" s="10"/>
      <c r="C302" s="10"/>
      <c r="D302" s="10"/>
      <c r="E302" s="10"/>
    </row>
    <row r="303" spans="2:5" ht="15.75" customHeight="1" x14ac:dyDescent="0.2">
      <c r="B303" s="10"/>
      <c r="C303" s="10"/>
      <c r="D303" s="10"/>
      <c r="E303" s="10"/>
    </row>
    <row r="304" spans="2:5" ht="15.75" customHeight="1" x14ac:dyDescent="0.2">
      <c r="B304" s="10"/>
      <c r="C304" s="10"/>
      <c r="D304" s="10"/>
      <c r="E304" s="10"/>
    </row>
    <row r="305" spans="2:5" ht="15.75" customHeight="1" x14ac:dyDescent="0.2">
      <c r="B305" s="10"/>
      <c r="C305" s="10"/>
      <c r="D305" s="10"/>
      <c r="E305" s="10"/>
    </row>
    <row r="306" spans="2:5" ht="15.75" customHeight="1" x14ac:dyDescent="0.2">
      <c r="B306" s="10"/>
      <c r="C306" s="10"/>
      <c r="D306" s="10"/>
      <c r="E306" s="10"/>
    </row>
    <row r="307" spans="2:5" ht="15.75" customHeight="1" x14ac:dyDescent="0.2">
      <c r="B307" s="10"/>
      <c r="C307" s="10"/>
      <c r="D307" s="10"/>
      <c r="E307" s="10"/>
    </row>
    <row r="308" spans="2:5" ht="15.75" customHeight="1" x14ac:dyDescent="0.2">
      <c r="B308" s="10"/>
      <c r="C308" s="10"/>
      <c r="D308" s="10"/>
      <c r="E308" s="10"/>
    </row>
    <row r="309" spans="2:5" ht="15.75" customHeight="1" x14ac:dyDescent="0.2">
      <c r="B309" s="10"/>
      <c r="C309" s="10"/>
      <c r="D309" s="10"/>
      <c r="E309" s="10"/>
    </row>
    <row r="310" spans="2:5" ht="15.75" customHeight="1" x14ac:dyDescent="0.2">
      <c r="B310" s="10"/>
      <c r="C310" s="10"/>
      <c r="D310" s="10"/>
      <c r="E310" s="10"/>
    </row>
    <row r="311" spans="2:5" ht="15.75" customHeight="1" x14ac:dyDescent="0.2">
      <c r="B311" s="10"/>
      <c r="C311" s="10"/>
      <c r="D311" s="10"/>
      <c r="E311" s="10"/>
    </row>
    <row r="312" spans="2:5" ht="15.75" customHeight="1" x14ac:dyDescent="0.2">
      <c r="B312" s="10"/>
      <c r="C312" s="10"/>
      <c r="D312" s="10"/>
      <c r="E312" s="10"/>
    </row>
    <row r="313" spans="2:5" ht="15.75" customHeight="1" x14ac:dyDescent="0.2">
      <c r="B313" s="10"/>
      <c r="C313" s="10"/>
      <c r="D313" s="10"/>
      <c r="E313" s="10"/>
    </row>
    <row r="314" spans="2:5" ht="15.75" customHeight="1" x14ac:dyDescent="0.2">
      <c r="B314" s="10"/>
      <c r="C314" s="10"/>
      <c r="D314" s="10"/>
      <c r="E314" s="10"/>
    </row>
    <row r="315" spans="2:5" ht="15.75" customHeight="1" x14ac:dyDescent="0.2">
      <c r="B315" s="10"/>
      <c r="C315" s="10"/>
      <c r="D315" s="10"/>
      <c r="E315" s="10"/>
    </row>
    <row r="316" spans="2:5" ht="15.75" customHeight="1" x14ac:dyDescent="0.2">
      <c r="B316" s="10"/>
      <c r="C316" s="10"/>
      <c r="D316" s="10"/>
      <c r="E316" s="10"/>
    </row>
    <row r="317" spans="2:5" ht="15.75" customHeight="1" x14ac:dyDescent="0.2">
      <c r="B317" s="10"/>
      <c r="C317" s="10"/>
      <c r="D317" s="10"/>
      <c r="E317" s="10"/>
    </row>
    <row r="318" spans="2:5" ht="15.75" customHeight="1" x14ac:dyDescent="0.2">
      <c r="B318" s="10"/>
      <c r="C318" s="10"/>
      <c r="D318" s="10"/>
      <c r="E318" s="10"/>
    </row>
    <row r="319" spans="2:5" ht="15.75" customHeight="1" x14ac:dyDescent="0.2">
      <c r="B319" s="10"/>
      <c r="C319" s="10"/>
      <c r="D319" s="10"/>
      <c r="E319" s="10"/>
    </row>
    <row r="320" spans="2:5" ht="15.75" customHeight="1" x14ac:dyDescent="0.2">
      <c r="B320" s="10"/>
      <c r="C320" s="10"/>
      <c r="D320" s="10"/>
      <c r="E320" s="10"/>
    </row>
    <row r="321" spans="2:5" ht="15.75" customHeight="1" x14ac:dyDescent="0.2">
      <c r="B321" s="10"/>
      <c r="C321" s="10"/>
      <c r="D321" s="10"/>
      <c r="E321" s="10"/>
    </row>
    <row r="322" spans="2:5" ht="15.75" customHeight="1" x14ac:dyDescent="0.2">
      <c r="B322" s="10"/>
      <c r="C322" s="10"/>
      <c r="D322" s="10"/>
      <c r="E322" s="10"/>
    </row>
    <row r="323" spans="2:5" ht="15.75" customHeight="1" x14ac:dyDescent="0.2">
      <c r="B323" s="10"/>
      <c r="C323" s="10"/>
      <c r="D323" s="10"/>
      <c r="E323" s="10"/>
    </row>
    <row r="324" spans="2:5" ht="15.75" customHeight="1" x14ac:dyDescent="0.2">
      <c r="B324" s="10"/>
      <c r="C324" s="10"/>
      <c r="D324" s="10"/>
      <c r="E324" s="10"/>
    </row>
    <row r="325" spans="2:5" ht="15.75" customHeight="1" x14ac:dyDescent="0.2">
      <c r="B325" s="10"/>
      <c r="C325" s="10"/>
      <c r="D325" s="10"/>
      <c r="E325" s="10"/>
    </row>
    <row r="326" spans="2:5" ht="15.75" customHeight="1" x14ac:dyDescent="0.2">
      <c r="B326" s="10"/>
      <c r="C326" s="10"/>
      <c r="D326" s="10"/>
      <c r="E326" s="10"/>
    </row>
    <row r="327" spans="2:5" ht="15.75" customHeight="1" x14ac:dyDescent="0.2">
      <c r="B327" s="10"/>
      <c r="C327" s="10"/>
      <c r="D327" s="10"/>
      <c r="E327" s="10"/>
    </row>
    <row r="328" spans="2:5" ht="15.75" customHeight="1" x14ac:dyDescent="0.2">
      <c r="B328" s="10"/>
      <c r="C328" s="10"/>
      <c r="D328" s="10"/>
      <c r="E328" s="10"/>
    </row>
    <row r="329" spans="2:5" ht="15.75" customHeight="1" x14ac:dyDescent="0.2">
      <c r="B329" s="10"/>
      <c r="C329" s="10"/>
      <c r="D329" s="10"/>
      <c r="E329" s="10"/>
    </row>
    <row r="330" spans="2:5" ht="15.75" customHeight="1" x14ac:dyDescent="0.2">
      <c r="B330" s="10"/>
      <c r="C330" s="10"/>
      <c r="D330" s="10"/>
      <c r="E330" s="10"/>
    </row>
    <row r="331" spans="2:5" ht="15.75" customHeight="1" x14ac:dyDescent="0.2">
      <c r="B331" s="10"/>
      <c r="C331" s="10"/>
      <c r="D331" s="10"/>
      <c r="E331" s="10"/>
    </row>
    <row r="332" spans="2:5" ht="15.75" customHeight="1" x14ac:dyDescent="0.2">
      <c r="B332" s="10"/>
      <c r="C332" s="10"/>
      <c r="D332" s="10"/>
      <c r="E332" s="10"/>
    </row>
    <row r="333" spans="2:5" ht="15.75" customHeight="1" x14ac:dyDescent="0.2">
      <c r="B333" s="10"/>
      <c r="C333" s="10"/>
      <c r="D333" s="10"/>
      <c r="E333" s="10"/>
    </row>
    <row r="334" spans="2:5" ht="15.75" customHeight="1" x14ac:dyDescent="0.2">
      <c r="B334" s="10"/>
      <c r="C334" s="10"/>
      <c r="D334" s="10"/>
      <c r="E334" s="10"/>
    </row>
    <row r="335" spans="2:5" ht="15.75" customHeight="1" x14ac:dyDescent="0.2">
      <c r="B335" s="10"/>
      <c r="C335" s="10"/>
      <c r="D335" s="10"/>
      <c r="E335" s="10"/>
    </row>
    <row r="336" spans="2:5" ht="15.75" customHeight="1" x14ac:dyDescent="0.2">
      <c r="B336" s="10"/>
      <c r="C336" s="10"/>
      <c r="D336" s="10"/>
      <c r="E336" s="10"/>
    </row>
    <row r="337" spans="2:5" ht="15.75" customHeight="1" x14ac:dyDescent="0.2">
      <c r="B337" s="10"/>
      <c r="C337" s="10"/>
      <c r="D337" s="10"/>
      <c r="E337" s="10"/>
    </row>
    <row r="338" spans="2:5" ht="15.75" customHeight="1" x14ac:dyDescent="0.2">
      <c r="B338" s="10"/>
      <c r="C338" s="10"/>
      <c r="D338" s="10"/>
      <c r="E338" s="10"/>
    </row>
    <row r="339" spans="2:5" ht="15.75" customHeight="1" x14ac:dyDescent="0.2">
      <c r="B339" s="10"/>
      <c r="C339" s="10"/>
      <c r="D339" s="10"/>
      <c r="E339" s="10"/>
    </row>
    <row r="340" spans="2:5" ht="15.75" customHeight="1" x14ac:dyDescent="0.2">
      <c r="B340" s="10"/>
      <c r="C340" s="10"/>
      <c r="D340" s="10"/>
      <c r="E340" s="10"/>
    </row>
    <row r="341" spans="2:5" ht="15.75" customHeight="1" x14ac:dyDescent="0.2">
      <c r="B341" s="10"/>
      <c r="C341" s="10"/>
      <c r="D341" s="10"/>
      <c r="E341" s="10"/>
    </row>
    <row r="342" spans="2:5" ht="15.75" customHeight="1" x14ac:dyDescent="0.2">
      <c r="B342" s="10"/>
      <c r="C342" s="10"/>
      <c r="D342" s="10"/>
      <c r="E342" s="10"/>
    </row>
    <row r="343" spans="2:5" ht="15.75" customHeight="1" x14ac:dyDescent="0.2">
      <c r="B343" s="10"/>
      <c r="C343" s="10"/>
      <c r="D343" s="10"/>
      <c r="E343" s="10"/>
    </row>
    <row r="344" spans="2:5" ht="15.75" customHeight="1" x14ac:dyDescent="0.2">
      <c r="B344" s="10"/>
      <c r="C344" s="10"/>
      <c r="D344" s="10"/>
      <c r="E344" s="10"/>
    </row>
    <row r="345" spans="2:5" ht="15.75" customHeight="1" x14ac:dyDescent="0.2">
      <c r="B345" s="10"/>
      <c r="C345" s="10"/>
      <c r="D345" s="10"/>
      <c r="E345" s="10"/>
    </row>
    <row r="346" spans="2:5" ht="15.75" customHeight="1" x14ac:dyDescent="0.2">
      <c r="B346" s="10"/>
      <c r="C346" s="10"/>
      <c r="D346" s="10"/>
      <c r="E346" s="10"/>
    </row>
    <row r="347" spans="2:5" ht="15.75" customHeight="1" x14ac:dyDescent="0.2">
      <c r="B347" s="10"/>
      <c r="C347" s="10"/>
      <c r="D347" s="10"/>
      <c r="E347" s="10"/>
    </row>
    <row r="348" spans="2:5" ht="15.75" customHeight="1" x14ac:dyDescent="0.2">
      <c r="B348" s="10"/>
      <c r="C348" s="10"/>
      <c r="D348" s="10"/>
      <c r="E348" s="10"/>
    </row>
    <row r="349" spans="2:5" ht="15.75" customHeight="1" x14ac:dyDescent="0.2">
      <c r="B349" s="10"/>
      <c r="C349" s="10"/>
      <c r="D349" s="10"/>
      <c r="E349" s="10"/>
    </row>
    <row r="350" spans="2:5" ht="15.75" customHeight="1" x14ac:dyDescent="0.2">
      <c r="B350" s="10"/>
      <c r="C350" s="10"/>
      <c r="D350" s="10"/>
      <c r="E350" s="10"/>
    </row>
    <row r="351" spans="2:5" ht="15.75" customHeight="1" x14ac:dyDescent="0.2">
      <c r="B351" s="10"/>
      <c r="C351" s="10"/>
      <c r="D351" s="10"/>
      <c r="E351" s="10"/>
    </row>
    <row r="352" spans="2:5" ht="15.75" customHeight="1" x14ac:dyDescent="0.2">
      <c r="B352" s="10"/>
      <c r="C352" s="10"/>
      <c r="D352" s="10"/>
      <c r="E352" s="10"/>
    </row>
    <row r="353" spans="2:5" ht="15.75" customHeight="1" x14ac:dyDescent="0.2">
      <c r="B353" s="10"/>
      <c r="C353" s="10"/>
      <c r="D353" s="10"/>
      <c r="E353" s="10"/>
    </row>
    <row r="354" spans="2:5" ht="15.75" customHeight="1" x14ac:dyDescent="0.2">
      <c r="B354" s="10"/>
      <c r="C354" s="10"/>
      <c r="D354" s="10"/>
      <c r="E354" s="10"/>
    </row>
    <row r="355" spans="2:5" ht="15.75" customHeight="1" x14ac:dyDescent="0.2">
      <c r="B355" s="10"/>
      <c r="C355" s="10"/>
      <c r="D355" s="10"/>
      <c r="E355" s="10"/>
    </row>
    <row r="356" spans="2:5" ht="15.75" customHeight="1" x14ac:dyDescent="0.2">
      <c r="B356" s="10"/>
      <c r="C356" s="10"/>
      <c r="D356" s="10"/>
      <c r="E356" s="10"/>
    </row>
    <row r="357" spans="2:5" ht="15.75" customHeight="1" x14ac:dyDescent="0.2">
      <c r="B357" s="10"/>
      <c r="C357" s="10"/>
      <c r="D357" s="10"/>
      <c r="E357" s="10"/>
    </row>
    <row r="358" spans="2:5" ht="15.75" customHeight="1" x14ac:dyDescent="0.2">
      <c r="B358" s="10"/>
      <c r="C358" s="10"/>
      <c r="D358" s="10"/>
      <c r="E358" s="10"/>
    </row>
    <row r="359" spans="2:5" ht="15.75" customHeight="1" x14ac:dyDescent="0.2">
      <c r="B359" s="10"/>
      <c r="C359" s="10"/>
      <c r="D359" s="10"/>
      <c r="E359" s="10"/>
    </row>
    <row r="360" spans="2:5" ht="15.75" customHeight="1" x14ac:dyDescent="0.2">
      <c r="B360" s="10"/>
      <c r="C360" s="10"/>
      <c r="D360" s="10"/>
      <c r="E360" s="10"/>
    </row>
    <row r="361" spans="2:5" ht="15.75" customHeight="1" x14ac:dyDescent="0.2">
      <c r="B361" s="10"/>
      <c r="C361" s="10"/>
      <c r="D361" s="10"/>
      <c r="E361" s="10"/>
    </row>
    <row r="362" spans="2:5" ht="15.75" customHeight="1" x14ac:dyDescent="0.2">
      <c r="B362" s="10"/>
      <c r="C362" s="10"/>
      <c r="D362" s="10"/>
      <c r="E362" s="10"/>
    </row>
    <row r="363" spans="2:5" ht="15.75" customHeight="1" x14ac:dyDescent="0.2">
      <c r="B363" s="10"/>
      <c r="C363" s="10"/>
      <c r="D363" s="10"/>
      <c r="E363" s="10"/>
    </row>
    <row r="364" spans="2:5" ht="15.75" customHeight="1" x14ac:dyDescent="0.2">
      <c r="B364" s="10"/>
      <c r="C364" s="10"/>
      <c r="D364" s="10"/>
      <c r="E364" s="10"/>
    </row>
    <row r="365" spans="2:5" ht="15.75" customHeight="1" x14ac:dyDescent="0.2">
      <c r="B365" s="10"/>
      <c r="C365" s="10"/>
      <c r="D365" s="10"/>
      <c r="E365" s="10"/>
    </row>
    <row r="366" spans="2:5" ht="15.75" customHeight="1" x14ac:dyDescent="0.2">
      <c r="B366" s="10"/>
      <c r="C366" s="10"/>
      <c r="D366" s="10"/>
      <c r="E366" s="10"/>
    </row>
    <row r="367" spans="2:5" ht="15.75" customHeight="1" x14ac:dyDescent="0.2">
      <c r="B367" s="10"/>
      <c r="C367" s="10"/>
      <c r="D367" s="10"/>
      <c r="E367" s="10"/>
    </row>
    <row r="368" spans="2:5" ht="15.75" customHeight="1" x14ac:dyDescent="0.2">
      <c r="B368" s="10"/>
      <c r="C368" s="10"/>
      <c r="D368" s="10"/>
      <c r="E368" s="10"/>
    </row>
    <row r="369" spans="2:5" ht="15.75" customHeight="1" x14ac:dyDescent="0.2">
      <c r="B369" s="10"/>
      <c r="C369" s="10"/>
      <c r="D369" s="10"/>
      <c r="E369" s="10"/>
    </row>
    <row r="370" spans="2:5" ht="15.75" customHeight="1" x14ac:dyDescent="0.2">
      <c r="B370" s="10"/>
      <c r="C370" s="10"/>
      <c r="D370" s="10"/>
      <c r="E370" s="10"/>
    </row>
    <row r="371" spans="2:5" ht="15.75" customHeight="1" x14ac:dyDescent="0.2">
      <c r="B371" s="10"/>
      <c r="C371" s="10"/>
      <c r="D371" s="10"/>
      <c r="E371" s="10"/>
    </row>
    <row r="372" spans="2:5" ht="15.75" customHeight="1" x14ac:dyDescent="0.2">
      <c r="B372" s="10"/>
      <c r="C372" s="10"/>
      <c r="D372" s="10"/>
      <c r="E372" s="10"/>
    </row>
    <row r="373" spans="2:5" ht="15.75" customHeight="1" x14ac:dyDescent="0.2">
      <c r="B373" s="10"/>
      <c r="C373" s="10"/>
      <c r="D373" s="10"/>
      <c r="E373" s="10"/>
    </row>
    <row r="374" spans="2:5" ht="15.75" customHeight="1" x14ac:dyDescent="0.2">
      <c r="B374" s="10"/>
      <c r="C374" s="10"/>
      <c r="D374" s="10"/>
      <c r="E374" s="10"/>
    </row>
    <row r="375" spans="2:5" ht="15.75" customHeight="1" x14ac:dyDescent="0.2">
      <c r="B375" s="10"/>
      <c r="C375" s="10"/>
      <c r="D375" s="10"/>
      <c r="E375" s="10"/>
    </row>
    <row r="376" spans="2:5" ht="15.75" customHeight="1" x14ac:dyDescent="0.2">
      <c r="B376" s="10"/>
      <c r="C376" s="10"/>
      <c r="D376" s="10"/>
      <c r="E376" s="10"/>
    </row>
    <row r="377" spans="2:5" ht="15.75" customHeight="1" x14ac:dyDescent="0.2">
      <c r="B377" s="10"/>
      <c r="C377" s="10"/>
      <c r="D377" s="10"/>
      <c r="E377" s="10"/>
    </row>
    <row r="378" spans="2:5" ht="15.75" customHeight="1" x14ac:dyDescent="0.2">
      <c r="B378" s="10"/>
      <c r="C378" s="10"/>
      <c r="D378" s="10"/>
      <c r="E378" s="10"/>
    </row>
    <row r="379" spans="2:5" ht="15.75" customHeight="1" x14ac:dyDescent="0.2">
      <c r="B379" s="10"/>
      <c r="C379" s="10"/>
      <c r="D379" s="10"/>
      <c r="E379" s="10"/>
    </row>
    <row r="380" spans="2:5" ht="15.75" customHeight="1" x14ac:dyDescent="0.2">
      <c r="B380" s="10"/>
      <c r="C380" s="10"/>
      <c r="D380" s="10"/>
      <c r="E380" s="10"/>
    </row>
    <row r="381" spans="2:5" ht="15.75" customHeight="1" x14ac:dyDescent="0.2">
      <c r="B381" s="10"/>
      <c r="C381" s="10"/>
      <c r="D381" s="10"/>
      <c r="E381" s="10"/>
    </row>
    <row r="382" spans="2:5" ht="15.75" customHeight="1" x14ac:dyDescent="0.2">
      <c r="B382" s="10"/>
      <c r="C382" s="10"/>
      <c r="D382" s="10"/>
      <c r="E382" s="10"/>
    </row>
    <row r="383" spans="2:5" ht="15.75" customHeight="1" x14ac:dyDescent="0.2">
      <c r="B383" s="10"/>
      <c r="C383" s="10"/>
      <c r="D383" s="10"/>
      <c r="E383" s="10"/>
    </row>
    <row r="384" spans="2:5" ht="15.75" customHeight="1" x14ac:dyDescent="0.2">
      <c r="B384" s="10"/>
      <c r="C384" s="10"/>
      <c r="D384" s="10"/>
      <c r="E384" s="10"/>
    </row>
    <row r="385" spans="2:5" ht="15.75" customHeight="1" x14ac:dyDescent="0.2">
      <c r="B385" s="10"/>
      <c r="C385" s="10"/>
      <c r="D385" s="10"/>
      <c r="E385" s="10"/>
    </row>
    <row r="386" spans="2:5" ht="15.75" customHeight="1" x14ac:dyDescent="0.2">
      <c r="B386" s="10"/>
      <c r="C386" s="10"/>
      <c r="D386" s="10"/>
      <c r="E386" s="10"/>
    </row>
    <row r="387" spans="2:5" ht="15.75" customHeight="1" x14ac:dyDescent="0.2">
      <c r="B387" s="10"/>
      <c r="C387" s="10"/>
      <c r="D387" s="10"/>
      <c r="E387" s="10"/>
    </row>
    <row r="388" spans="2:5" ht="15.75" customHeight="1" x14ac:dyDescent="0.2">
      <c r="B388" s="10"/>
      <c r="C388" s="10"/>
      <c r="D388" s="10"/>
      <c r="E388" s="10"/>
    </row>
    <row r="389" spans="2:5" ht="15.75" customHeight="1" x14ac:dyDescent="0.2">
      <c r="B389" s="10"/>
      <c r="C389" s="10"/>
      <c r="D389" s="10"/>
      <c r="E389" s="10"/>
    </row>
    <row r="390" spans="2:5" ht="15.75" customHeight="1" x14ac:dyDescent="0.2">
      <c r="B390" s="10"/>
      <c r="C390" s="10"/>
      <c r="D390" s="10"/>
      <c r="E390" s="10"/>
    </row>
    <row r="391" spans="2:5" ht="15.75" customHeight="1" x14ac:dyDescent="0.2">
      <c r="B391" s="10"/>
      <c r="C391" s="10"/>
      <c r="D391" s="10"/>
      <c r="E391" s="10"/>
    </row>
    <row r="392" spans="2:5" ht="15.75" customHeight="1" x14ac:dyDescent="0.2">
      <c r="B392" s="10"/>
      <c r="C392" s="10"/>
      <c r="D392" s="10"/>
      <c r="E392" s="10"/>
    </row>
    <row r="393" spans="2:5" ht="15.75" customHeight="1" x14ac:dyDescent="0.2">
      <c r="B393" s="10"/>
      <c r="C393" s="10"/>
      <c r="D393" s="10"/>
      <c r="E393" s="10"/>
    </row>
    <row r="394" spans="2:5" ht="15.75" customHeight="1" x14ac:dyDescent="0.2">
      <c r="B394" s="10"/>
      <c r="C394" s="10"/>
      <c r="D394" s="10"/>
      <c r="E394" s="10"/>
    </row>
    <row r="395" spans="2:5" ht="15.75" customHeight="1" x14ac:dyDescent="0.2">
      <c r="B395" s="10"/>
      <c r="C395" s="10"/>
      <c r="D395" s="10"/>
      <c r="E395" s="10"/>
    </row>
    <row r="396" spans="2:5" ht="15.75" customHeight="1" x14ac:dyDescent="0.2">
      <c r="B396" s="10"/>
      <c r="C396" s="10"/>
      <c r="D396" s="10"/>
      <c r="E396" s="10"/>
    </row>
    <row r="397" spans="2:5" ht="15.75" customHeight="1" x14ac:dyDescent="0.2">
      <c r="B397" s="10"/>
      <c r="C397" s="10"/>
      <c r="D397" s="10"/>
      <c r="E397" s="10"/>
    </row>
    <row r="398" spans="2:5" ht="15.75" customHeight="1" x14ac:dyDescent="0.2">
      <c r="B398" s="10"/>
      <c r="C398" s="10"/>
      <c r="D398" s="10"/>
      <c r="E398" s="10"/>
    </row>
    <row r="399" spans="2:5" ht="15.75" customHeight="1" x14ac:dyDescent="0.2">
      <c r="B399" s="10"/>
      <c r="C399" s="10"/>
      <c r="D399" s="10"/>
      <c r="E399" s="10"/>
    </row>
    <row r="400" spans="2:5" ht="15.75" customHeight="1" x14ac:dyDescent="0.2">
      <c r="B400" s="10"/>
      <c r="C400" s="10"/>
      <c r="D400" s="10"/>
      <c r="E400" s="10"/>
    </row>
    <row r="401" spans="2:5" ht="15.75" customHeight="1" x14ac:dyDescent="0.2">
      <c r="B401" s="10"/>
      <c r="C401" s="10"/>
      <c r="D401" s="10"/>
      <c r="E401" s="10"/>
    </row>
    <row r="402" spans="2:5" ht="15.75" customHeight="1" x14ac:dyDescent="0.2">
      <c r="B402" s="10"/>
      <c r="C402" s="10"/>
      <c r="D402" s="10"/>
      <c r="E402" s="10"/>
    </row>
    <row r="403" spans="2:5" ht="15.75" customHeight="1" x14ac:dyDescent="0.2">
      <c r="B403" s="10"/>
      <c r="C403" s="10"/>
      <c r="D403" s="10"/>
      <c r="E403" s="10"/>
    </row>
    <row r="404" spans="2:5" ht="15.75" customHeight="1" x14ac:dyDescent="0.2">
      <c r="B404" s="10"/>
      <c r="C404" s="10"/>
      <c r="D404" s="10"/>
      <c r="E404" s="10"/>
    </row>
    <row r="405" spans="2:5" ht="15.75" customHeight="1" x14ac:dyDescent="0.2">
      <c r="B405" s="10"/>
      <c r="C405" s="10"/>
      <c r="D405" s="10"/>
      <c r="E405" s="10"/>
    </row>
    <row r="406" spans="2:5" ht="15.75" customHeight="1" x14ac:dyDescent="0.2">
      <c r="B406" s="10"/>
      <c r="C406" s="10"/>
      <c r="D406" s="10"/>
      <c r="E406" s="10"/>
    </row>
    <row r="407" spans="2:5" ht="15.75" customHeight="1" x14ac:dyDescent="0.2">
      <c r="B407" s="10"/>
      <c r="C407" s="10"/>
      <c r="D407" s="10"/>
      <c r="E407" s="10"/>
    </row>
    <row r="408" spans="2:5" ht="15.75" customHeight="1" x14ac:dyDescent="0.2">
      <c r="B408" s="10"/>
      <c r="C408" s="10"/>
      <c r="D408" s="10"/>
      <c r="E408" s="10"/>
    </row>
    <row r="409" spans="2:5" ht="15.75" customHeight="1" x14ac:dyDescent="0.2">
      <c r="B409" s="10"/>
      <c r="C409" s="10"/>
      <c r="D409" s="10"/>
      <c r="E409" s="10"/>
    </row>
    <row r="410" spans="2:5" ht="15.75" customHeight="1" x14ac:dyDescent="0.2">
      <c r="B410" s="10"/>
      <c r="C410" s="10"/>
      <c r="D410" s="10"/>
      <c r="E410" s="10"/>
    </row>
    <row r="411" spans="2:5" ht="15.75" customHeight="1" x14ac:dyDescent="0.2">
      <c r="B411" s="10"/>
      <c r="C411" s="10"/>
      <c r="D411" s="10"/>
      <c r="E411" s="10"/>
    </row>
    <row r="412" spans="2:5" ht="15.75" customHeight="1" x14ac:dyDescent="0.2">
      <c r="B412" s="10"/>
      <c r="C412" s="10"/>
      <c r="D412" s="10"/>
      <c r="E412" s="10"/>
    </row>
    <row r="413" spans="2:5" ht="15.75" customHeight="1" x14ac:dyDescent="0.2">
      <c r="B413" s="10"/>
      <c r="C413" s="10"/>
      <c r="D413" s="10"/>
      <c r="E413" s="10"/>
    </row>
    <row r="414" spans="2:5" ht="15.75" customHeight="1" x14ac:dyDescent="0.2">
      <c r="B414" s="10"/>
      <c r="C414" s="10"/>
      <c r="D414" s="10"/>
      <c r="E414" s="10"/>
    </row>
    <row r="415" spans="2:5" ht="15.75" customHeight="1" x14ac:dyDescent="0.2">
      <c r="B415" s="10"/>
      <c r="C415" s="10"/>
      <c r="D415" s="10"/>
      <c r="E415" s="10"/>
    </row>
    <row r="416" spans="2:5" ht="15.75" customHeight="1" x14ac:dyDescent="0.2">
      <c r="B416" s="10"/>
      <c r="C416" s="10"/>
      <c r="D416" s="10"/>
      <c r="E416" s="10"/>
    </row>
    <row r="417" spans="2:5" ht="15.75" customHeight="1" x14ac:dyDescent="0.2">
      <c r="B417" s="10"/>
      <c r="C417" s="10"/>
      <c r="D417" s="10"/>
      <c r="E417" s="10"/>
    </row>
    <row r="418" spans="2:5" ht="15.75" customHeight="1" x14ac:dyDescent="0.2">
      <c r="B418" s="10"/>
      <c r="C418" s="10"/>
      <c r="D418" s="10"/>
      <c r="E418" s="10"/>
    </row>
    <row r="419" spans="2:5" ht="15.75" customHeight="1" x14ac:dyDescent="0.2">
      <c r="B419" s="10"/>
      <c r="C419" s="10"/>
      <c r="D419" s="10"/>
      <c r="E419" s="10"/>
    </row>
    <row r="420" spans="2:5" ht="15.75" customHeight="1" x14ac:dyDescent="0.2">
      <c r="B420" s="10"/>
      <c r="C420" s="10"/>
      <c r="D420" s="10"/>
      <c r="E420" s="10"/>
    </row>
    <row r="421" spans="2:5" ht="15.75" customHeight="1" x14ac:dyDescent="0.2">
      <c r="B421" s="10"/>
      <c r="C421" s="10"/>
      <c r="D421" s="10"/>
      <c r="E421" s="10"/>
    </row>
    <row r="422" spans="2:5" ht="15.75" customHeight="1" x14ac:dyDescent="0.2">
      <c r="B422" s="10"/>
      <c r="C422" s="10"/>
      <c r="D422" s="10"/>
      <c r="E422" s="10"/>
    </row>
    <row r="423" spans="2:5" ht="15.75" customHeight="1" x14ac:dyDescent="0.2">
      <c r="B423" s="10"/>
      <c r="C423" s="10"/>
      <c r="D423" s="10"/>
      <c r="E423" s="10"/>
    </row>
    <row r="424" spans="2:5" ht="15.75" customHeight="1" x14ac:dyDescent="0.2">
      <c r="B424" s="10"/>
      <c r="C424" s="10"/>
      <c r="D424" s="10"/>
      <c r="E424" s="10"/>
    </row>
    <row r="425" spans="2:5" ht="15.75" customHeight="1" x14ac:dyDescent="0.2">
      <c r="B425" s="10"/>
      <c r="C425" s="10"/>
      <c r="D425" s="10"/>
      <c r="E425" s="10"/>
    </row>
    <row r="426" spans="2:5" ht="15.75" customHeight="1" x14ac:dyDescent="0.2">
      <c r="B426" s="10"/>
      <c r="C426" s="10"/>
      <c r="D426" s="10"/>
      <c r="E426" s="10"/>
    </row>
    <row r="427" spans="2:5" ht="15.75" customHeight="1" x14ac:dyDescent="0.2">
      <c r="B427" s="10"/>
      <c r="C427" s="10"/>
      <c r="D427" s="10"/>
      <c r="E427" s="10"/>
    </row>
    <row r="428" spans="2:5" ht="15.75" customHeight="1" x14ac:dyDescent="0.2">
      <c r="B428" s="10"/>
      <c r="C428" s="10"/>
      <c r="D428" s="10"/>
      <c r="E428" s="10"/>
    </row>
    <row r="429" spans="2:5" ht="15.75" customHeight="1" x14ac:dyDescent="0.2">
      <c r="B429" s="10"/>
      <c r="C429" s="10"/>
      <c r="D429" s="10"/>
      <c r="E429" s="10"/>
    </row>
    <row r="430" spans="2:5" ht="15.75" customHeight="1" x14ac:dyDescent="0.2">
      <c r="B430" s="10"/>
      <c r="C430" s="10"/>
      <c r="D430" s="10"/>
      <c r="E430" s="10"/>
    </row>
    <row r="431" spans="2:5" ht="15.75" customHeight="1" x14ac:dyDescent="0.2">
      <c r="B431" s="10"/>
      <c r="C431" s="10"/>
      <c r="D431" s="10"/>
      <c r="E431" s="10"/>
    </row>
    <row r="432" spans="2:5" ht="15.75" customHeight="1" x14ac:dyDescent="0.2">
      <c r="B432" s="10"/>
      <c r="C432" s="10"/>
      <c r="D432" s="10"/>
      <c r="E432" s="10"/>
    </row>
    <row r="433" spans="2:5" ht="15.75" customHeight="1" x14ac:dyDescent="0.2">
      <c r="B433" s="10"/>
      <c r="C433" s="10"/>
      <c r="D433" s="10"/>
      <c r="E433" s="10"/>
    </row>
    <row r="434" spans="2:5" ht="15.75" customHeight="1" x14ac:dyDescent="0.2">
      <c r="B434" s="10"/>
      <c r="C434" s="10"/>
      <c r="D434" s="10"/>
      <c r="E434" s="10"/>
    </row>
    <row r="435" spans="2:5" ht="15.75" customHeight="1" x14ac:dyDescent="0.2">
      <c r="B435" s="10"/>
      <c r="C435" s="10"/>
      <c r="D435" s="10"/>
      <c r="E435" s="10"/>
    </row>
    <row r="436" spans="2:5" ht="15.75" customHeight="1" x14ac:dyDescent="0.2">
      <c r="B436" s="10"/>
      <c r="C436" s="10"/>
      <c r="D436" s="10"/>
      <c r="E436" s="10"/>
    </row>
    <row r="437" spans="2:5" ht="15.75" customHeight="1" x14ac:dyDescent="0.2">
      <c r="B437" s="10"/>
      <c r="C437" s="10"/>
      <c r="D437" s="10"/>
      <c r="E437" s="10"/>
    </row>
    <row r="438" spans="2:5" ht="15.75" customHeight="1" x14ac:dyDescent="0.2">
      <c r="B438" s="10"/>
      <c r="C438" s="10"/>
      <c r="D438" s="10"/>
      <c r="E438" s="10"/>
    </row>
    <row r="439" spans="2:5" ht="15.75" customHeight="1" x14ac:dyDescent="0.2">
      <c r="B439" s="10"/>
      <c r="C439" s="10"/>
      <c r="D439" s="10"/>
      <c r="E439" s="10"/>
    </row>
    <row r="440" spans="2:5" ht="15.75" customHeight="1" x14ac:dyDescent="0.2">
      <c r="B440" s="10"/>
      <c r="C440" s="10"/>
      <c r="D440" s="10"/>
      <c r="E440" s="10"/>
    </row>
    <row r="441" spans="2:5" ht="15.75" customHeight="1" x14ac:dyDescent="0.2">
      <c r="B441" s="10"/>
      <c r="C441" s="10"/>
      <c r="D441" s="10"/>
      <c r="E441" s="10"/>
    </row>
    <row r="442" spans="2:5" ht="15.75" customHeight="1" x14ac:dyDescent="0.2">
      <c r="B442" s="10"/>
      <c r="C442" s="10"/>
      <c r="D442" s="10"/>
      <c r="E442" s="10"/>
    </row>
    <row r="443" spans="2:5" ht="15.75" customHeight="1" x14ac:dyDescent="0.2">
      <c r="B443" s="10"/>
      <c r="C443" s="10"/>
      <c r="D443" s="10"/>
      <c r="E443" s="10"/>
    </row>
    <row r="444" spans="2:5" ht="15.75" customHeight="1" x14ac:dyDescent="0.2">
      <c r="B444" s="10"/>
      <c r="C444" s="10"/>
      <c r="D444" s="10"/>
      <c r="E444" s="10"/>
    </row>
    <row r="445" spans="2:5" ht="15.75" customHeight="1" x14ac:dyDescent="0.2">
      <c r="B445" s="10"/>
      <c r="C445" s="10"/>
      <c r="D445" s="10"/>
      <c r="E445" s="10"/>
    </row>
    <row r="446" spans="2:5" ht="15.75" customHeight="1" x14ac:dyDescent="0.2">
      <c r="B446" s="10"/>
      <c r="C446" s="10"/>
      <c r="D446" s="10"/>
      <c r="E446" s="10"/>
    </row>
    <row r="447" spans="2:5" ht="15.75" customHeight="1" x14ac:dyDescent="0.2">
      <c r="B447" s="10"/>
      <c r="C447" s="10"/>
      <c r="D447" s="10"/>
      <c r="E447" s="10"/>
    </row>
    <row r="448" spans="2:5" ht="15.75" customHeight="1" x14ac:dyDescent="0.2">
      <c r="B448" s="10"/>
      <c r="C448" s="10"/>
      <c r="D448" s="10"/>
      <c r="E448" s="10"/>
    </row>
    <row r="449" spans="2:5" ht="15.75" customHeight="1" x14ac:dyDescent="0.2">
      <c r="B449" s="10"/>
      <c r="C449" s="10"/>
      <c r="D449" s="10"/>
      <c r="E449" s="10"/>
    </row>
    <row r="450" spans="2:5" ht="15.75" customHeight="1" x14ac:dyDescent="0.2">
      <c r="B450" s="10"/>
      <c r="C450" s="10"/>
      <c r="D450" s="10"/>
      <c r="E450" s="10"/>
    </row>
    <row r="451" spans="2:5" ht="15.75" customHeight="1" x14ac:dyDescent="0.2">
      <c r="B451" s="10"/>
      <c r="C451" s="10"/>
      <c r="D451" s="10"/>
      <c r="E451" s="10"/>
    </row>
    <row r="452" spans="2:5" ht="15.75" customHeight="1" x14ac:dyDescent="0.2">
      <c r="B452" s="10"/>
      <c r="C452" s="10"/>
      <c r="D452" s="10"/>
      <c r="E452" s="10"/>
    </row>
    <row r="453" spans="2:5" ht="15.75" customHeight="1" x14ac:dyDescent="0.2">
      <c r="B453" s="10"/>
      <c r="C453" s="10"/>
      <c r="D453" s="10"/>
      <c r="E453" s="10"/>
    </row>
    <row r="454" spans="2:5" ht="15.75" customHeight="1" x14ac:dyDescent="0.2">
      <c r="B454" s="10"/>
      <c r="C454" s="10"/>
      <c r="D454" s="10"/>
      <c r="E454" s="10"/>
    </row>
    <row r="455" spans="2:5" ht="15.75" customHeight="1" x14ac:dyDescent="0.2">
      <c r="B455" s="10"/>
      <c r="C455" s="10"/>
      <c r="D455" s="10"/>
      <c r="E455" s="10"/>
    </row>
    <row r="456" spans="2:5" ht="15.75" customHeight="1" x14ac:dyDescent="0.2">
      <c r="B456" s="10"/>
      <c r="C456" s="10"/>
      <c r="D456" s="10"/>
      <c r="E456" s="10"/>
    </row>
    <row r="457" spans="2:5" ht="15.75" customHeight="1" x14ac:dyDescent="0.2">
      <c r="B457" s="10"/>
      <c r="C457" s="10"/>
      <c r="D457" s="10"/>
      <c r="E457" s="10"/>
    </row>
    <row r="458" spans="2:5" ht="15.75" customHeight="1" x14ac:dyDescent="0.2">
      <c r="B458" s="10"/>
      <c r="C458" s="10"/>
      <c r="D458" s="10"/>
      <c r="E458" s="10"/>
    </row>
    <row r="459" spans="2:5" ht="15.75" customHeight="1" x14ac:dyDescent="0.2">
      <c r="B459" s="10"/>
      <c r="C459" s="10"/>
      <c r="D459" s="10"/>
      <c r="E459" s="10"/>
    </row>
    <row r="460" spans="2:5" ht="15.75" customHeight="1" x14ac:dyDescent="0.2">
      <c r="B460" s="10"/>
      <c r="C460" s="10"/>
      <c r="D460" s="10"/>
      <c r="E460" s="10"/>
    </row>
    <row r="461" spans="2:5" ht="15.75" customHeight="1" x14ac:dyDescent="0.2">
      <c r="B461" s="10"/>
      <c r="C461" s="10"/>
      <c r="D461" s="10"/>
      <c r="E461" s="10"/>
    </row>
    <row r="462" spans="2:5" ht="15.75" customHeight="1" x14ac:dyDescent="0.2">
      <c r="B462" s="10"/>
      <c r="C462" s="10"/>
      <c r="D462" s="10"/>
      <c r="E462" s="10"/>
    </row>
    <row r="463" spans="2:5" ht="15.75" customHeight="1" x14ac:dyDescent="0.2">
      <c r="B463" s="10"/>
      <c r="C463" s="10"/>
      <c r="D463" s="10"/>
      <c r="E463" s="10"/>
    </row>
    <row r="464" spans="2:5" ht="15.75" customHeight="1" x14ac:dyDescent="0.2">
      <c r="B464" s="10"/>
      <c r="C464" s="10"/>
      <c r="D464" s="10"/>
      <c r="E464" s="10"/>
    </row>
    <row r="465" spans="2:5" ht="15.75" customHeight="1" x14ac:dyDescent="0.2">
      <c r="B465" s="10"/>
      <c r="C465" s="10"/>
      <c r="D465" s="10"/>
      <c r="E465" s="10"/>
    </row>
    <row r="466" spans="2:5" ht="15.75" customHeight="1" x14ac:dyDescent="0.2">
      <c r="B466" s="10"/>
      <c r="C466" s="10"/>
      <c r="D466" s="10"/>
      <c r="E466" s="10"/>
    </row>
    <row r="467" spans="2:5" ht="15.75" customHeight="1" x14ac:dyDescent="0.2">
      <c r="B467" s="10"/>
      <c r="C467" s="10"/>
      <c r="D467" s="10"/>
      <c r="E467" s="10"/>
    </row>
    <row r="468" spans="2:5" ht="15.75" customHeight="1" x14ac:dyDescent="0.2">
      <c r="B468" s="10"/>
      <c r="C468" s="10"/>
      <c r="D468" s="10"/>
      <c r="E468" s="10"/>
    </row>
    <row r="469" spans="2:5" ht="15.75" customHeight="1" x14ac:dyDescent="0.2">
      <c r="B469" s="10"/>
      <c r="C469" s="10"/>
      <c r="D469" s="10"/>
      <c r="E469" s="10"/>
    </row>
    <row r="470" spans="2:5" ht="15.75" customHeight="1" x14ac:dyDescent="0.2">
      <c r="B470" s="10"/>
      <c r="C470" s="10"/>
      <c r="D470" s="10"/>
      <c r="E470" s="10"/>
    </row>
    <row r="471" spans="2:5" ht="15.75" customHeight="1" x14ac:dyDescent="0.2">
      <c r="B471" s="10"/>
      <c r="C471" s="10"/>
      <c r="D471" s="10"/>
      <c r="E471" s="10"/>
    </row>
    <row r="472" spans="2:5" ht="15.75" customHeight="1" x14ac:dyDescent="0.2">
      <c r="B472" s="10"/>
      <c r="C472" s="10"/>
      <c r="D472" s="10"/>
      <c r="E472" s="10"/>
    </row>
    <row r="473" spans="2:5" ht="15.75" customHeight="1" x14ac:dyDescent="0.2">
      <c r="B473" s="10"/>
      <c r="C473" s="10"/>
      <c r="D473" s="10"/>
      <c r="E473" s="10"/>
    </row>
    <row r="474" spans="2:5" ht="15.75" customHeight="1" x14ac:dyDescent="0.2">
      <c r="B474" s="10"/>
      <c r="C474" s="10"/>
      <c r="D474" s="10"/>
      <c r="E474" s="10"/>
    </row>
    <row r="475" spans="2:5" ht="15.75" customHeight="1" x14ac:dyDescent="0.2">
      <c r="B475" s="10"/>
      <c r="C475" s="10"/>
      <c r="D475" s="10"/>
      <c r="E475" s="10"/>
    </row>
    <row r="476" spans="2:5" ht="15.75" customHeight="1" x14ac:dyDescent="0.2">
      <c r="B476" s="10"/>
      <c r="C476" s="10"/>
      <c r="D476" s="10"/>
      <c r="E476" s="10"/>
    </row>
    <row r="477" spans="2:5" ht="15.75" customHeight="1" x14ac:dyDescent="0.2">
      <c r="B477" s="10"/>
      <c r="C477" s="10"/>
      <c r="D477" s="10"/>
      <c r="E477" s="10"/>
    </row>
    <row r="478" spans="2:5" ht="15.75" customHeight="1" x14ac:dyDescent="0.2">
      <c r="B478" s="10"/>
      <c r="C478" s="10"/>
      <c r="D478" s="10"/>
      <c r="E478" s="10"/>
    </row>
    <row r="479" spans="2:5" ht="15.75" customHeight="1" x14ac:dyDescent="0.2">
      <c r="B479" s="10"/>
      <c r="C479" s="10"/>
      <c r="D479" s="10"/>
      <c r="E479" s="10"/>
    </row>
    <row r="480" spans="2:5" ht="15.75" customHeight="1" x14ac:dyDescent="0.2">
      <c r="B480" s="10"/>
      <c r="C480" s="10"/>
      <c r="D480" s="10"/>
      <c r="E480" s="10"/>
    </row>
    <row r="481" spans="2:5" ht="15.75" customHeight="1" x14ac:dyDescent="0.2">
      <c r="B481" s="10"/>
      <c r="C481" s="10"/>
      <c r="D481" s="10"/>
      <c r="E481" s="10"/>
    </row>
    <row r="482" spans="2:5" ht="15.75" customHeight="1" x14ac:dyDescent="0.2">
      <c r="B482" s="10"/>
      <c r="C482" s="10"/>
      <c r="D482" s="10"/>
      <c r="E482" s="10"/>
    </row>
    <row r="483" spans="2:5" ht="15.75" customHeight="1" x14ac:dyDescent="0.2">
      <c r="B483" s="10"/>
      <c r="C483" s="10"/>
      <c r="D483" s="10"/>
      <c r="E483" s="10"/>
    </row>
    <row r="484" spans="2:5" ht="15.75" customHeight="1" x14ac:dyDescent="0.2">
      <c r="B484" s="10"/>
      <c r="C484" s="10"/>
      <c r="D484" s="10"/>
      <c r="E484" s="10"/>
    </row>
    <row r="485" spans="2:5" ht="15.75" customHeight="1" x14ac:dyDescent="0.2">
      <c r="B485" s="10"/>
      <c r="C485" s="10"/>
      <c r="D485" s="10"/>
      <c r="E485" s="10"/>
    </row>
    <row r="486" spans="2:5" ht="15.75" customHeight="1" x14ac:dyDescent="0.2">
      <c r="B486" s="10"/>
      <c r="C486" s="10"/>
      <c r="D486" s="10"/>
      <c r="E486" s="10"/>
    </row>
    <row r="487" spans="2:5" ht="15.75" customHeight="1" x14ac:dyDescent="0.2">
      <c r="B487" s="10"/>
      <c r="C487" s="10"/>
      <c r="D487" s="10"/>
      <c r="E487" s="10"/>
    </row>
    <row r="488" spans="2:5" ht="15.75" customHeight="1" x14ac:dyDescent="0.2">
      <c r="B488" s="10"/>
      <c r="C488" s="10"/>
      <c r="D488" s="10"/>
      <c r="E488" s="10"/>
    </row>
    <row r="489" spans="2:5" ht="15.75" customHeight="1" x14ac:dyDescent="0.2">
      <c r="B489" s="10"/>
      <c r="C489" s="10"/>
      <c r="D489" s="10"/>
      <c r="E489" s="10"/>
    </row>
    <row r="490" spans="2:5" ht="15.75" customHeight="1" x14ac:dyDescent="0.2">
      <c r="B490" s="10"/>
      <c r="C490" s="10"/>
      <c r="D490" s="10"/>
      <c r="E490" s="10"/>
    </row>
    <row r="491" spans="2:5" ht="15.75" customHeight="1" x14ac:dyDescent="0.2">
      <c r="B491" s="10"/>
      <c r="C491" s="10"/>
      <c r="D491" s="10"/>
      <c r="E491" s="10"/>
    </row>
    <row r="492" spans="2:5" ht="15.75" customHeight="1" x14ac:dyDescent="0.2">
      <c r="B492" s="10"/>
      <c r="C492" s="10"/>
      <c r="D492" s="10"/>
      <c r="E492" s="10"/>
    </row>
    <row r="493" spans="2:5" ht="15.75" customHeight="1" x14ac:dyDescent="0.2">
      <c r="B493" s="10"/>
      <c r="C493" s="10"/>
      <c r="D493" s="10"/>
      <c r="E493" s="10"/>
    </row>
    <row r="494" spans="2:5" ht="15.75" customHeight="1" x14ac:dyDescent="0.2">
      <c r="B494" s="10"/>
      <c r="C494" s="10"/>
      <c r="D494" s="10"/>
      <c r="E494" s="10"/>
    </row>
    <row r="495" spans="2:5" ht="15.75" customHeight="1" x14ac:dyDescent="0.2">
      <c r="B495" s="10"/>
      <c r="C495" s="10"/>
      <c r="D495" s="10"/>
      <c r="E495" s="10"/>
    </row>
    <row r="496" spans="2:5" ht="15.75" customHeight="1" x14ac:dyDescent="0.2">
      <c r="B496" s="10"/>
      <c r="C496" s="10"/>
      <c r="D496" s="10"/>
      <c r="E496" s="10"/>
    </row>
    <row r="497" spans="2:5" ht="15.75" customHeight="1" x14ac:dyDescent="0.2">
      <c r="B497" s="10"/>
      <c r="C497" s="10"/>
      <c r="D497" s="10"/>
      <c r="E497" s="10"/>
    </row>
    <row r="498" spans="2:5" ht="15.75" customHeight="1" x14ac:dyDescent="0.2">
      <c r="B498" s="10"/>
      <c r="C498" s="10"/>
      <c r="D498" s="10"/>
      <c r="E498" s="10"/>
    </row>
    <row r="499" spans="2:5" ht="15.75" customHeight="1" x14ac:dyDescent="0.2">
      <c r="B499" s="10"/>
      <c r="C499" s="10"/>
      <c r="D499" s="10"/>
      <c r="E499" s="10"/>
    </row>
    <row r="500" spans="2:5" ht="15.75" customHeight="1" x14ac:dyDescent="0.2">
      <c r="B500" s="10"/>
      <c r="C500" s="10"/>
      <c r="D500" s="10"/>
      <c r="E500" s="10"/>
    </row>
    <row r="501" spans="2:5" ht="15.75" customHeight="1" x14ac:dyDescent="0.2">
      <c r="B501" s="10"/>
      <c r="C501" s="10"/>
      <c r="D501" s="10"/>
      <c r="E501" s="10"/>
    </row>
    <row r="502" spans="2:5" ht="15.75" customHeight="1" x14ac:dyDescent="0.2">
      <c r="B502" s="10"/>
      <c r="C502" s="10"/>
      <c r="D502" s="10"/>
      <c r="E502" s="10"/>
    </row>
    <row r="503" spans="2:5" ht="15.75" customHeight="1" x14ac:dyDescent="0.2">
      <c r="B503" s="10"/>
      <c r="C503" s="10"/>
      <c r="D503" s="10"/>
      <c r="E503" s="10"/>
    </row>
    <row r="504" spans="2:5" ht="15.75" customHeight="1" x14ac:dyDescent="0.2">
      <c r="B504" s="10"/>
      <c r="C504" s="10"/>
      <c r="D504" s="10"/>
      <c r="E504" s="10"/>
    </row>
    <row r="505" spans="2:5" ht="15.75" customHeight="1" x14ac:dyDescent="0.2">
      <c r="B505" s="10"/>
      <c r="C505" s="10"/>
      <c r="D505" s="10"/>
      <c r="E505" s="10"/>
    </row>
    <row r="506" spans="2:5" ht="15.75" customHeight="1" x14ac:dyDescent="0.2">
      <c r="B506" s="10"/>
      <c r="C506" s="10"/>
      <c r="D506" s="10"/>
      <c r="E506" s="10"/>
    </row>
    <row r="507" spans="2:5" ht="15.75" customHeight="1" x14ac:dyDescent="0.2">
      <c r="B507" s="10"/>
      <c r="C507" s="10"/>
      <c r="D507" s="10"/>
      <c r="E507" s="10"/>
    </row>
    <row r="508" spans="2:5" ht="15.75" customHeight="1" x14ac:dyDescent="0.2">
      <c r="B508" s="10"/>
      <c r="C508" s="10"/>
      <c r="D508" s="10"/>
      <c r="E508" s="10"/>
    </row>
    <row r="509" spans="2:5" ht="15.75" customHeight="1" x14ac:dyDescent="0.2">
      <c r="B509" s="10"/>
      <c r="C509" s="10"/>
      <c r="D509" s="10"/>
      <c r="E509" s="10"/>
    </row>
    <row r="510" spans="2:5" ht="15.75" customHeight="1" x14ac:dyDescent="0.2">
      <c r="B510" s="10"/>
      <c r="C510" s="10"/>
      <c r="D510" s="10"/>
      <c r="E510" s="10"/>
    </row>
    <row r="511" spans="2:5" ht="15.75" customHeight="1" x14ac:dyDescent="0.2">
      <c r="B511" s="10"/>
      <c r="C511" s="10"/>
      <c r="D511" s="10"/>
      <c r="E511" s="10"/>
    </row>
    <row r="512" spans="2:5" ht="15.75" customHeight="1" x14ac:dyDescent="0.2">
      <c r="B512" s="10"/>
      <c r="C512" s="10"/>
      <c r="D512" s="10"/>
      <c r="E512" s="10"/>
    </row>
    <row r="513" spans="2:5" ht="15.75" customHeight="1" x14ac:dyDescent="0.2">
      <c r="B513" s="10"/>
      <c r="C513" s="10"/>
      <c r="D513" s="10"/>
      <c r="E513" s="10"/>
    </row>
    <row r="514" spans="2:5" ht="15.75" customHeight="1" x14ac:dyDescent="0.2">
      <c r="B514" s="10"/>
      <c r="C514" s="10"/>
      <c r="D514" s="10"/>
      <c r="E514" s="10"/>
    </row>
    <row r="515" spans="2:5" ht="15.75" customHeight="1" x14ac:dyDescent="0.2">
      <c r="B515" s="10"/>
      <c r="C515" s="10"/>
      <c r="D515" s="10"/>
      <c r="E515" s="10"/>
    </row>
    <row r="516" spans="2:5" ht="15.75" customHeight="1" x14ac:dyDescent="0.2">
      <c r="B516" s="10"/>
      <c r="C516" s="10"/>
      <c r="D516" s="10"/>
      <c r="E516" s="10"/>
    </row>
    <row r="517" spans="2:5" ht="15.75" customHeight="1" x14ac:dyDescent="0.2">
      <c r="B517" s="10"/>
      <c r="C517" s="10"/>
      <c r="D517" s="10"/>
      <c r="E517" s="10"/>
    </row>
    <row r="518" spans="2:5" ht="15.75" customHeight="1" x14ac:dyDescent="0.2">
      <c r="B518" s="10"/>
      <c r="C518" s="10"/>
      <c r="D518" s="10"/>
      <c r="E518" s="10"/>
    </row>
    <row r="519" spans="2:5" ht="15.75" customHeight="1" x14ac:dyDescent="0.2">
      <c r="B519" s="10"/>
      <c r="C519" s="10"/>
      <c r="D519" s="10"/>
      <c r="E519" s="10"/>
    </row>
    <row r="520" spans="2:5" ht="15.75" customHeight="1" x14ac:dyDescent="0.2">
      <c r="B520" s="10"/>
      <c r="C520" s="10"/>
      <c r="D520" s="10"/>
      <c r="E520" s="10"/>
    </row>
    <row r="521" spans="2:5" ht="15.75" customHeight="1" x14ac:dyDescent="0.2">
      <c r="B521" s="10"/>
      <c r="C521" s="10"/>
      <c r="D521" s="10"/>
      <c r="E521" s="10"/>
    </row>
    <row r="522" spans="2:5" ht="15.75" customHeight="1" x14ac:dyDescent="0.2">
      <c r="B522" s="10"/>
      <c r="C522" s="10"/>
      <c r="D522" s="10"/>
      <c r="E522" s="10"/>
    </row>
    <row r="523" spans="2:5" ht="15.75" customHeight="1" x14ac:dyDescent="0.2">
      <c r="B523" s="10"/>
      <c r="C523" s="10"/>
      <c r="D523" s="10"/>
      <c r="E523" s="10"/>
    </row>
    <row r="524" spans="2:5" ht="15.75" customHeight="1" x14ac:dyDescent="0.2">
      <c r="B524" s="10"/>
      <c r="C524" s="10"/>
      <c r="D524" s="10"/>
      <c r="E524" s="10"/>
    </row>
    <row r="525" spans="2:5" ht="15.75" customHeight="1" x14ac:dyDescent="0.2">
      <c r="B525" s="10"/>
      <c r="C525" s="10"/>
      <c r="D525" s="10"/>
      <c r="E525" s="10"/>
    </row>
    <row r="526" spans="2:5" ht="15.75" customHeight="1" x14ac:dyDescent="0.2">
      <c r="B526" s="10"/>
      <c r="C526" s="10"/>
      <c r="D526" s="10"/>
      <c r="E526" s="10"/>
    </row>
    <row r="527" spans="2:5" ht="15.75" customHeight="1" x14ac:dyDescent="0.2">
      <c r="B527" s="10"/>
      <c r="C527" s="10"/>
      <c r="D527" s="10"/>
      <c r="E527" s="10"/>
    </row>
    <row r="528" spans="2:5" ht="15.75" customHeight="1" x14ac:dyDescent="0.2">
      <c r="B528" s="10"/>
      <c r="C528" s="10"/>
      <c r="D528" s="10"/>
      <c r="E528" s="10"/>
    </row>
    <row r="529" spans="2:5" ht="15.75" customHeight="1" x14ac:dyDescent="0.2">
      <c r="B529" s="10"/>
      <c r="C529" s="10"/>
      <c r="D529" s="10"/>
      <c r="E529" s="10"/>
    </row>
    <row r="530" spans="2:5" ht="15.75" customHeight="1" x14ac:dyDescent="0.2">
      <c r="B530" s="10"/>
      <c r="C530" s="10"/>
      <c r="D530" s="10"/>
      <c r="E530" s="10"/>
    </row>
    <row r="531" spans="2:5" ht="15.75" customHeight="1" x14ac:dyDescent="0.2">
      <c r="B531" s="10"/>
      <c r="C531" s="10"/>
      <c r="D531" s="10"/>
      <c r="E531" s="10"/>
    </row>
    <row r="532" spans="2:5" ht="15.75" customHeight="1" x14ac:dyDescent="0.2">
      <c r="B532" s="10"/>
      <c r="C532" s="10"/>
      <c r="D532" s="10"/>
      <c r="E532" s="10"/>
    </row>
    <row r="533" spans="2:5" ht="15.75" customHeight="1" x14ac:dyDescent="0.2">
      <c r="B533" s="10"/>
      <c r="C533" s="10"/>
      <c r="D533" s="10"/>
      <c r="E533" s="10"/>
    </row>
    <row r="534" spans="2:5" ht="15.75" customHeight="1" x14ac:dyDescent="0.2">
      <c r="B534" s="10"/>
      <c r="C534" s="10"/>
      <c r="D534" s="10"/>
      <c r="E534" s="10"/>
    </row>
    <row r="535" spans="2:5" ht="15.75" customHeight="1" x14ac:dyDescent="0.2">
      <c r="B535" s="10"/>
      <c r="C535" s="10"/>
      <c r="D535" s="10"/>
      <c r="E535" s="10"/>
    </row>
    <row r="536" spans="2:5" ht="15.75" customHeight="1" x14ac:dyDescent="0.2">
      <c r="B536" s="10"/>
      <c r="C536" s="10"/>
      <c r="D536" s="10"/>
      <c r="E536" s="10"/>
    </row>
    <row r="537" spans="2:5" ht="15.75" customHeight="1" x14ac:dyDescent="0.2">
      <c r="B537" s="10"/>
      <c r="C537" s="10"/>
      <c r="D537" s="10"/>
      <c r="E537" s="10"/>
    </row>
    <row r="538" spans="2:5" ht="15.75" customHeight="1" x14ac:dyDescent="0.2">
      <c r="B538" s="10"/>
      <c r="C538" s="10"/>
      <c r="D538" s="10"/>
      <c r="E538" s="10"/>
    </row>
    <row r="539" spans="2:5" ht="15.75" customHeight="1" x14ac:dyDescent="0.2">
      <c r="B539" s="10"/>
      <c r="C539" s="10"/>
      <c r="D539" s="10"/>
      <c r="E539" s="10"/>
    </row>
    <row r="540" spans="2:5" ht="15.75" customHeight="1" x14ac:dyDescent="0.2">
      <c r="B540" s="10"/>
      <c r="C540" s="10"/>
      <c r="D540" s="10"/>
      <c r="E540" s="10"/>
    </row>
    <row r="541" spans="2:5" ht="15.75" customHeight="1" x14ac:dyDescent="0.2">
      <c r="B541" s="10"/>
      <c r="C541" s="10"/>
      <c r="D541" s="10"/>
      <c r="E541" s="10"/>
    </row>
    <row r="542" spans="2:5" ht="15.75" customHeight="1" x14ac:dyDescent="0.2">
      <c r="B542" s="10"/>
      <c r="C542" s="10"/>
      <c r="D542" s="10"/>
      <c r="E542" s="10"/>
    </row>
    <row r="543" spans="2:5" ht="15.75" customHeight="1" x14ac:dyDescent="0.2">
      <c r="B543" s="10"/>
      <c r="C543" s="10"/>
      <c r="D543" s="10"/>
      <c r="E543" s="10"/>
    </row>
    <row r="544" spans="2:5" ht="15.75" customHeight="1" x14ac:dyDescent="0.2">
      <c r="B544" s="10"/>
      <c r="C544" s="10"/>
      <c r="D544" s="10"/>
      <c r="E544" s="10"/>
    </row>
    <row r="545" spans="2:5" ht="15.75" customHeight="1" x14ac:dyDescent="0.2">
      <c r="B545" s="10"/>
      <c r="C545" s="10"/>
      <c r="D545" s="10"/>
      <c r="E545" s="10"/>
    </row>
    <row r="546" spans="2:5" ht="15.75" customHeight="1" x14ac:dyDescent="0.2">
      <c r="B546" s="10"/>
      <c r="C546" s="10"/>
      <c r="D546" s="10"/>
      <c r="E546" s="10"/>
    </row>
    <row r="547" spans="2:5" ht="15.75" customHeight="1" x14ac:dyDescent="0.2">
      <c r="B547" s="10"/>
      <c r="C547" s="10"/>
      <c r="D547" s="10"/>
      <c r="E547" s="10"/>
    </row>
    <row r="548" spans="2:5" ht="15.75" customHeight="1" x14ac:dyDescent="0.2">
      <c r="B548" s="10"/>
      <c r="C548" s="10"/>
      <c r="D548" s="10"/>
      <c r="E548" s="10"/>
    </row>
    <row r="549" spans="2:5" ht="15.75" customHeight="1" x14ac:dyDescent="0.2">
      <c r="B549" s="10"/>
      <c r="C549" s="10"/>
      <c r="D549" s="10"/>
      <c r="E549" s="10"/>
    </row>
    <row r="550" spans="2:5" ht="15.75" customHeight="1" x14ac:dyDescent="0.2">
      <c r="B550" s="10"/>
      <c r="C550" s="10"/>
      <c r="D550" s="10"/>
      <c r="E550" s="10"/>
    </row>
    <row r="551" spans="2:5" ht="15.75" customHeight="1" x14ac:dyDescent="0.2">
      <c r="B551" s="10"/>
      <c r="C551" s="10"/>
      <c r="D551" s="10"/>
      <c r="E551" s="10"/>
    </row>
    <row r="552" spans="2:5" ht="15.75" customHeight="1" x14ac:dyDescent="0.2">
      <c r="B552" s="10"/>
      <c r="C552" s="10"/>
      <c r="D552" s="10"/>
      <c r="E552" s="10"/>
    </row>
    <row r="553" spans="2:5" ht="15.75" customHeight="1" x14ac:dyDescent="0.2">
      <c r="B553" s="10"/>
      <c r="C553" s="10"/>
      <c r="D553" s="10"/>
      <c r="E553" s="10"/>
    </row>
    <row r="554" spans="2:5" ht="15.75" customHeight="1" x14ac:dyDescent="0.2">
      <c r="B554" s="10"/>
      <c r="C554" s="10"/>
      <c r="D554" s="10"/>
      <c r="E554" s="10"/>
    </row>
    <row r="555" spans="2:5" ht="15.75" customHeight="1" x14ac:dyDescent="0.2">
      <c r="B555" s="10"/>
      <c r="C555" s="10"/>
      <c r="D555" s="10"/>
      <c r="E555" s="10"/>
    </row>
    <row r="556" spans="2:5" ht="15.75" customHeight="1" x14ac:dyDescent="0.2">
      <c r="B556" s="10"/>
      <c r="C556" s="10"/>
      <c r="D556" s="10"/>
      <c r="E556" s="10"/>
    </row>
    <row r="557" spans="2:5" ht="15.75" customHeight="1" x14ac:dyDescent="0.2">
      <c r="B557" s="10"/>
      <c r="C557" s="10"/>
      <c r="D557" s="10"/>
      <c r="E557" s="10"/>
    </row>
    <row r="558" spans="2:5" ht="15.75" customHeight="1" x14ac:dyDescent="0.2">
      <c r="B558" s="10"/>
      <c r="C558" s="10"/>
      <c r="D558" s="10"/>
      <c r="E558" s="10"/>
    </row>
    <row r="559" spans="2:5" ht="15.75" customHeight="1" x14ac:dyDescent="0.2">
      <c r="B559" s="10"/>
      <c r="C559" s="10"/>
      <c r="D559" s="10"/>
      <c r="E559" s="10"/>
    </row>
    <row r="560" spans="2:5" ht="15.75" customHeight="1" x14ac:dyDescent="0.2">
      <c r="B560" s="10"/>
      <c r="C560" s="10"/>
      <c r="D560" s="10"/>
      <c r="E560" s="10"/>
    </row>
    <row r="561" spans="2:5" ht="15.75" customHeight="1" x14ac:dyDescent="0.2">
      <c r="B561" s="10"/>
      <c r="C561" s="10"/>
      <c r="D561" s="10"/>
      <c r="E561" s="10"/>
    </row>
    <row r="562" spans="2:5" ht="15.75" customHeight="1" x14ac:dyDescent="0.2">
      <c r="B562" s="10"/>
      <c r="C562" s="10"/>
      <c r="D562" s="10"/>
      <c r="E562" s="10"/>
    </row>
    <row r="563" spans="2:5" ht="15.75" customHeight="1" x14ac:dyDescent="0.2">
      <c r="B563" s="10"/>
      <c r="C563" s="10"/>
      <c r="D563" s="10"/>
      <c r="E563" s="10"/>
    </row>
    <row r="564" spans="2:5" ht="15.75" customHeight="1" x14ac:dyDescent="0.2">
      <c r="B564" s="10"/>
      <c r="C564" s="10"/>
      <c r="D564" s="10"/>
      <c r="E564" s="10"/>
    </row>
    <row r="565" spans="2:5" ht="15.75" customHeight="1" x14ac:dyDescent="0.2">
      <c r="B565" s="10"/>
      <c r="C565" s="10"/>
      <c r="D565" s="10"/>
      <c r="E565" s="10"/>
    </row>
    <row r="566" spans="2:5" ht="15.75" customHeight="1" x14ac:dyDescent="0.2">
      <c r="B566" s="10"/>
      <c r="C566" s="10"/>
      <c r="D566" s="10"/>
      <c r="E566" s="10"/>
    </row>
    <row r="567" spans="2:5" ht="15.75" customHeight="1" x14ac:dyDescent="0.2">
      <c r="B567" s="10"/>
      <c r="C567" s="10"/>
      <c r="D567" s="10"/>
      <c r="E567" s="10"/>
    </row>
    <row r="568" spans="2:5" ht="15.75" customHeight="1" x14ac:dyDescent="0.2">
      <c r="B568" s="10"/>
      <c r="C568" s="10"/>
      <c r="D568" s="10"/>
      <c r="E568" s="10"/>
    </row>
    <row r="569" spans="2:5" ht="15.75" customHeight="1" x14ac:dyDescent="0.2">
      <c r="B569" s="10"/>
      <c r="C569" s="10"/>
      <c r="D569" s="10"/>
      <c r="E569" s="10"/>
    </row>
    <row r="570" spans="2:5" ht="15.75" customHeight="1" x14ac:dyDescent="0.2">
      <c r="B570" s="10"/>
      <c r="C570" s="10"/>
      <c r="D570" s="10"/>
      <c r="E570" s="10"/>
    </row>
    <row r="571" spans="2:5" ht="15.75" customHeight="1" x14ac:dyDescent="0.2">
      <c r="B571" s="10"/>
      <c r="C571" s="10"/>
      <c r="D571" s="10"/>
      <c r="E571" s="10"/>
    </row>
    <row r="572" spans="2:5" ht="15.75" customHeight="1" x14ac:dyDescent="0.2">
      <c r="B572" s="10"/>
      <c r="C572" s="10"/>
      <c r="D572" s="10"/>
      <c r="E572" s="10"/>
    </row>
    <row r="573" spans="2:5" ht="15.75" customHeight="1" x14ac:dyDescent="0.2">
      <c r="B573" s="10"/>
      <c r="C573" s="10"/>
      <c r="D573" s="10"/>
      <c r="E573" s="10"/>
    </row>
    <row r="574" spans="2:5" ht="15.75" customHeight="1" x14ac:dyDescent="0.2">
      <c r="B574" s="10"/>
      <c r="C574" s="10"/>
      <c r="D574" s="10"/>
      <c r="E574" s="10"/>
    </row>
    <row r="575" spans="2:5" ht="15.75" customHeight="1" x14ac:dyDescent="0.2">
      <c r="B575" s="10"/>
      <c r="C575" s="10"/>
      <c r="D575" s="10"/>
      <c r="E575" s="10"/>
    </row>
    <row r="576" spans="2:5" ht="15.75" customHeight="1" x14ac:dyDescent="0.2">
      <c r="B576" s="10"/>
      <c r="C576" s="10"/>
      <c r="D576" s="10"/>
      <c r="E576" s="10"/>
    </row>
    <row r="577" spans="2:5" ht="15.75" customHeight="1" x14ac:dyDescent="0.2">
      <c r="B577" s="10"/>
      <c r="C577" s="10"/>
      <c r="D577" s="10"/>
      <c r="E577" s="10"/>
    </row>
    <row r="578" spans="2:5" ht="15.75" customHeight="1" x14ac:dyDescent="0.2">
      <c r="B578" s="10"/>
      <c r="C578" s="10"/>
      <c r="D578" s="10"/>
      <c r="E578" s="10"/>
    </row>
    <row r="579" spans="2:5" ht="15.75" customHeight="1" x14ac:dyDescent="0.2">
      <c r="B579" s="10"/>
      <c r="C579" s="10"/>
      <c r="D579" s="10"/>
      <c r="E579" s="10"/>
    </row>
    <row r="580" spans="2:5" ht="15.75" customHeight="1" x14ac:dyDescent="0.2">
      <c r="B580" s="10"/>
      <c r="C580" s="10"/>
      <c r="D580" s="10"/>
      <c r="E580" s="10"/>
    </row>
    <row r="581" spans="2:5" ht="15.75" customHeight="1" x14ac:dyDescent="0.2">
      <c r="B581" s="10"/>
      <c r="C581" s="10"/>
      <c r="D581" s="10"/>
      <c r="E581" s="10"/>
    </row>
    <row r="582" spans="2:5" ht="15.75" customHeight="1" x14ac:dyDescent="0.2">
      <c r="B582" s="10"/>
      <c r="C582" s="10"/>
      <c r="D582" s="10"/>
      <c r="E582" s="10"/>
    </row>
    <row r="583" spans="2:5" ht="15.75" customHeight="1" x14ac:dyDescent="0.2">
      <c r="B583" s="10"/>
      <c r="C583" s="10"/>
      <c r="D583" s="10"/>
      <c r="E583" s="10"/>
    </row>
    <row r="584" spans="2:5" ht="15.75" customHeight="1" x14ac:dyDescent="0.2">
      <c r="B584" s="10"/>
      <c r="C584" s="10"/>
      <c r="D584" s="10"/>
      <c r="E584" s="10"/>
    </row>
    <row r="585" spans="2:5" ht="15.75" customHeight="1" x14ac:dyDescent="0.2">
      <c r="B585" s="10"/>
      <c r="C585" s="10"/>
      <c r="D585" s="10"/>
      <c r="E585" s="10"/>
    </row>
    <row r="586" spans="2:5" ht="15.75" customHeight="1" x14ac:dyDescent="0.2">
      <c r="B586" s="10"/>
      <c r="C586" s="10"/>
      <c r="D586" s="10"/>
      <c r="E586" s="10"/>
    </row>
    <row r="587" spans="2:5" ht="15.75" customHeight="1" x14ac:dyDescent="0.2">
      <c r="B587" s="10"/>
      <c r="C587" s="10"/>
      <c r="D587" s="10"/>
      <c r="E587" s="10"/>
    </row>
    <row r="588" spans="2:5" ht="15.75" customHeight="1" x14ac:dyDescent="0.2">
      <c r="B588" s="10"/>
      <c r="C588" s="10"/>
      <c r="D588" s="10"/>
      <c r="E588" s="10"/>
    </row>
    <row r="589" spans="2:5" ht="15.75" customHeight="1" x14ac:dyDescent="0.2">
      <c r="B589" s="10"/>
      <c r="C589" s="10"/>
      <c r="D589" s="10"/>
      <c r="E589" s="10"/>
    </row>
    <row r="590" spans="2:5" ht="15.75" customHeight="1" x14ac:dyDescent="0.2">
      <c r="B590" s="10"/>
      <c r="C590" s="10"/>
      <c r="D590" s="10"/>
      <c r="E590" s="10"/>
    </row>
    <row r="591" spans="2:5" ht="15.75" customHeight="1" x14ac:dyDescent="0.2">
      <c r="B591" s="10"/>
      <c r="C591" s="10"/>
      <c r="D591" s="10"/>
      <c r="E591" s="10"/>
    </row>
    <row r="592" spans="2:5" ht="15.75" customHeight="1" x14ac:dyDescent="0.2">
      <c r="B592" s="10"/>
      <c r="C592" s="10"/>
      <c r="D592" s="10"/>
      <c r="E592" s="10"/>
    </row>
    <row r="593" spans="2:5" ht="15.75" customHeight="1" x14ac:dyDescent="0.2">
      <c r="B593" s="10"/>
      <c r="C593" s="10"/>
      <c r="D593" s="10"/>
      <c r="E593" s="10"/>
    </row>
    <row r="594" spans="2:5" ht="15.75" customHeight="1" x14ac:dyDescent="0.2">
      <c r="B594" s="10"/>
      <c r="C594" s="10"/>
      <c r="D594" s="10"/>
      <c r="E594" s="10"/>
    </row>
    <row r="595" spans="2:5" ht="15.75" customHeight="1" x14ac:dyDescent="0.2">
      <c r="B595" s="10"/>
      <c r="C595" s="10"/>
      <c r="D595" s="10"/>
      <c r="E595" s="10"/>
    </row>
    <row r="596" spans="2:5" ht="15.75" customHeight="1" x14ac:dyDescent="0.2">
      <c r="B596" s="10"/>
      <c r="C596" s="10"/>
      <c r="D596" s="10"/>
      <c r="E596" s="10"/>
    </row>
    <row r="597" spans="2:5" ht="15.75" customHeight="1" x14ac:dyDescent="0.2">
      <c r="B597" s="10"/>
      <c r="C597" s="10"/>
      <c r="D597" s="10"/>
      <c r="E597" s="10"/>
    </row>
    <row r="598" spans="2:5" ht="15.75" customHeight="1" x14ac:dyDescent="0.2">
      <c r="B598" s="10"/>
      <c r="C598" s="10"/>
      <c r="D598" s="10"/>
      <c r="E598" s="10"/>
    </row>
    <row r="599" spans="2:5" ht="15.75" customHeight="1" x14ac:dyDescent="0.2">
      <c r="B599" s="10"/>
      <c r="C599" s="10"/>
      <c r="D599" s="10"/>
      <c r="E599" s="10"/>
    </row>
    <row r="600" spans="2:5" ht="15.75" customHeight="1" x14ac:dyDescent="0.2">
      <c r="B600" s="10"/>
      <c r="C600" s="10"/>
      <c r="D600" s="10"/>
      <c r="E600" s="10"/>
    </row>
    <row r="601" spans="2:5" ht="15.75" customHeight="1" x14ac:dyDescent="0.2">
      <c r="B601" s="10"/>
      <c r="C601" s="10"/>
      <c r="D601" s="10"/>
      <c r="E601" s="10"/>
    </row>
    <row r="602" spans="2:5" ht="15.75" customHeight="1" x14ac:dyDescent="0.2">
      <c r="B602" s="10"/>
      <c r="C602" s="10"/>
      <c r="D602" s="10"/>
      <c r="E602" s="10"/>
    </row>
    <row r="603" spans="2:5" ht="15.75" customHeight="1" x14ac:dyDescent="0.2">
      <c r="B603" s="10"/>
      <c r="C603" s="10"/>
      <c r="D603" s="10"/>
      <c r="E603" s="10"/>
    </row>
    <row r="604" spans="2:5" ht="15.75" customHeight="1" x14ac:dyDescent="0.2">
      <c r="B604" s="10"/>
      <c r="C604" s="10"/>
      <c r="D604" s="10"/>
      <c r="E604" s="10"/>
    </row>
    <row r="605" spans="2:5" ht="15.75" customHeight="1" x14ac:dyDescent="0.2">
      <c r="B605" s="10"/>
      <c r="C605" s="10"/>
      <c r="D605" s="10"/>
      <c r="E605" s="10"/>
    </row>
    <row r="606" spans="2:5" ht="15.75" customHeight="1" x14ac:dyDescent="0.2">
      <c r="B606" s="10"/>
      <c r="C606" s="10"/>
      <c r="D606" s="10"/>
      <c r="E606" s="10"/>
    </row>
    <row r="607" spans="2:5" ht="15.75" customHeight="1" x14ac:dyDescent="0.2">
      <c r="B607" s="10"/>
      <c r="C607" s="10"/>
      <c r="D607" s="10"/>
      <c r="E607" s="10"/>
    </row>
    <row r="608" spans="2:5" ht="15.75" customHeight="1" x14ac:dyDescent="0.2">
      <c r="B608" s="10"/>
      <c r="C608" s="10"/>
      <c r="D608" s="10"/>
      <c r="E608" s="10"/>
    </row>
    <row r="609" spans="2:5" ht="15.75" customHeight="1" x14ac:dyDescent="0.2">
      <c r="B609" s="10"/>
      <c r="C609" s="10"/>
      <c r="D609" s="10"/>
      <c r="E609" s="10"/>
    </row>
    <row r="610" spans="2:5" ht="15.75" customHeight="1" x14ac:dyDescent="0.2">
      <c r="B610" s="10"/>
      <c r="C610" s="10"/>
      <c r="D610" s="10"/>
      <c r="E610" s="10"/>
    </row>
    <row r="611" spans="2:5" ht="15.75" customHeight="1" x14ac:dyDescent="0.2">
      <c r="B611" s="10"/>
      <c r="C611" s="10"/>
      <c r="D611" s="10"/>
      <c r="E611" s="10"/>
    </row>
    <row r="612" spans="2:5" ht="15.75" customHeight="1" x14ac:dyDescent="0.2">
      <c r="B612" s="10"/>
      <c r="C612" s="10"/>
      <c r="D612" s="10"/>
      <c r="E612" s="10"/>
    </row>
    <row r="613" spans="2:5" ht="15.75" customHeight="1" x14ac:dyDescent="0.2">
      <c r="B613" s="10"/>
      <c r="C613" s="10"/>
      <c r="D613" s="10"/>
      <c r="E613" s="10"/>
    </row>
    <row r="614" spans="2:5" ht="15.75" customHeight="1" x14ac:dyDescent="0.2">
      <c r="B614" s="10"/>
      <c r="C614" s="10"/>
      <c r="D614" s="10"/>
      <c r="E614" s="10"/>
    </row>
    <row r="615" spans="2:5" ht="15.75" customHeight="1" x14ac:dyDescent="0.2">
      <c r="B615" s="10"/>
      <c r="C615" s="10"/>
      <c r="D615" s="10"/>
      <c r="E615" s="10"/>
    </row>
    <row r="616" spans="2:5" ht="15.75" customHeight="1" x14ac:dyDescent="0.2">
      <c r="B616" s="10"/>
      <c r="C616" s="10"/>
      <c r="D616" s="10"/>
      <c r="E616" s="10"/>
    </row>
    <row r="617" spans="2:5" ht="15.75" customHeight="1" x14ac:dyDescent="0.2">
      <c r="B617" s="10"/>
      <c r="C617" s="10"/>
      <c r="D617" s="10"/>
      <c r="E617" s="10"/>
    </row>
    <row r="618" spans="2:5" ht="15.75" customHeight="1" x14ac:dyDescent="0.2">
      <c r="B618" s="10"/>
      <c r="C618" s="10"/>
      <c r="D618" s="10"/>
      <c r="E618" s="10"/>
    </row>
    <row r="619" spans="2:5" ht="15.75" customHeight="1" x14ac:dyDescent="0.2">
      <c r="B619" s="10"/>
      <c r="C619" s="10"/>
      <c r="D619" s="10"/>
      <c r="E619" s="10"/>
    </row>
    <row r="620" spans="2:5" ht="15.75" customHeight="1" x14ac:dyDescent="0.2">
      <c r="B620" s="10"/>
      <c r="C620" s="10"/>
      <c r="D620" s="10"/>
      <c r="E620" s="10"/>
    </row>
    <row r="621" spans="2:5" ht="15.75" customHeight="1" x14ac:dyDescent="0.2">
      <c r="B621" s="10"/>
      <c r="C621" s="10"/>
      <c r="D621" s="10"/>
      <c r="E621" s="10"/>
    </row>
    <row r="622" spans="2:5" ht="15.75" customHeight="1" x14ac:dyDescent="0.2">
      <c r="B622" s="10"/>
      <c r="C622" s="10"/>
      <c r="D622" s="10"/>
      <c r="E622" s="10"/>
    </row>
    <row r="623" spans="2:5" ht="15.75" customHeight="1" x14ac:dyDescent="0.2">
      <c r="B623" s="10"/>
      <c r="C623" s="10"/>
      <c r="D623" s="10"/>
      <c r="E623" s="10"/>
    </row>
    <row r="624" spans="2:5" ht="15.75" customHeight="1" x14ac:dyDescent="0.2">
      <c r="B624" s="10"/>
      <c r="C624" s="10"/>
      <c r="D624" s="10"/>
      <c r="E624" s="10"/>
    </row>
    <row r="625" spans="2:5" ht="15.75" customHeight="1" x14ac:dyDescent="0.2">
      <c r="B625" s="10"/>
      <c r="C625" s="10"/>
      <c r="D625" s="10"/>
      <c r="E625" s="10"/>
    </row>
    <row r="626" spans="2:5" ht="15.75" customHeight="1" x14ac:dyDescent="0.2">
      <c r="B626" s="10"/>
      <c r="C626" s="10"/>
      <c r="D626" s="10"/>
      <c r="E626" s="10"/>
    </row>
    <row r="627" spans="2:5" ht="15.75" customHeight="1" x14ac:dyDescent="0.2">
      <c r="B627" s="10"/>
      <c r="C627" s="10"/>
      <c r="D627" s="10"/>
      <c r="E627" s="10"/>
    </row>
    <row r="628" spans="2:5" ht="15.75" customHeight="1" x14ac:dyDescent="0.2">
      <c r="B628" s="10"/>
      <c r="C628" s="10"/>
      <c r="D628" s="10"/>
      <c r="E628" s="10"/>
    </row>
    <row r="629" spans="2:5" ht="15.75" customHeight="1" x14ac:dyDescent="0.2">
      <c r="B629" s="10"/>
      <c r="C629" s="10"/>
      <c r="D629" s="10"/>
      <c r="E629" s="10"/>
    </row>
    <row r="630" spans="2:5" ht="15.75" customHeight="1" x14ac:dyDescent="0.2">
      <c r="B630" s="10"/>
      <c r="C630" s="10"/>
      <c r="D630" s="10"/>
      <c r="E630" s="10"/>
    </row>
    <row r="631" spans="2:5" ht="15.75" customHeight="1" x14ac:dyDescent="0.2">
      <c r="B631" s="10"/>
      <c r="C631" s="10"/>
      <c r="D631" s="10"/>
      <c r="E631" s="10"/>
    </row>
    <row r="632" spans="2:5" ht="15.75" customHeight="1" x14ac:dyDescent="0.2">
      <c r="B632" s="10"/>
      <c r="C632" s="10"/>
      <c r="D632" s="10"/>
      <c r="E632" s="10"/>
    </row>
    <row r="633" spans="2:5" ht="15.75" customHeight="1" x14ac:dyDescent="0.2">
      <c r="B633" s="10"/>
      <c r="C633" s="10"/>
      <c r="D633" s="10"/>
      <c r="E633" s="10"/>
    </row>
    <row r="634" spans="2:5" ht="15.75" customHeight="1" x14ac:dyDescent="0.2">
      <c r="B634" s="10"/>
      <c r="C634" s="10"/>
      <c r="D634" s="10"/>
      <c r="E634" s="10"/>
    </row>
    <row r="635" spans="2:5" ht="15.75" customHeight="1" x14ac:dyDescent="0.2">
      <c r="B635" s="10"/>
      <c r="C635" s="10"/>
      <c r="D635" s="10"/>
      <c r="E635" s="10"/>
    </row>
    <row r="636" spans="2:5" ht="15.75" customHeight="1" x14ac:dyDescent="0.2">
      <c r="B636" s="10"/>
      <c r="C636" s="10"/>
      <c r="D636" s="10"/>
      <c r="E636" s="10"/>
    </row>
    <row r="637" spans="2:5" ht="15.75" customHeight="1" x14ac:dyDescent="0.2">
      <c r="B637" s="10"/>
      <c r="C637" s="10"/>
      <c r="D637" s="10"/>
      <c r="E637" s="10"/>
    </row>
    <row r="638" spans="2:5" ht="15.75" customHeight="1" x14ac:dyDescent="0.2">
      <c r="B638" s="10"/>
      <c r="C638" s="10"/>
      <c r="D638" s="10"/>
      <c r="E638" s="10"/>
    </row>
    <row r="639" spans="2:5" ht="15.75" customHeight="1" x14ac:dyDescent="0.2">
      <c r="B639" s="10"/>
      <c r="C639" s="10"/>
      <c r="D639" s="10"/>
      <c r="E639" s="10"/>
    </row>
    <row r="640" spans="2:5" ht="15.75" customHeight="1" x14ac:dyDescent="0.2">
      <c r="B640" s="10"/>
      <c r="C640" s="10"/>
      <c r="D640" s="10"/>
      <c r="E640" s="10"/>
    </row>
    <row r="641" spans="2:5" ht="15.75" customHeight="1" x14ac:dyDescent="0.2">
      <c r="B641" s="10"/>
      <c r="C641" s="10"/>
      <c r="D641" s="10"/>
      <c r="E641" s="10"/>
    </row>
    <row r="642" spans="2:5" ht="15.75" customHeight="1" x14ac:dyDescent="0.2">
      <c r="B642" s="10"/>
      <c r="C642" s="10"/>
      <c r="D642" s="10"/>
      <c r="E642" s="10"/>
    </row>
    <row r="643" spans="2:5" ht="15.75" customHeight="1" x14ac:dyDescent="0.2">
      <c r="B643" s="10"/>
      <c r="C643" s="10"/>
      <c r="D643" s="10"/>
      <c r="E643" s="10"/>
    </row>
    <row r="644" spans="2:5" ht="15.75" customHeight="1" x14ac:dyDescent="0.2">
      <c r="B644" s="10"/>
      <c r="C644" s="10"/>
      <c r="D644" s="10"/>
      <c r="E644" s="10"/>
    </row>
    <row r="645" spans="2:5" ht="15.75" customHeight="1" x14ac:dyDescent="0.2">
      <c r="B645" s="10"/>
      <c r="C645" s="10"/>
      <c r="D645" s="10"/>
      <c r="E645" s="10"/>
    </row>
    <row r="646" spans="2:5" ht="15.75" customHeight="1" x14ac:dyDescent="0.2">
      <c r="B646" s="10"/>
      <c r="C646" s="10"/>
      <c r="D646" s="10"/>
      <c r="E646" s="10"/>
    </row>
    <row r="647" spans="2:5" ht="15.75" customHeight="1" x14ac:dyDescent="0.2">
      <c r="B647" s="10"/>
      <c r="C647" s="10"/>
      <c r="D647" s="10"/>
      <c r="E647" s="10"/>
    </row>
    <row r="648" spans="2:5" ht="15.75" customHeight="1" x14ac:dyDescent="0.2">
      <c r="B648" s="10"/>
      <c r="C648" s="10"/>
      <c r="D648" s="10"/>
      <c r="E648" s="10"/>
    </row>
    <row r="649" spans="2:5" ht="15.75" customHeight="1" x14ac:dyDescent="0.2">
      <c r="B649" s="10"/>
      <c r="C649" s="10"/>
      <c r="D649" s="10"/>
      <c r="E649" s="10"/>
    </row>
    <row r="650" spans="2:5" ht="15.75" customHeight="1" x14ac:dyDescent="0.2">
      <c r="B650" s="10"/>
      <c r="C650" s="10"/>
      <c r="D650" s="10"/>
      <c r="E650" s="10"/>
    </row>
    <row r="651" spans="2:5" ht="15.75" customHeight="1" x14ac:dyDescent="0.2">
      <c r="B651" s="10"/>
      <c r="C651" s="10"/>
      <c r="D651" s="10"/>
      <c r="E651" s="10"/>
    </row>
    <row r="652" spans="2:5" ht="15.75" customHeight="1" x14ac:dyDescent="0.2">
      <c r="B652" s="10"/>
      <c r="C652" s="10"/>
      <c r="D652" s="10"/>
      <c r="E652" s="10"/>
    </row>
    <row r="653" spans="2:5" ht="15.75" customHeight="1" x14ac:dyDescent="0.2">
      <c r="B653" s="10"/>
      <c r="C653" s="10"/>
      <c r="D653" s="10"/>
      <c r="E653" s="10"/>
    </row>
    <row r="654" spans="2:5" ht="15.75" customHeight="1" x14ac:dyDescent="0.2">
      <c r="B654" s="10"/>
      <c r="C654" s="10"/>
      <c r="D654" s="10"/>
      <c r="E654" s="10"/>
    </row>
    <row r="655" spans="2:5" ht="15.75" customHeight="1" x14ac:dyDescent="0.2">
      <c r="B655" s="10"/>
      <c r="C655" s="10"/>
      <c r="D655" s="10"/>
      <c r="E655" s="10"/>
    </row>
    <row r="656" spans="2:5" ht="15.75" customHeight="1" x14ac:dyDescent="0.2">
      <c r="B656" s="10"/>
      <c r="C656" s="10"/>
      <c r="D656" s="10"/>
      <c r="E656" s="10"/>
    </row>
    <row r="657" spans="2:5" ht="15.75" customHeight="1" x14ac:dyDescent="0.2">
      <c r="B657" s="10"/>
      <c r="C657" s="10"/>
      <c r="D657" s="10"/>
      <c r="E657" s="10"/>
    </row>
    <row r="658" spans="2:5" ht="15.75" customHeight="1" x14ac:dyDescent="0.2">
      <c r="B658" s="10"/>
      <c r="C658" s="10"/>
      <c r="D658" s="10"/>
      <c r="E658" s="10"/>
    </row>
    <row r="659" spans="2:5" ht="15.75" customHeight="1" x14ac:dyDescent="0.2">
      <c r="B659" s="10"/>
      <c r="C659" s="10"/>
      <c r="D659" s="10"/>
      <c r="E659" s="10"/>
    </row>
    <row r="660" spans="2:5" ht="15.75" customHeight="1" x14ac:dyDescent="0.2">
      <c r="B660" s="10"/>
      <c r="C660" s="10"/>
      <c r="D660" s="10"/>
      <c r="E660" s="10"/>
    </row>
    <row r="661" spans="2:5" ht="15.75" customHeight="1" x14ac:dyDescent="0.2">
      <c r="B661" s="10"/>
      <c r="C661" s="10"/>
      <c r="D661" s="10"/>
      <c r="E661" s="10"/>
    </row>
    <row r="662" spans="2:5" ht="15.75" customHeight="1" x14ac:dyDescent="0.2">
      <c r="B662" s="10"/>
      <c r="C662" s="10"/>
      <c r="D662" s="10"/>
      <c r="E662" s="10"/>
    </row>
    <row r="663" spans="2:5" ht="15.75" customHeight="1" x14ac:dyDescent="0.2">
      <c r="B663" s="10"/>
      <c r="C663" s="10"/>
      <c r="D663" s="10"/>
      <c r="E663" s="10"/>
    </row>
    <row r="664" spans="2:5" ht="15.75" customHeight="1" x14ac:dyDescent="0.2">
      <c r="B664" s="10"/>
      <c r="C664" s="10"/>
      <c r="D664" s="10"/>
      <c r="E664" s="10"/>
    </row>
    <row r="665" spans="2:5" ht="15.75" customHeight="1" x14ac:dyDescent="0.2">
      <c r="B665" s="10"/>
      <c r="C665" s="10"/>
      <c r="D665" s="10"/>
      <c r="E665" s="10"/>
    </row>
    <row r="666" spans="2:5" ht="15.75" customHeight="1" x14ac:dyDescent="0.2">
      <c r="B666" s="10"/>
      <c r="C666" s="10"/>
      <c r="D666" s="10"/>
      <c r="E666" s="10"/>
    </row>
    <row r="667" spans="2:5" ht="15.75" customHeight="1" x14ac:dyDescent="0.2">
      <c r="B667" s="10"/>
      <c r="C667" s="10"/>
      <c r="D667" s="10"/>
      <c r="E667" s="10"/>
    </row>
    <row r="668" spans="2:5" ht="15.75" customHeight="1" x14ac:dyDescent="0.2">
      <c r="B668" s="10"/>
      <c r="C668" s="10"/>
      <c r="D668" s="10"/>
      <c r="E668" s="10"/>
    </row>
    <row r="669" spans="2:5" ht="15.75" customHeight="1" x14ac:dyDescent="0.2">
      <c r="B669" s="10"/>
      <c r="C669" s="10"/>
      <c r="D669" s="10"/>
      <c r="E669" s="10"/>
    </row>
    <row r="670" spans="2:5" ht="15.75" customHeight="1" x14ac:dyDescent="0.2">
      <c r="B670" s="10"/>
      <c r="C670" s="10"/>
      <c r="D670" s="10"/>
      <c r="E670" s="10"/>
    </row>
    <row r="671" spans="2:5" ht="15.75" customHeight="1" x14ac:dyDescent="0.2">
      <c r="B671" s="10"/>
      <c r="C671" s="10"/>
      <c r="D671" s="10"/>
      <c r="E671" s="10"/>
    </row>
    <row r="672" spans="2:5" ht="15.75" customHeight="1" x14ac:dyDescent="0.2">
      <c r="B672" s="10"/>
      <c r="C672" s="10"/>
      <c r="D672" s="10"/>
      <c r="E672" s="10"/>
    </row>
    <row r="673" spans="2:5" ht="15.75" customHeight="1" x14ac:dyDescent="0.2">
      <c r="B673" s="10"/>
      <c r="C673" s="10"/>
      <c r="D673" s="10"/>
      <c r="E673" s="10"/>
    </row>
    <row r="674" spans="2:5" ht="15.75" customHeight="1" x14ac:dyDescent="0.2">
      <c r="B674" s="10"/>
      <c r="C674" s="10"/>
      <c r="D674" s="10"/>
      <c r="E674" s="10"/>
    </row>
    <row r="675" spans="2:5" ht="15.75" customHeight="1" x14ac:dyDescent="0.2">
      <c r="B675" s="10"/>
      <c r="C675" s="10"/>
      <c r="D675" s="10"/>
      <c r="E675" s="10"/>
    </row>
    <row r="676" spans="2:5" ht="15.75" customHeight="1" x14ac:dyDescent="0.2">
      <c r="B676" s="10"/>
      <c r="C676" s="10"/>
      <c r="D676" s="10"/>
      <c r="E676" s="10"/>
    </row>
    <row r="677" spans="2:5" ht="15.75" customHeight="1" x14ac:dyDescent="0.2">
      <c r="B677" s="10"/>
      <c r="C677" s="10"/>
      <c r="D677" s="10"/>
      <c r="E677" s="10"/>
    </row>
    <row r="678" spans="2:5" ht="15.75" customHeight="1" x14ac:dyDescent="0.2">
      <c r="B678" s="10"/>
      <c r="C678" s="10"/>
      <c r="D678" s="10"/>
      <c r="E678" s="10"/>
    </row>
    <row r="679" spans="2:5" ht="15.75" customHeight="1" x14ac:dyDescent="0.2">
      <c r="B679" s="10"/>
      <c r="C679" s="10"/>
      <c r="D679" s="10"/>
      <c r="E679" s="10"/>
    </row>
    <row r="680" spans="2:5" ht="15.75" customHeight="1" x14ac:dyDescent="0.2">
      <c r="B680" s="10"/>
      <c r="C680" s="10"/>
      <c r="D680" s="10"/>
      <c r="E680" s="10"/>
    </row>
    <row r="681" spans="2:5" ht="15.75" customHeight="1" x14ac:dyDescent="0.2">
      <c r="B681" s="10"/>
      <c r="C681" s="10"/>
      <c r="D681" s="10"/>
      <c r="E681" s="10"/>
    </row>
    <row r="682" spans="2:5" ht="15.75" customHeight="1" x14ac:dyDescent="0.2">
      <c r="B682" s="10"/>
      <c r="C682" s="10"/>
      <c r="D682" s="10"/>
      <c r="E682" s="10"/>
    </row>
    <row r="683" spans="2:5" ht="15.75" customHeight="1" x14ac:dyDescent="0.2">
      <c r="B683" s="10"/>
      <c r="C683" s="10"/>
      <c r="D683" s="10"/>
      <c r="E683" s="10"/>
    </row>
    <row r="684" spans="2:5" ht="15.75" customHeight="1" x14ac:dyDescent="0.2">
      <c r="B684" s="10"/>
      <c r="C684" s="10"/>
      <c r="D684" s="10"/>
      <c r="E684" s="10"/>
    </row>
    <row r="685" spans="2:5" ht="15.75" customHeight="1" x14ac:dyDescent="0.2">
      <c r="B685" s="10"/>
      <c r="C685" s="10"/>
      <c r="D685" s="10"/>
      <c r="E685" s="10"/>
    </row>
    <row r="686" spans="2:5" ht="15.75" customHeight="1" x14ac:dyDescent="0.2">
      <c r="B686" s="10"/>
      <c r="C686" s="10"/>
      <c r="D686" s="10"/>
      <c r="E686" s="10"/>
    </row>
    <row r="687" spans="2:5" ht="15.75" customHeight="1" x14ac:dyDescent="0.2">
      <c r="B687" s="10"/>
      <c r="C687" s="10"/>
      <c r="D687" s="10"/>
      <c r="E687" s="10"/>
    </row>
    <row r="688" spans="2:5" ht="15.75" customHeight="1" x14ac:dyDescent="0.2">
      <c r="B688" s="10"/>
      <c r="C688" s="10"/>
      <c r="D688" s="10"/>
      <c r="E688" s="10"/>
    </row>
    <row r="689" spans="2:5" ht="15.75" customHeight="1" x14ac:dyDescent="0.2">
      <c r="B689" s="10"/>
      <c r="C689" s="10"/>
      <c r="D689" s="10"/>
      <c r="E689" s="10"/>
    </row>
    <row r="690" spans="2:5" ht="15.75" customHeight="1" x14ac:dyDescent="0.2">
      <c r="B690" s="10"/>
      <c r="C690" s="10"/>
      <c r="D690" s="10"/>
      <c r="E690" s="10"/>
    </row>
    <row r="691" spans="2:5" ht="15.75" customHeight="1" x14ac:dyDescent="0.2">
      <c r="B691" s="10"/>
      <c r="C691" s="10"/>
      <c r="D691" s="10"/>
      <c r="E691" s="10"/>
    </row>
    <row r="692" spans="2:5" ht="15.75" customHeight="1" x14ac:dyDescent="0.2">
      <c r="B692" s="10"/>
      <c r="C692" s="10"/>
      <c r="D692" s="10"/>
      <c r="E692" s="10"/>
    </row>
    <row r="693" spans="2:5" ht="15.75" customHeight="1" x14ac:dyDescent="0.2">
      <c r="B693" s="10"/>
      <c r="C693" s="10"/>
      <c r="D693" s="10"/>
      <c r="E693" s="10"/>
    </row>
    <row r="694" spans="2:5" ht="15.75" customHeight="1" x14ac:dyDescent="0.2">
      <c r="B694" s="10"/>
      <c r="C694" s="10"/>
      <c r="D694" s="10"/>
      <c r="E694" s="10"/>
    </row>
    <row r="695" spans="2:5" ht="15.75" customHeight="1" x14ac:dyDescent="0.2">
      <c r="B695" s="10"/>
      <c r="C695" s="10"/>
      <c r="D695" s="10"/>
      <c r="E695" s="10"/>
    </row>
    <row r="696" spans="2:5" ht="15.75" customHeight="1" x14ac:dyDescent="0.2">
      <c r="B696" s="10"/>
      <c r="C696" s="10"/>
      <c r="D696" s="10"/>
      <c r="E696" s="10"/>
    </row>
    <row r="697" spans="2:5" ht="15.75" customHeight="1" x14ac:dyDescent="0.2">
      <c r="B697" s="10"/>
      <c r="C697" s="10"/>
      <c r="D697" s="10"/>
      <c r="E697" s="10"/>
    </row>
    <row r="698" spans="2:5" ht="15.75" customHeight="1" x14ac:dyDescent="0.2">
      <c r="B698" s="10"/>
      <c r="C698" s="10"/>
      <c r="D698" s="10"/>
      <c r="E698" s="10"/>
    </row>
    <row r="699" spans="2:5" ht="15.75" customHeight="1" x14ac:dyDescent="0.2">
      <c r="B699" s="10"/>
      <c r="C699" s="10"/>
      <c r="D699" s="10"/>
      <c r="E699" s="10"/>
    </row>
    <row r="700" spans="2:5" ht="15.75" customHeight="1" x14ac:dyDescent="0.2">
      <c r="B700" s="10"/>
      <c r="C700" s="10"/>
      <c r="D700" s="10"/>
      <c r="E700" s="10"/>
    </row>
    <row r="701" spans="2:5" ht="15.75" customHeight="1" x14ac:dyDescent="0.2">
      <c r="B701" s="10"/>
      <c r="C701" s="10"/>
      <c r="D701" s="10"/>
      <c r="E701" s="10"/>
    </row>
    <row r="702" spans="2:5" ht="15.75" customHeight="1" x14ac:dyDescent="0.2">
      <c r="B702" s="10"/>
      <c r="C702" s="10"/>
      <c r="D702" s="10"/>
      <c r="E702" s="10"/>
    </row>
    <row r="703" spans="2:5" ht="15.75" customHeight="1" x14ac:dyDescent="0.2">
      <c r="B703" s="10"/>
      <c r="C703" s="10"/>
      <c r="D703" s="10"/>
      <c r="E703" s="10"/>
    </row>
    <row r="704" spans="2:5" ht="15.75" customHeight="1" x14ac:dyDescent="0.2">
      <c r="B704" s="10"/>
      <c r="C704" s="10"/>
      <c r="D704" s="10"/>
      <c r="E704" s="10"/>
    </row>
    <row r="705" spans="2:5" ht="15.75" customHeight="1" x14ac:dyDescent="0.2">
      <c r="B705" s="10"/>
      <c r="C705" s="10"/>
      <c r="D705" s="10"/>
      <c r="E705" s="10"/>
    </row>
    <row r="706" spans="2:5" ht="15.75" customHeight="1" x14ac:dyDescent="0.2">
      <c r="B706" s="10"/>
      <c r="C706" s="10"/>
      <c r="D706" s="10"/>
      <c r="E706" s="10"/>
    </row>
    <row r="707" spans="2:5" ht="15.75" customHeight="1" x14ac:dyDescent="0.2">
      <c r="B707" s="10"/>
      <c r="C707" s="10"/>
      <c r="D707" s="10"/>
      <c r="E707" s="10"/>
    </row>
    <row r="708" spans="2:5" ht="15.75" customHeight="1" x14ac:dyDescent="0.2">
      <c r="B708" s="10"/>
      <c r="C708" s="10"/>
      <c r="D708" s="10"/>
      <c r="E708" s="10"/>
    </row>
    <row r="709" spans="2:5" ht="15.75" customHeight="1" x14ac:dyDescent="0.2">
      <c r="B709" s="10"/>
      <c r="C709" s="10"/>
      <c r="D709" s="10"/>
      <c r="E709" s="10"/>
    </row>
    <row r="710" spans="2:5" ht="15.75" customHeight="1" x14ac:dyDescent="0.2">
      <c r="B710" s="10"/>
      <c r="C710" s="10"/>
      <c r="D710" s="10"/>
      <c r="E710" s="10"/>
    </row>
    <row r="711" spans="2:5" ht="15.75" customHeight="1" x14ac:dyDescent="0.2">
      <c r="B711" s="10"/>
      <c r="C711" s="10"/>
      <c r="D711" s="10"/>
      <c r="E711" s="10"/>
    </row>
    <row r="712" spans="2:5" ht="15.75" customHeight="1" x14ac:dyDescent="0.2">
      <c r="B712" s="10"/>
      <c r="C712" s="10"/>
      <c r="D712" s="10"/>
      <c r="E712" s="10"/>
    </row>
    <row r="713" spans="2:5" ht="15.75" customHeight="1" x14ac:dyDescent="0.2">
      <c r="B713" s="10"/>
      <c r="C713" s="10"/>
      <c r="D713" s="10"/>
      <c r="E713" s="10"/>
    </row>
    <row r="714" spans="2:5" ht="15.75" customHeight="1" x14ac:dyDescent="0.2">
      <c r="B714" s="10"/>
      <c r="C714" s="10"/>
      <c r="D714" s="10"/>
      <c r="E714" s="10"/>
    </row>
    <row r="715" spans="2:5" ht="15.75" customHeight="1" x14ac:dyDescent="0.2">
      <c r="B715" s="10"/>
      <c r="C715" s="10"/>
      <c r="D715" s="10"/>
      <c r="E715" s="10"/>
    </row>
    <row r="716" spans="2:5" ht="15.75" customHeight="1" x14ac:dyDescent="0.2">
      <c r="B716" s="10"/>
      <c r="C716" s="10"/>
      <c r="D716" s="10"/>
      <c r="E716" s="10"/>
    </row>
    <row r="717" spans="2:5" ht="15.75" customHeight="1" x14ac:dyDescent="0.2">
      <c r="B717" s="10"/>
      <c r="C717" s="10"/>
      <c r="D717" s="10"/>
      <c r="E717" s="10"/>
    </row>
    <row r="718" spans="2:5" ht="15.75" customHeight="1" x14ac:dyDescent="0.2">
      <c r="B718" s="10"/>
      <c r="C718" s="10"/>
      <c r="D718" s="10"/>
      <c r="E718" s="10"/>
    </row>
    <row r="719" spans="2:5" ht="15.75" customHeight="1" x14ac:dyDescent="0.2">
      <c r="B719" s="10"/>
      <c r="C719" s="10"/>
      <c r="D719" s="10"/>
      <c r="E719" s="10"/>
    </row>
    <row r="720" spans="2:5" ht="15.75" customHeight="1" x14ac:dyDescent="0.2">
      <c r="B720" s="10"/>
      <c r="C720" s="10"/>
      <c r="D720" s="10"/>
      <c r="E720" s="10"/>
    </row>
    <row r="721" spans="2:5" ht="15.75" customHeight="1" x14ac:dyDescent="0.2">
      <c r="B721" s="10"/>
      <c r="C721" s="10"/>
      <c r="D721" s="10"/>
      <c r="E721" s="10"/>
    </row>
    <row r="722" spans="2:5" ht="15.75" customHeight="1" x14ac:dyDescent="0.2">
      <c r="B722" s="10"/>
      <c r="C722" s="10"/>
      <c r="D722" s="10"/>
      <c r="E722" s="10"/>
    </row>
    <row r="723" spans="2:5" ht="15.75" customHeight="1" x14ac:dyDescent="0.2">
      <c r="B723" s="10"/>
      <c r="C723" s="10"/>
      <c r="D723" s="10"/>
      <c r="E723" s="10"/>
    </row>
    <row r="724" spans="2:5" ht="15.75" customHeight="1" x14ac:dyDescent="0.2">
      <c r="B724" s="10"/>
      <c r="C724" s="10"/>
      <c r="D724" s="10"/>
      <c r="E724" s="10"/>
    </row>
    <row r="725" spans="2:5" ht="15.75" customHeight="1" x14ac:dyDescent="0.2">
      <c r="B725" s="10"/>
      <c r="C725" s="10"/>
      <c r="D725" s="10"/>
      <c r="E725" s="10"/>
    </row>
    <row r="726" spans="2:5" ht="15.75" customHeight="1" x14ac:dyDescent="0.2">
      <c r="B726" s="10"/>
      <c r="C726" s="10"/>
      <c r="D726" s="10"/>
      <c r="E726" s="10"/>
    </row>
    <row r="727" spans="2:5" ht="15.75" customHeight="1" x14ac:dyDescent="0.2">
      <c r="B727" s="10"/>
      <c r="C727" s="10"/>
      <c r="D727" s="10"/>
      <c r="E727" s="10"/>
    </row>
    <row r="728" spans="2:5" ht="15.75" customHeight="1" x14ac:dyDescent="0.2">
      <c r="B728" s="10"/>
      <c r="C728" s="10"/>
      <c r="D728" s="10"/>
      <c r="E728" s="10"/>
    </row>
    <row r="729" spans="2:5" ht="15.75" customHeight="1" x14ac:dyDescent="0.2">
      <c r="B729" s="10"/>
      <c r="C729" s="10"/>
      <c r="D729" s="10"/>
      <c r="E729" s="10"/>
    </row>
    <row r="730" spans="2:5" ht="15.75" customHeight="1" x14ac:dyDescent="0.2">
      <c r="B730" s="10"/>
      <c r="C730" s="10"/>
      <c r="D730" s="10"/>
      <c r="E730" s="10"/>
    </row>
    <row r="731" spans="2:5" ht="15.75" customHeight="1" x14ac:dyDescent="0.2">
      <c r="B731" s="10"/>
      <c r="C731" s="10"/>
      <c r="D731" s="10"/>
      <c r="E731" s="10"/>
    </row>
    <row r="732" spans="2:5" ht="15.75" customHeight="1" x14ac:dyDescent="0.2">
      <c r="B732" s="10"/>
      <c r="C732" s="10"/>
      <c r="D732" s="10"/>
      <c r="E732" s="10"/>
    </row>
    <row r="733" spans="2:5" ht="15.75" customHeight="1" x14ac:dyDescent="0.2">
      <c r="B733" s="10"/>
      <c r="C733" s="10"/>
      <c r="D733" s="10"/>
      <c r="E733" s="10"/>
    </row>
    <row r="734" spans="2:5" ht="15.75" customHeight="1" x14ac:dyDescent="0.2">
      <c r="B734" s="10"/>
      <c r="C734" s="10"/>
      <c r="D734" s="10"/>
      <c r="E734" s="10"/>
    </row>
    <row r="735" spans="2:5" ht="15.75" customHeight="1" x14ac:dyDescent="0.2">
      <c r="B735" s="10"/>
      <c r="C735" s="10"/>
      <c r="D735" s="10"/>
      <c r="E735" s="10"/>
    </row>
    <row r="736" spans="2:5" ht="15.75" customHeight="1" x14ac:dyDescent="0.2">
      <c r="B736" s="10"/>
      <c r="C736" s="10"/>
      <c r="D736" s="10"/>
      <c r="E736" s="10"/>
    </row>
    <row r="737" spans="2:5" ht="15.75" customHeight="1" x14ac:dyDescent="0.2">
      <c r="B737" s="10"/>
      <c r="C737" s="10"/>
      <c r="D737" s="10"/>
      <c r="E737" s="10"/>
    </row>
    <row r="738" spans="2:5" ht="15.75" customHeight="1" x14ac:dyDescent="0.2">
      <c r="B738" s="10"/>
      <c r="C738" s="10"/>
      <c r="D738" s="10"/>
      <c r="E738" s="10"/>
    </row>
    <row r="739" spans="2:5" ht="15.75" customHeight="1" x14ac:dyDescent="0.2">
      <c r="B739" s="10"/>
      <c r="C739" s="10"/>
      <c r="D739" s="10"/>
      <c r="E739" s="10"/>
    </row>
    <row r="740" spans="2:5" ht="15.75" customHeight="1" x14ac:dyDescent="0.2">
      <c r="B740" s="10"/>
      <c r="C740" s="10"/>
      <c r="D740" s="10"/>
      <c r="E740" s="10"/>
    </row>
    <row r="741" spans="2:5" ht="15.75" customHeight="1" x14ac:dyDescent="0.2">
      <c r="B741" s="10"/>
      <c r="C741" s="10"/>
      <c r="D741" s="10"/>
      <c r="E741" s="10"/>
    </row>
    <row r="742" spans="2:5" ht="15.75" customHeight="1" x14ac:dyDescent="0.2">
      <c r="B742" s="10"/>
      <c r="C742" s="10"/>
      <c r="D742" s="10"/>
      <c r="E742" s="10"/>
    </row>
    <row r="743" spans="2:5" ht="15.75" customHeight="1" x14ac:dyDescent="0.2">
      <c r="B743" s="10"/>
      <c r="C743" s="10"/>
      <c r="D743" s="10"/>
      <c r="E743" s="10"/>
    </row>
    <row r="744" spans="2:5" ht="15.75" customHeight="1" x14ac:dyDescent="0.2">
      <c r="B744" s="10"/>
      <c r="C744" s="10"/>
      <c r="D744" s="10"/>
      <c r="E744" s="10"/>
    </row>
    <row r="745" spans="2:5" ht="15.75" customHeight="1" x14ac:dyDescent="0.2">
      <c r="B745" s="10"/>
      <c r="C745" s="10"/>
      <c r="D745" s="10"/>
      <c r="E745" s="10"/>
    </row>
    <row r="746" spans="2:5" ht="15.75" customHeight="1" x14ac:dyDescent="0.2">
      <c r="B746" s="10"/>
      <c r="C746" s="10"/>
      <c r="D746" s="10"/>
      <c r="E746" s="10"/>
    </row>
    <row r="747" spans="2:5" ht="15.75" customHeight="1" x14ac:dyDescent="0.2">
      <c r="B747" s="10"/>
      <c r="C747" s="10"/>
      <c r="D747" s="10"/>
      <c r="E747" s="10"/>
    </row>
    <row r="748" spans="2:5" ht="15.75" customHeight="1" x14ac:dyDescent="0.2">
      <c r="B748" s="10"/>
      <c r="C748" s="10"/>
      <c r="D748" s="10"/>
      <c r="E748" s="10"/>
    </row>
    <row r="749" spans="2:5" ht="15.75" customHeight="1" x14ac:dyDescent="0.2">
      <c r="B749" s="10"/>
      <c r="C749" s="10"/>
      <c r="D749" s="10"/>
      <c r="E749" s="10"/>
    </row>
    <row r="750" spans="2:5" ht="15.75" customHeight="1" x14ac:dyDescent="0.2">
      <c r="B750" s="10"/>
      <c r="C750" s="10"/>
      <c r="D750" s="10"/>
      <c r="E750" s="10"/>
    </row>
    <row r="751" spans="2:5" ht="15.75" customHeight="1" x14ac:dyDescent="0.2">
      <c r="B751" s="10"/>
      <c r="C751" s="10"/>
      <c r="D751" s="10"/>
      <c r="E751" s="10"/>
    </row>
    <row r="752" spans="2:5" ht="15.75" customHeight="1" x14ac:dyDescent="0.2">
      <c r="B752" s="10"/>
      <c r="C752" s="10"/>
      <c r="D752" s="10"/>
      <c r="E752" s="10"/>
    </row>
    <row r="753" spans="2:5" ht="15.75" customHeight="1" x14ac:dyDescent="0.2">
      <c r="B753" s="10"/>
      <c r="C753" s="10"/>
      <c r="D753" s="10"/>
      <c r="E753" s="10"/>
    </row>
    <row r="754" spans="2:5" ht="15.75" customHeight="1" x14ac:dyDescent="0.2">
      <c r="B754" s="10"/>
      <c r="C754" s="10"/>
      <c r="D754" s="10"/>
      <c r="E754" s="10"/>
    </row>
    <row r="755" spans="2:5" ht="15.75" customHeight="1" x14ac:dyDescent="0.2">
      <c r="B755" s="10"/>
      <c r="C755" s="10"/>
      <c r="D755" s="10"/>
      <c r="E755" s="10"/>
    </row>
    <row r="756" spans="2:5" ht="15.75" customHeight="1" x14ac:dyDescent="0.2">
      <c r="B756" s="10"/>
      <c r="C756" s="10"/>
      <c r="D756" s="10"/>
      <c r="E756" s="10"/>
    </row>
    <row r="757" spans="2:5" ht="15.75" customHeight="1" x14ac:dyDescent="0.2">
      <c r="B757" s="10"/>
      <c r="C757" s="10"/>
      <c r="D757" s="10"/>
      <c r="E757" s="10"/>
    </row>
    <row r="758" spans="2:5" ht="15.75" customHeight="1" x14ac:dyDescent="0.2">
      <c r="B758" s="10"/>
      <c r="C758" s="10"/>
      <c r="D758" s="10"/>
      <c r="E758" s="10"/>
    </row>
    <row r="759" spans="2:5" ht="15.75" customHeight="1" x14ac:dyDescent="0.2">
      <c r="B759" s="10"/>
      <c r="C759" s="10"/>
      <c r="D759" s="10"/>
      <c r="E759" s="10"/>
    </row>
    <row r="760" spans="2:5" ht="15.75" customHeight="1" x14ac:dyDescent="0.2">
      <c r="B760" s="10"/>
      <c r="C760" s="10"/>
      <c r="D760" s="10"/>
      <c r="E760" s="10"/>
    </row>
    <row r="761" spans="2:5" ht="15.75" customHeight="1" x14ac:dyDescent="0.2">
      <c r="B761" s="10"/>
      <c r="C761" s="10"/>
      <c r="D761" s="10"/>
      <c r="E761" s="10"/>
    </row>
    <row r="762" spans="2:5" ht="15.75" customHeight="1" x14ac:dyDescent="0.2">
      <c r="B762" s="10"/>
      <c r="C762" s="10"/>
      <c r="D762" s="10"/>
      <c r="E762" s="10"/>
    </row>
    <row r="763" spans="2:5" ht="15.75" customHeight="1" x14ac:dyDescent="0.2">
      <c r="B763" s="10"/>
      <c r="C763" s="10"/>
      <c r="D763" s="10"/>
      <c r="E763" s="10"/>
    </row>
    <row r="764" spans="2:5" ht="15.75" customHeight="1" x14ac:dyDescent="0.2">
      <c r="B764" s="10"/>
      <c r="C764" s="10"/>
      <c r="D764" s="10"/>
      <c r="E764" s="10"/>
    </row>
    <row r="765" spans="2:5" ht="15.75" customHeight="1" x14ac:dyDescent="0.2">
      <c r="B765" s="10"/>
      <c r="C765" s="10"/>
      <c r="D765" s="10"/>
      <c r="E765" s="10"/>
    </row>
    <row r="766" spans="2:5" ht="15.75" customHeight="1" x14ac:dyDescent="0.2">
      <c r="B766" s="10"/>
      <c r="C766" s="10"/>
      <c r="D766" s="10"/>
      <c r="E766" s="10"/>
    </row>
    <row r="767" spans="2:5" ht="15.75" customHeight="1" x14ac:dyDescent="0.2">
      <c r="B767" s="10"/>
      <c r="C767" s="10"/>
      <c r="D767" s="10"/>
      <c r="E767" s="10"/>
    </row>
    <row r="768" spans="2:5" ht="15.75" customHeight="1" x14ac:dyDescent="0.2">
      <c r="B768" s="10"/>
      <c r="C768" s="10"/>
      <c r="D768" s="10"/>
      <c r="E768" s="10"/>
    </row>
    <row r="769" spans="2:5" ht="15.75" customHeight="1" x14ac:dyDescent="0.2">
      <c r="B769" s="10"/>
      <c r="C769" s="10"/>
      <c r="D769" s="10"/>
      <c r="E769" s="10"/>
    </row>
    <row r="770" spans="2:5" ht="15.75" customHeight="1" x14ac:dyDescent="0.2">
      <c r="B770" s="10"/>
      <c r="C770" s="10"/>
      <c r="D770" s="10"/>
      <c r="E770" s="10"/>
    </row>
    <row r="771" spans="2:5" ht="15.75" customHeight="1" x14ac:dyDescent="0.2">
      <c r="B771" s="10"/>
      <c r="C771" s="10"/>
      <c r="D771" s="10"/>
      <c r="E771" s="10"/>
    </row>
    <row r="772" spans="2:5" ht="15.75" customHeight="1" x14ac:dyDescent="0.2">
      <c r="B772" s="10"/>
      <c r="C772" s="10"/>
      <c r="D772" s="10"/>
      <c r="E772" s="10"/>
    </row>
    <row r="773" spans="2:5" ht="15.75" customHeight="1" x14ac:dyDescent="0.2">
      <c r="B773" s="10"/>
      <c r="C773" s="10"/>
      <c r="D773" s="10"/>
      <c r="E773" s="10"/>
    </row>
    <row r="774" spans="2:5" ht="15.75" customHeight="1" x14ac:dyDescent="0.2">
      <c r="B774" s="10"/>
      <c r="C774" s="10"/>
      <c r="D774" s="10"/>
      <c r="E774" s="10"/>
    </row>
    <row r="775" spans="2:5" ht="15.75" customHeight="1" x14ac:dyDescent="0.2">
      <c r="B775" s="10"/>
      <c r="C775" s="10"/>
      <c r="D775" s="10"/>
      <c r="E775" s="10"/>
    </row>
    <row r="776" spans="2:5" ht="15.75" customHeight="1" x14ac:dyDescent="0.2">
      <c r="B776" s="10"/>
      <c r="C776" s="10"/>
      <c r="D776" s="10"/>
      <c r="E776" s="10"/>
    </row>
    <row r="777" spans="2:5" ht="15.75" customHeight="1" x14ac:dyDescent="0.2">
      <c r="B777" s="10"/>
      <c r="C777" s="10"/>
      <c r="D777" s="10"/>
      <c r="E777" s="10"/>
    </row>
    <row r="778" spans="2:5" ht="15.75" customHeight="1" x14ac:dyDescent="0.2">
      <c r="B778" s="10"/>
      <c r="C778" s="10"/>
      <c r="D778" s="10"/>
      <c r="E778" s="10"/>
    </row>
    <row r="779" spans="2:5" ht="15.75" customHeight="1" x14ac:dyDescent="0.2">
      <c r="B779" s="10"/>
      <c r="C779" s="10"/>
      <c r="D779" s="10"/>
      <c r="E779" s="10"/>
    </row>
    <row r="780" spans="2:5" ht="15.75" customHeight="1" x14ac:dyDescent="0.2">
      <c r="B780" s="10"/>
      <c r="C780" s="10"/>
      <c r="D780" s="10"/>
      <c r="E780" s="10"/>
    </row>
    <row r="781" spans="2:5" ht="15.75" customHeight="1" x14ac:dyDescent="0.2">
      <c r="B781" s="10"/>
      <c r="C781" s="10"/>
      <c r="D781" s="10"/>
      <c r="E781" s="10"/>
    </row>
    <row r="782" spans="2:5" ht="15.75" customHeight="1" x14ac:dyDescent="0.2">
      <c r="B782" s="10"/>
      <c r="C782" s="10"/>
      <c r="D782" s="10"/>
      <c r="E782" s="10"/>
    </row>
    <row r="783" spans="2:5" ht="15.75" customHeight="1" x14ac:dyDescent="0.2">
      <c r="B783" s="10"/>
      <c r="C783" s="10"/>
      <c r="D783" s="10"/>
      <c r="E783" s="10"/>
    </row>
    <row r="784" spans="2:5" ht="15.75" customHeight="1" x14ac:dyDescent="0.2">
      <c r="B784" s="10"/>
      <c r="C784" s="10"/>
      <c r="D784" s="10"/>
      <c r="E784" s="10"/>
    </row>
    <row r="785" spans="2:5" ht="15.75" customHeight="1" x14ac:dyDescent="0.2">
      <c r="B785" s="10"/>
      <c r="C785" s="10"/>
      <c r="D785" s="10"/>
      <c r="E785" s="10"/>
    </row>
    <row r="786" spans="2:5" ht="15.75" customHeight="1" x14ac:dyDescent="0.2">
      <c r="B786" s="10"/>
      <c r="C786" s="10"/>
      <c r="D786" s="10"/>
      <c r="E786" s="10"/>
    </row>
    <row r="787" spans="2:5" ht="15.75" customHeight="1" x14ac:dyDescent="0.2">
      <c r="B787" s="10"/>
      <c r="C787" s="10"/>
      <c r="D787" s="10"/>
      <c r="E787" s="10"/>
    </row>
    <row r="788" spans="2:5" ht="15.75" customHeight="1" x14ac:dyDescent="0.2">
      <c r="B788" s="10"/>
      <c r="C788" s="10"/>
      <c r="D788" s="10"/>
      <c r="E788" s="10"/>
    </row>
    <row r="789" spans="2:5" ht="15.75" customHeight="1" x14ac:dyDescent="0.2">
      <c r="B789" s="10"/>
      <c r="C789" s="10"/>
      <c r="D789" s="10"/>
      <c r="E789" s="10"/>
    </row>
    <row r="790" spans="2:5" ht="15.75" customHeight="1" x14ac:dyDescent="0.2">
      <c r="B790" s="10"/>
      <c r="C790" s="10"/>
      <c r="D790" s="10"/>
      <c r="E790" s="10"/>
    </row>
    <row r="791" spans="2:5" ht="15.75" customHeight="1" x14ac:dyDescent="0.2">
      <c r="B791" s="10"/>
      <c r="C791" s="10"/>
      <c r="D791" s="10"/>
      <c r="E791" s="10"/>
    </row>
    <row r="792" spans="2:5" ht="15.75" customHeight="1" x14ac:dyDescent="0.2">
      <c r="B792" s="10"/>
      <c r="C792" s="10"/>
      <c r="D792" s="10"/>
      <c r="E792" s="10"/>
    </row>
    <row r="793" spans="2:5" ht="15.75" customHeight="1" x14ac:dyDescent="0.2">
      <c r="B793" s="10"/>
      <c r="C793" s="10"/>
      <c r="D793" s="10"/>
      <c r="E793" s="10"/>
    </row>
    <row r="794" spans="2:5" ht="15.75" customHeight="1" x14ac:dyDescent="0.2">
      <c r="B794" s="10"/>
      <c r="C794" s="10"/>
      <c r="D794" s="10"/>
      <c r="E794" s="10"/>
    </row>
    <row r="795" spans="2:5" ht="15.75" customHeight="1" x14ac:dyDescent="0.2">
      <c r="B795" s="10"/>
      <c r="C795" s="10"/>
      <c r="D795" s="10"/>
      <c r="E795" s="10"/>
    </row>
    <row r="796" spans="2:5" ht="15.75" customHeight="1" x14ac:dyDescent="0.2">
      <c r="B796" s="10"/>
      <c r="C796" s="10"/>
      <c r="D796" s="10"/>
      <c r="E796" s="10"/>
    </row>
    <row r="797" spans="2:5" ht="15.75" customHeight="1" x14ac:dyDescent="0.2">
      <c r="B797" s="10"/>
      <c r="C797" s="10"/>
      <c r="D797" s="10"/>
      <c r="E797" s="10"/>
    </row>
    <row r="798" spans="2:5" ht="15.75" customHeight="1" x14ac:dyDescent="0.2">
      <c r="B798" s="10"/>
      <c r="C798" s="10"/>
      <c r="D798" s="10"/>
      <c r="E798" s="10"/>
    </row>
    <row r="799" spans="2:5" ht="15.75" customHeight="1" x14ac:dyDescent="0.2">
      <c r="B799" s="10"/>
      <c r="C799" s="10"/>
      <c r="D799" s="10"/>
      <c r="E799" s="10"/>
    </row>
    <row r="800" spans="2:5" ht="15.75" customHeight="1" x14ac:dyDescent="0.2">
      <c r="B800" s="10"/>
      <c r="C800" s="10"/>
      <c r="D800" s="10"/>
      <c r="E800" s="10"/>
    </row>
    <row r="801" spans="2:5" ht="15.75" customHeight="1" x14ac:dyDescent="0.2">
      <c r="B801" s="10"/>
      <c r="C801" s="10"/>
      <c r="D801" s="10"/>
      <c r="E801" s="10"/>
    </row>
    <row r="802" spans="2:5" ht="15.75" customHeight="1" x14ac:dyDescent="0.2">
      <c r="B802" s="10"/>
      <c r="C802" s="10"/>
      <c r="D802" s="10"/>
      <c r="E802" s="10"/>
    </row>
    <row r="803" spans="2:5" ht="15.75" customHeight="1" x14ac:dyDescent="0.2">
      <c r="B803" s="10"/>
      <c r="C803" s="10"/>
      <c r="D803" s="10"/>
      <c r="E803" s="10"/>
    </row>
    <row r="804" spans="2:5" ht="15.75" customHeight="1" x14ac:dyDescent="0.2">
      <c r="B804" s="10"/>
      <c r="C804" s="10"/>
      <c r="D804" s="10"/>
      <c r="E804" s="10"/>
    </row>
    <row r="805" spans="2:5" ht="15.75" customHeight="1" x14ac:dyDescent="0.2">
      <c r="B805" s="10"/>
      <c r="C805" s="10"/>
      <c r="D805" s="10"/>
      <c r="E805" s="10"/>
    </row>
    <row r="806" spans="2:5" ht="15.75" customHeight="1" x14ac:dyDescent="0.2">
      <c r="B806" s="10"/>
      <c r="C806" s="10"/>
      <c r="D806" s="10"/>
      <c r="E806" s="10"/>
    </row>
    <row r="807" spans="2:5" ht="15.75" customHeight="1" x14ac:dyDescent="0.2">
      <c r="B807" s="10"/>
      <c r="C807" s="10"/>
      <c r="D807" s="10"/>
      <c r="E807" s="10"/>
    </row>
    <row r="808" spans="2:5" ht="15.75" customHeight="1" x14ac:dyDescent="0.2">
      <c r="B808" s="10"/>
      <c r="C808" s="10"/>
      <c r="D808" s="10"/>
      <c r="E808" s="10"/>
    </row>
    <row r="809" spans="2:5" ht="15.75" customHeight="1" x14ac:dyDescent="0.2">
      <c r="B809" s="10"/>
      <c r="C809" s="10"/>
      <c r="D809" s="10"/>
      <c r="E809" s="10"/>
    </row>
    <row r="810" spans="2:5" ht="15.75" customHeight="1" x14ac:dyDescent="0.2">
      <c r="B810" s="10"/>
      <c r="C810" s="10"/>
      <c r="D810" s="10"/>
      <c r="E810" s="10"/>
    </row>
    <row r="811" spans="2:5" ht="15.75" customHeight="1" x14ac:dyDescent="0.2">
      <c r="B811" s="10"/>
      <c r="C811" s="10"/>
      <c r="D811" s="10"/>
      <c r="E811" s="10"/>
    </row>
    <row r="812" spans="2:5" ht="15.75" customHeight="1" x14ac:dyDescent="0.2">
      <c r="B812" s="10"/>
      <c r="C812" s="10"/>
      <c r="D812" s="10"/>
      <c r="E812" s="10"/>
    </row>
    <row r="813" spans="2:5" ht="15.75" customHeight="1" x14ac:dyDescent="0.2">
      <c r="B813" s="10"/>
      <c r="C813" s="10"/>
      <c r="D813" s="10"/>
      <c r="E813" s="10"/>
    </row>
    <row r="814" spans="2:5" ht="15.75" customHeight="1" x14ac:dyDescent="0.2">
      <c r="B814" s="10"/>
      <c r="C814" s="10"/>
      <c r="D814" s="10"/>
      <c r="E814" s="10"/>
    </row>
    <row r="815" spans="2:5" ht="15.75" customHeight="1" x14ac:dyDescent="0.2">
      <c r="B815" s="10"/>
      <c r="C815" s="10"/>
      <c r="D815" s="10"/>
      <c r="E815" s="10"/>
    </row>
    <row r="816" spans="2:5" ht="15.75" customHeight="1" x14ac:dyDescent="0.2">
      <c r="B816" s="10"/>
      <c r="C816" s="10"/>
      <c r="D816" s="10"/>
      <c r="E816" s="10"/>
    </row>
    <row r="817" spans="2:5" ht="15.75" customHeight="1" x14ac:dyDescent="0.2">
      <c r="B817" s="10"/>
      <c r="C817" s="10"/>
      <c r="D817" s="10"/>
      <c r="E817" s="10"/>
    </row>
    <row r="818" spans="2:5" ht="15.75" customHeight="1" x14ac:dyDescent="0.2">
      <c r="B818" s="10"/>
      <c r="C818" s="10"/>
      <c r="D818" s="10"/>
      <c r="E818" s="10"/>
    </row>
    <row r="819" spans="2:5" ht="15.75" customHeight="1" x14ac:dyDescent="0.2">
      <c r="B819" s="10"/>
      <c r="C819" s="10"/>
      <c r="D819" s="10"/>
      <c r="E819" s="10"/>
    </row>
    <row r="820" spans="2:5" ht="15.75" customHeight="1" x14ac:dyDescent="0.2">
      <c r="B820" s="10"/>
      <c r="C820" s="10"/>
      <c r="D820" s="10"/>
      <c r="E820" s="10"/>
    </row>
    <row r="821" spans="2:5" ht="15.75" customHeight="1" x14ac:dyDescent="0.2">
      <c r="B821" s="10"/>
      <c r="C821" s="10"/>
      <c r="D821" s="10"/>
      <c r="E821" s="10"/>
    </row>
    <row r="822" spans="2:5" ht="15.75" customHeight="1" x14ac:dyDescent="0.2">
      <c r="B822" s="10"/>
      <c r="C822" s="10"/>
      <c r="D822" s="10"/>
      <c r="E822" s="10"/>
    </row>
    <row r="823" spans="2:5" ht="15.75" customHeight="1" x14ac:dyDescent="0.2">
      <c r="B823" s="10"/>
      <c r="C823" s="10"/>
      <c r="D823" s="10"/>
      <c r="E823" s="10"/>
    </row>
    <row r="824" spans="2:5" ht="15.75" customHeight="1" x14ac:dyDescent="0.2">
      <c r="B824" s="10"/>
      <c r="C824" s="10"/>
      <c r="D824" s="10"/>
      <c r="E824" s="10"/>
    </row>
    <row r="825" spans="2:5" ht="15.75" customHeight="1" x14ac:dyDescent="0.2">
      <c r="B825" s="10"/>
      <c r="C825" s="10"/>
      <c r="D825" s="10"/>
      <c r="E825" s="10"/>
    </row>
    <row r="826" spans="2:5" ht="15.75" customHeight="1" x14ac:dyDescent="0.2">
      <c r="B826" s="10"/>
      <c r="C826" s="10"/>
      <c r="D826" s="10"/>
      <c r="E826" s="10"/>
    </row>
    <row r="827" spans="2:5" ht="15.75" customHeight="1" x14ac:dyDescent="0.2">
      <c r="B827" s="10"/>
      <c r="C827" s="10"/>
      <c r="D827" s="10"/>
      <c r="E827" s="10"/>
    </row>
    <row r="828" spans="2:5" ht="15.75" customHeight="1" x14ac:dyDescent="0.2">
      <c r="B828" s="10"/>
      <c r="C828" s="10"/>
      <c r="D828" s="10"/>
      <c r="E828" s="10"/>
    </row>
    <row r="829" spans="2:5" ht="15.75" customHeight="1" x14ac:dyDescent="0.2">
      <c r="B829" s="10"/>
      <c r="C829" s="10"/>
      <c r="D829" s="10"/>
      <c r="E829" s="10"/>
    </row>
    <row r="830" spans="2:5" ht="15.75" customHeight="1" x14ac:dyDescent="0.2">
      <c r="B830" s="10"/>
      <c r="C830" s="10"/>
      <c r="D830" s="10"/>
      <c r="E830" s="10"/>
    </row>
    <row r="831" spans="2:5" ht="15.75" customHeight="1" x14ac:dyDescent="0.2">
      <c r="B831" s="10"/>
      <c r="C831" s="10"/>
      <c r="D831" s="10"/>
      <c r="E831" s="10"/>
    </row>
    <row r="832" spans="2:5" ht="15.75" customHeight="1" x14ac:dyDescent="0.2">
      <c r="B832" s="10"/>
      <c r="C832" s="10"/>
      <c r="D832" s="10"/>
      <c r="E832" s="10"/>
    </row>
    <row r="833" spans="2:5" ht="15.75" customHeight="1" x14ac:dyDescent="0.2">
      <c r="B833" s="10"/>
      <c r="C833" s="10"/>
      <c r="D833" s="10"/>
      <c r="E833" s="10"/>
    </row>
    <row r="834" spans="2:5" ht="15.75" customHeight="1" x14ac:dyDescent="0.2">
      <c r="B834" s="10"/>
      <c r="C834" s="10"/>
      <c r="D834" s="10"/>
      <c r="E834" s="10"/>
    </row>
    <row r="835" spans="2:5" ht="15.75" customHeight="1" x14ac:dyDescent="0.2">
      <c r="B835" s="10"/>
      <c r="C835" s="10"/>
      <c r="D835" s="10"/>
      <c r="E835" s="10"/>
    </row>
    <row r="836" spans="2:5" ht="15.75" customHeight="1" x14ac:dyDescent="0.2">
      <c r="B836" s="10"/>
      <c r="C836" s="10"/>
      <c r="D836" s="10"/>
      <c r="E836" s="10"/>
    </row>
    <row r="837" spans="2:5" ht="15.75" customHeight="1" x14ac:dyDescent="0.2">
      <c r="B837" s="10"/>
      <c r="C837" s="10"/>
      <c r="D837" s="10"/>
      <c r="E837" s="10"/>
    </row>
    <row r="838" spans="2:5" ht="15.75" customHeight="1" x14ac:dyDescent="0.2">
      <c r="B838" s="10"/>
      <c r="C838" s="10"/>
      <c r="D838" s="10"/>
      <c r="E838" s="10"/>
    </row>
    <row r="839" spans="2:5" ht="15.75" customHeight="1" x14ac:dyDescent="0.2">
      <c r="B839" s="10"/>
      <c r="C839" s="10"/>
      <c r="D839" s="10"/>
      <c r="E839" s="10"/>
    </row>
    <row r="840" spans="2:5" ht="15.75" customHeight="1" x14ac:dyDescent="0.2">
      <c r="B840" s="10"/>
      <c r="C840" s="10"/>
      <c r="D840" s="10"/>
      <c r="E840" s="10"/>
    </row>
    <row r="841" spans="2:5" ht="15.75" customHeight="1" x14ac:dyDescent="0.2">
      <c r="B841" s="10"/>
      <c r="C841" s="10"/>
      <c r="D841" s="10"/>
      <c r="E841" s="10"/>
    </row>
    <row r="842" spans="2:5" ht="15.75" customHeight="1" x14ac:dyDescent="0.2">
      <c r="B842" s="10"/>
      <c r="C842" s="10"/>
      <c r="D842" s="10"/>
      <c r="E842" s="10"/>
    </row>
    <row r="843" spans="2:5" ht="15.75" customHeight="1" x14ac:dyDescent="0.2">
      <c r="B843" s="10"/>
      <c r="C843" s="10"/>
      <c r="D843" s="10"/>
      <c r="E843" s="10"/>
    </row>
    <row r="844" spans="2:5" ht="15.75" customHeight="1" x14ac:dyDescent="0.2">
      <c r="B844" s="10"/>
      <c r="C844" s="10"/>
      <c r="D844" s="10"/>
      <c r="E844" s="10"/>
    </row>
    <row r="845" spans="2:5" ht="15.75" customHeight="1" x14ac:dyDescent="0.2">
      <c r="B845" s="10"/>
      <c r="C845" s="10"/>
      <c r="D845" s="10"/>
      <c r="E845" s="10"/>
    </row>
    <row r="846" spans="2:5" ht="15.75" customHeight="1" x14ac:dyDescent="0.2">
      <c r="B846" s="10"/>
      <c r="C846" s="10"/>
      <c r="D846" s="10"/>
      <c r="E846" s="10"/>
    </row>
    <row r="847" spans="2:5" ht="15.75" customHeight="1" x14ac:dyDescent="0.2">
      <c r="B847" s="10"/>
      <c r="C847" s="10"/>
      <c r="D847" s="10"/>
      <c r="E847" s="10"/>
    </row>
    <row r="848" spans="2:5" ht="15.75" customHeight="1" x14ac:dyDescent="0.2">
      <c r="B848" s="10"/>
      <c r="C848" s="10"/>
      <c r="D848" s="10"/>
      <c r="E848" s="10"/>
    </row>
    <row r="849" spans="2:5" ht="15.75" customHeight="1" x14ac:dyDescent="0.2">
      <c r="B849" s="10"/>
      <c r="C849" s="10"/>
      <c r="D849" s="10"/>
      <c r="E849" s="10"/>
    </row>
    <row r="850" spans="2:5" ht="15.75" customHeight="1" x14ac:dyDescent="0.2">
      <c r="B850" s="10"/>
      <c r="C850" s="10"/>
      <c r="D850" s="10"/>
      <c r="E850" s="10"/>
    </row>
    <row r="851" spans="2:5" ht="15.75" customHeight="1" x14ac:dyDescent="0.2">
      <c r="B851" s="10"/>
      <c r="C851" s="10"/>
      <c r="D851" s="10"/>
      <c r="E851" s="10"/>
    </row>
    <row r="852" spans="2:5" ht="15.75" customHeight="1" x14ac:dyDescent="0.2">
      <c r="B852" s="10"/>
      <c r="C852" s="10"/>
      <c r="D852" s="10"/>
      <c r="E852" s="10"/>
    </row>
    <row r="853" spans="2:5" ht="15.75" customHeight="1" x14ac:dyDescent="0.2">
      <c r="B853" s="10"/>
      <c r="C853" s="10"/>
      <c r="D853" s="10"/>
      <c r="E853" s="10"/>
    </row>
    <row r="854" spans="2:5" ht="15.75" customHeight="1" x14ac:dyDescent="0.2">
      <c r="B854" s="10"/>
      <c r="C854" s="10"/>
      <c r="D854" s="10"/>
      <c r="E854" s="10"/>
    </row>
    <row r="855" spans="2:5" ht="15.75" customHeight="1" x14ac:dyDescent="0.2">
      <c r="B855" s="10"/>
      <c r="C855" s="10"/>
      <c r="D855" s="10"/>
      <c r="E855" s="10"/>
    </row>
    <row r="856" spans="2:5" ht="15.75" customHeight="1" x14ac:dyDescent="0.2">
      <c r="B856" s="10"/>
      <c r="C856" s="10"/>
      <c r="D856" s="10"/>
      <c r="E856" s="10"/>
    </row>
    <row r="857" spans="2:5" ht="15.75" customHeight="1" x14ac:dyDescent="0.2">
      <c r="B857" s="10"/>
      <c r="C857" s="10"/>
      <c r="D857" s="10"/>
      <c r="E857" s="10"/>
    </row>
    <row r="858" spans="2:5" ht="15.75" customHeight="1" x14ac:dyDescent="0.2">
      <c r="B858" s="10"/>
      <c r="C858" s="10"/>
      <c r="D858" s="10"/>
      <c r="E858" s="10"/>
    </row>
    <row r="859" spans="2:5" ht="15.75" customHeight="1" x14ac:dyDescent="0.2">
      <c r="B859" s="10"/>
      <c r="C859" s="10"/>
      <c r="D859" s="10"/>
      <c r="E859" s="10"/>
    </row>
    <row r="860" spans="2:5" ht="15.75" customHeight="1" x14ac:dyDescent="0.2">
      <c r="B860" s="10"/>
      <c r="C860" s="10"/>
      <c r="D860" s="10"/>
      <c r="E860" s="10"/>
    </row>
    <row r="861" spans="2:5" ht="15.75" customHeight="1" x14ac:dyDescent="0.2">
      <c r="B861" s="10"/>
      <c r="C861" s="10"/>
      <c r="D861" s="10"/>
      <c r="E861" s="10"/>
    </row>
    <row r="862" spans="2:5" ht="15.75" customHeight="1" x14ac:dyDescent="0.2">
      <c r="B862" s="10"/>
      <c r="C862" s="10"/>
      <c r="D862" s="10"/>
      <c r="E862" s="10"/>
    </row>
    <row r="863" spans="2:5" ht="15.75" customHeight="1" x14ac:dyDescent="0.2">
      <c r="B863" s="10"/>
      <c r="C863" s="10"/>
      <c r="D863" s="10"/>
      <c r="E863" s="10"/>
    </row>
    <row r="864" spans="2:5" ht="15.75" customHeight="1" x14ac:dyDescent="0.2">
      <c r="B864" s="10"/>
      <c r="C864" s="10"/>
      <c r="D864" s="10"/>
      <c r="E864" s="10"/>
    </row>
    <row r="865" spans="2:5" ht="15.75" customHeight="1" x14ac:dyDescent="0.2">
      <c r="B865" s="10"/>
      <c r="C865" s="10"/>
      <c r="D865" s="10"/>
      <c r="E865" s="10"/>
    </row>
    <row r="866" spans="2:5" ht="15.75" customHeight="1" x14ac:dyDescent="0.2">
      <c r="B866" s="10"/>
      <c r="C866" s="10"/>
      <c r="D866" s="10"/>
      <c r="E866" s="10"/>
    </row>
    <row r="867" spans="2:5" ht="15.75" customHeight="1" x14ac:dyDescent="0.2">
      <c r="B867" s="10"/>
      <c r="C867" s="10"/>
      <c r="D867" s="10"/>
      <c r="E867" s="10"/>
    </row>
    <row r="868" spans="2:5" ht="15.75" customHeight="1" x14ac:dyDescent="0.2">
      <c r="B868" s="10"/>
      <c r="C868" s="10"/>
      <c r="D868" s="10"/>
      <c r="E868" s="10"/>
    </row>
    <row r="869" spans="2:5" ht="15.75" customHeight="1" x14ac:dyDescent="0.2">
      <c r="B869" s="10"/>
      <c r="C869" s="10"/>
      <c r="D869" s="10"/>
      <c r="E869" s="10"/>
    </row>
    <row r="870" spans="2:5" ht="15.75" customHeight="1" x14ac:dyDescent="0.2">
      <c r="B870" s="10"/>
      <c r="C870" s="10"/>
      <c r="D870" s="10"/>
      <c r="E870" s="10"/>
    </row>
    <row r="871" spans="2:5" ht="15.75" customHeight="1" x14ac:dyDescent="0.2">
      <c r="B871" s="10"/>
      <c r="C871" s="10"/>
      <c r="D871" s="10"/>
      <c r="E871" s="10"/>
    </row>
    <row r="872" spans="2:5" ht="15.75" customHeight="1" x14ac:dyDescent="0.2">
      <c r="B872" s="10"/>
      <c r="C872" s="10"/>
      <c r="D872" s="10"/>
      <c r="E872" s="10"/>
    </row>
    <row r="873" spans="2:5" ht="15.75" customHeight="1" x14ac:dyDescent="0.2">
      <c r="B873" s="10"/>
      <c r="C873" s="10"/>
      <c r="D873" s="10"/>
      <c r="E873" s="10"/>
    </row>
    <row r="874" spans="2:5" ht="15.75" customHeight="1" x14ac:dyDescent="0.2">
      <c r="B874" s="10"/>
      <c r="C874" s="10"/>
      <c r="D874" s="10"/>
      <c r="E874" s="10"/>
    </row>
    <row r="875" spans="2:5" ht="15.75" customHeight="1" x14ac:dyDescent="0.2">
      <c r="B875" s="10"/>
      <c r="C875" s="10"/>
      <c r="D875" s="10"/>
      <c r="E875" s="10"/>
    </row>
    <row r="876" spans="2:5" ht="15.75" customHeight="1" x14ac:dyDescent="0.2">
      <c r="B876" s="10"/>
      <c r="C876" s="10"/>
      <c r="D876" s="10"/>
      <c r="E876" s="10"/>
    </row>
    <row r="877" spans="2:5" ht="15.75" customHeight="1" x14ac:dyDescent="0.2">
      <c r="B877" s="10"/>
      <c r="C877" s="10"/>
      <c r="D877" s="10"/>
      <c r="E877" s="10"/>
    </row>
    <row r="878" spans="2:5" ht="15.75" customHeight="1" x14ac:dyDescent="0.2">
      <c r="B878" s="10"/>
      <c r="C878" s="10"/>
      <c r="D878" s="10"/>
      <c r="E878" s="10"/>
    </row>
    <row r="879" spans="2:5" ht="15.75" customHeight="1" x14ac:dyDescent="0.2">
      <c r="B879" s="10"/>
      <c r="C879" s="10"/>
      <c r="D879" s="10"/>
      <c r="E879" s="10"/>
    </row>
    <row r="880" spans="2:5" ht="15.75" customHeight="1" x14ac:dyDescent="0.2">
      <c r="B880" s="10"/>
      <c r="C880" s="10"/>
      <c r="D880" s="10"/>
      <c r="E880" s="10"/>
    </row>
    <row r="881" spans="2:5" ht="15.75" customHeight="1" x14ac:dyDescent="0.2">
      <c r="B881" s="10"/>
      <c r="C881" s="10"/>
      <c r="D881" s="10"/>
      <c r="E881" s="10"/>
    </row>
    <row r="882" spans="2:5" ht="15.75" customHeight="1" x14ac:dyDescent="0.2">
      <c r="B882" s="10"/>
      <c r="C882" s="10"/>
      <c r="D882" s="10"/>
      <c r="E882" s="10"/>
    </row>
    <row r="883" spans="2:5" ht="15.75" customHeight="1" x14ac:dyDescent="0.2">
      <c r="B883" s="10"/>
      <c r="C883" s="10"/>
      <c r="D883" s="10"/>
      <c r="E883" s="10"/>
    </row>
    <row r="884" spans="2:5" ht="15.75" customHeight="1" x14ac:dyDescent="0.2">
      <c r="B884" s="10"/>
      <c r="C884" s="10"/>
      <c r="D884" s="10"/>
      <c r="E884" s="10"/>
    </row>
    <row r="885" spans="2:5" ht="15.75" customHeight="1" x14ac:dyDescent="0.2">
      <c r="B885" s="10"/>
      <c r="C885" s="10"/>
      <c r="D885" s="10"/>
      <c r="E885" s="10"/>
    </row>
    <row r="886" spans="2:5" ht="15.75" customHeight="1" x14ac:dyDescent="0.2">
      <c r="B886" s="10"/>
      <c r="C886" s="10"/>
      <c r="D886" s="10"/>
      <c r="E886" s="10"/>
    </row>
    <row r="887" spans="2:5" ht="15.75" customHeight="1" x14ac:dyDescent="0.2">
      <c r="B887" s="10"/>
      <c r="C887" s="10"/>
      <c r="D887" s="10"/>
      <c r="E887" s="10"/>
    </row>
    <row r="888" spans="2:5" ht="15.75" customHeight="1" x14ac:dyDescent="0.2">
      <c r="B888" s="10"/>
      <c r="C888" s="10"/>
      <c r="D888" s="10"/>
      <c r="E888" s="10"/>
    </row>
    <row r="889" spans="2:5" ht="15.75" customHeight="1" x14ac:dyDescent="0.2">
      <c r="B889" s="10"/>
      <c r="C889" s="10"/>
      <c r="D889" s="10"/>
      <c r="E889" s="10"/>
    </row>
    <row r="890" spans="2:5" ht="15.75" customHeight="1" x14ac:dyDescent="0.2">
      <c r="B890" s="10"/>
      <c r="C890" s="10"/>
      <c r="D890" s="10"/>
      <c r="E890" s="10"/>
    </row>
    <row r="891" spans="2:5" ht="15.75" customHeight="1" x14ac:dyDescent="0.2">
      <c r="B891" s="10"/>
      <c r="C891" s="10"/>
      <c r="D891" s="10"/>
      <c r="E891" s="10"/>
    </row>
    <row r="892" spans="2:5" ht="15.75" customHeight="1" x14ac:dyDescent="0.2">
      <c r="B892" s="10"/>
      <c r="C892" s="10"/>
      <c r="D892" s="10"/>
      <c r="E892" s="10"/>
    </row>
    <row r="893" spans="2:5" ht="15.75" customHeight="1" x14ac:dyDescent="0.2">
      <c r="B893" s="10"/>
      <c r="C893" s="10"/>
      <c r="D893" s="10"/>
      <c r="E893" s="10"/>
    </row>
    <row r="894" spans="2:5" ht="15.75" customHeight="1" x14ac:dyDescent="0.2">
      <c r="B894" s="10"/>
      <c r="C894" s="10"/>
      <c r="D894" s="10"/>
      <c r="E894" s="10"/>
    </row>
    <row r="895" spans="2:5" ht="15.75" customHeight="1" x14ac:dyDescent="0.2">
      <c r="B895" s="10"/>
      <c r="C895" s="10"/>
      <c r="D895" s="10"/>
      <c r="E895" s="10"/>
    </row>
    <row r="896" spans="2:5" ht="15.75" customHeight="1" x14ac:dyDescent="0.2">
      <c r="B896" s="10"/>
      <c r="C896" s="10"/>
      <c r="D896" s="10"/>
      <c r="E896" s="10"/>
    </row>
    <row r="897" spans="2:5" ht="15.75" customHeight="1" x14ac:dyDescent="0.2">
      <c r="B897" s="10"/>
      <c r="C897" s="10"/>
      <c r="D897" s="10"/>
      <c r="E897" s="10"/>
    </row>
    <row r="898" spans="2:5" ht="15.75" customHeight="1" x14ac:dyDescent="0.2">
      <c r="B898" s="10"/>
      <c r="C898" s="10"/>
      <c r="D898" s="10"/>
      <c r="E898" s="10"/>
    </row>
    <row r="899" spans="2:5" ht="15.75" customHeight="1" x14ac:dyDescent="0.2">
      <c r="B899" s="10"/>
      <c r="C899" s="10"/>
      <c r="D899" s="10"/>
      <c r="E899" s="10"/>
    </row>
    <row r="900" spans="2:5" ht="15.75" customHeight="1" x14ac:dyDescent="0.2">
      <c r="B900" s="10"/>
      <c r="C900" s="10"/>
      <c r="D900" s="10"/>
      <c r="E900" s="10"/>
    </row>
    <row r="901" spans="2:5" ht="15.75" customHeight="1" x14ac:dyDescent="0.2">
      <c r="B901" s="10"/>
      <c r="C901" s="10"/>
      <c r="D901" s="10"/>
      <c r="E901" s="10"/>
    </row>
    <row r="902" spans="2:5" ht="15.75" customHeight="1" x14ac:dyDescent="0.2">
      <c r="B902" s="10"/>
      <c r="C902" s="10"/>
      <c r="D902" s="10"/>
      <c r="E902" s="10"/>
    </row>
    <row r="903" spans="2:5" ht="15.75" customHeight="1" x14ac:dyDescent="0.2">
      <c r="B903" s="10"/>
      <c r="C903" s="10"/>
      <c r="D903" s="10"/>
      <c r="E903" s="10"/>
    </row>
    <row r="904" spans="2:5" ht="15.75" customHeight="1" x14ac:dyDescent="0.2">
      <c r="B904" s="10"/>
      <c r="C904" s="10"/>
      <c r="D904" s="10"/>
      <c r="E904" s="10"/>
    </row>
    <row r="905" spans="2:5" ht="15.75" customHeight="1" x14ac:dyDescent="0.2">
      <c r="B905" s="10"/>
      <c r="C905" s="10"/>
      <c r="D905" s="10"/>
      <c r="E905" s="10"/>
    </row>
    <row r="906" spans="2:5" ht="15.75" customHeight="1" x14ac:dyDescent="0.2">
      <c r="B906" s="10"/>
      <c r="C906" s="10"/>
      <c r="D906" s="10"/>
      <c r="E906" s="10"/>
    </row>
    <row r="907" spans="2:5" ht="15.75" customHeight="1" x14ac:dyDescent="0.2">
      <c r="B907" s="10"/>
      <c r="C907" s="10"/>
      <c r="D907" s="10"/>
      <c r="E907" s="10"/>
    </row>
    <row r="908" spans="2:5" ht="15.75" customHeight="1" x14ac:dyDescent="0.2">
      <c r="B908" s="10"/>
      <c r="C908" s="10"/>
      <c r="D908" s="10"/>
      <c r="E908" s="10"/>
    </row>
    <row r="909" spans="2:5" ht="15.75" customHeight="1" x14ac:dyDescent="0.2">
      <c r="B909" s="10"/>
      <c r="C909" s="10"/>
      <c r="D909" s="10"/>
      <c r="E909" s="10"/>
    </row>
    <row r="910" spans="2:5" ht="15.75" customHeight="1" x14ac:dyDescent="0.2">
      <c r="B910" s="10"/>
      <c r="C910" s="10"/>
      <c r="D910" s="10"/>
      <c r="E910" s="10"/>
    </row>
    <row r="911" spans="2:5" ht="15.75" customHeight="1" x14ac:dyDescent="0.2">
      <c r="B911" s="10"/>
      <c r="C911" s="10"/>
      <c r="D911" s="10"/>
      <c r="E911" s="10"/>
    </row>
    <row r="912" spans="2:5" ht="15.75" customHeight="1" x14ac:dyDescent="0.2">
      <c r="B912" s="10"/>
      <c r="C912" s="10"/>
      <c r="D912" s="10"/>
      <c r="E912" s="10"/>
    </row>
    <row r="913" spans="2:5" ht="15.75" customHeight="1" x14ac:dyDescent="0.2">
      <c r="B913" s="10"/>
      <c r="C913" s="10"/>
      <c r="D913" s="10"/>
      <c r="E913" s="10"/>
    </row>
    <row r="914" spans="2:5" ht="15.75" customHeight="1" x14ac:dyDescent="0.2">
      <c r="B914" s="10"/>
      <c r="C914" s="10"/>
      <c r="D914" s="10"/>
      <c r="E914" s="10"/>
    </row>
    <row r="915" spans="2:5" ht="15.75" customHeight="1" x14ac:dyDescent="0.2">
      <c r="B915" s="10"/>
      <c r="C915" s="10"/>
      <c r="D915" s="10"/>
      <c r="E915" s="10"/>
    </row>
    <row r="916" spans="2:5" ht="15.75" customHeight="1" x14ac:dyDescent="0.2">
      <c r="B916" s="10"/>
      <c r="C916" s="10"/>
      <c r="D916" s="10"/>
      <c r="E916" s="10"/>
    </row>
    <row r="917" spans="2:5" ht="15.75" customHeight="1" x14ac:dyDescent="0.2">
      <c r="B917" s="10"/>
      <c r="C917" s="10"/>
      <c r="D917" s="10"/>
      <c r="E917" s="10"/>
    </row>
    <row r="918" spans="2:5" ht="15.75" customHeight="1" x14ac:dyDescent="0.2">
      <c r="B918" s="10"/>
      <c r="C918" s="10"/>
      <c r="D918" s="10"/>
      <c r="E918" s="10"/>
    </row>
    <row r="919" spans="2:5" ht="15.75" customHeight="1" x14ac:dyDescent="0.2">
      <c r="B919" s="10"/>
      <c r="C919" s="10"/>
      <c r="D919" s="10"/>
      <c r="E919" s="10"/>
    </row>
    <row r="920" spans="2:5" ht="15.75" customHeight="1" x14ac:dyDescent="0.2">
      <c r="B920" s="10"/>
      <c r="C920" s="10"/>
      <c r="D920" s="10"/>
      <c r="E920" s="10"/>
    </row>
    <row r="921" spans="2:5" ht="15.75" customHeight="1" x14ac:dyDescent="0.2">
      <c r="B921" s="10"/>
      <c r="C921" s="10"/>
      <c r="D921" s="10"/>
      <c r="E921" s="10"/>
    </row>
    <row r="922" spans="2:5" ht="15.75" customHeight="1" x14ac:dyDescent="0.2">
      <c r="B922" s="10"/>
      <c r="C922" s="10"/>
      <c r="D922" s="10"/>
      <c r="E922" s="10"/>
    </row>
    <row r="923" spans="2:5" ht="15.75" customHeight="1" x14ac:dyDescent="0.2">
      <c r="B923" s="10"/>
      <c r="C923" s="10"/>
      <c r="D923" s="10"/>
      <c r="E923" s="10"/>
    </row>
    <row r="924" spans="2:5" ht="15.75" customHeight="1" x14ac:dyDescent="0.2">
      <c r="B924" s="10"/>
      <c r="C924" s="10"/>
      <c r="D924" s="10"/>
      <c r="E924" s="10"/>
    </row>
    <row r="925" spans="2:5" ht="15.75" customHeight="1" x14ac:dyDescent="0.2">
      <c r="B925" s="10"/>
      <c r="C925" s="10"/>
      <c r="D925" s="10"/>
      <c r="E925" s="10"/>
    </row>
    <row r="926" spans="2:5" ht="15.75" customHeight="1" x14ac:dyDescent="0.2">
      <c r="B926" s="10"/>
      <c r="C926" s="10"/>
      <c r="D926" s="10"/>
      <c r="E926" s="10"/>
    </row>
    <row r="927" spans="2:5" ht="15.75" customHeight="1" x14ac:dyDescent="0.2">
      <c r="B927" s="10"/>
      <c r="C927" s="10"/>
      <c r="D927" s="10"/>
      <c r="E927" s="10"/>
    </row>
    <row r="928" spans="2:5" ht="15.75" customHeight="1" x14ac:dyDescent="0.2">
      <c r="B928" s="10"/>
      <c r="C928" s="10"/>
      <c r="D928" s="10"/>
      <c r="E928" s="10"/>
    </row>
    <row r="929" spans="2:5" ht="15.75" customHeight="1" x14ac:dyDescent="0.2">
      <c r="B929" s="10"/>
      <c r="C929" s="10"/>
      <c r="D929" s="10"/>
      <c r="E929" s="10"/>
    </row>
    <row r="930" spans="2:5" ht="15.75" customHeight="1" x14ac:dyDescent="0.2">
      <c r="B930" s="10"/>
      <c r="C930" s="10"/>
      <c r="D930" s="10"/>
      <c r="E930" s="10"/>
    </row>
    <row r="931" spans="2:5" ht="15.75" customHeight="1" x14ac:dyDescent="0.2">
      <c r="B931" s="10"/>
      <c r="C931" s="10"/>
      <c r="D931" s="10"/>
      <c r="E931" s="10"/>
    </row>
    <row r="932" spans="2:5" ht="15.75" customHeight="1" x14ac:dyDescent="0.2">
      <c r="B932" s="10"/>
      <c r="C932" s="10"/>
      <c r="D932" s="10"/>
      <c r="E932" s="10"/>
    </row>
    <row r="933" spans="2:5" ht="15.75" customHeight="1" x14ac:dyDescent="0.2">
      <c r="B933" s="10"/>
      <c r="C933" s="10"/>
      <c r="D933" s="10"/>
      <c r="E933" s="10"/>
    </row>
    <row r="934" spans="2:5" ht="15.75" customHeight="1" x14ac:dyDescent="0.2">
      <c r="B934" s="10"/>
      <c r="C934" s="10"/>
      <c r="D934" s="10"/>
      <c r="E934" s="10"/>
    </row>
    <row r="935" spans="2:5" ht="15.75" customHeight="1" x14ac:dyDescent="0.2">
      <c r="B935" s="10"/>
      <c r="C935" s="10"/>
      <c r="D935" s="10"/>
      <c r="E935" s="10"/>
    </row>
    <row r="936" spans="2:5" ht="15.75" customHeight="1" x14ac:dyDescent="0.2">
      <c r="B936" s="10"/>
      <c r="C936" s="10"/>
      <c r="D936" s="10"/>
      <c r="E936" s="10"/>
    </row>
    <row r="937" spans="2:5" ht="15.75" customHeight="1" x14ac:dyDescent="0.2">
      <c r="B937" s="10"/>
      <c r="C937" s="10"/>
      <c r="D937" s="10"/>
      <c r="E937" s="10"/>
    </row>
    <row r="938" spans="2:5" ht="15.75" customHeight="1" x14ac:dyDescent="0.2">
      <c r="B938" s="10"/>
      <c r="C938" s="10"/>
      <c r="D938" s="10"/>
      <c r="E938" s="10"/>
    </row>
    <row r="939" spans="2:5" ht="15.75" customHeight="1" x14ac:dyDescent="0.2">
      <c r="B939" s="10"/>
      <c r="C939" s="10"/>
      <c r="D939" s="10"/>
      <c r="E939" s="10"/>
    </row>
    <row r="940" spans="2:5" ht="15.75" customHeight="1" x14ac:dyDescent="0.2">
      <c r="B940" s="10"/>
      <c r="C940" s="10"/>
      <c r="D940" s="10"/>
      <c r="E940" s="10"/>
    </row>
    <row r="941" spans="2:5" ht="15.75" customHeight="1" x14ac:dyDescent="0.2">
      <c r="B941" s="10"/>
      <c r="C941" s="10"/>
      <c r="D941" s="10"/>
      <c r="E941" s="10"/>
    </row>
    <row r="942" spans="2:5" ht="15.75" customHeight="1" x14ac:dyDescent="0.2">
      <c r="B942" s="10"/>
      <c r="C942" s="10"/>
      <c r="D942" s="10"/>
      <c r="E942" s="10"/>
    </row>
    <row r="943" spans="2:5" ht="15.75" customHeight="1" x14ac:dyDescent="0.2">
      <c r="B943" s="10"/>
      <c r="C943" s="10"/>
      <c r="D943" s="10"/>
      <c r="E943" s="10"/>
    </row>
    <row r="944" spans="2:5" ht="15.75" customHeight="1" x14ac:dyDescent="0.2">
      <c r="B944" s="10"/>
      <c r="C944" s="10"/>
      <c r="D944" s="10"/>
      <c r="E944" s="10"/>
    </row>
    <row r="945" spans="2:5" ht="15.75" customHeight="1" x14ac:dyDescent="0.2">
      <c r="B945" s="10"/>
      <c r="C945" s="10"/>
      <c r="D945" s="10"/>
      <c r="E945" s="10"/>
    </row>
    <row r="946" spans="2:5" ht="15.75" customHeight="1" x14ac:dyDescent="0.2">
      <c r="B946" s="10"/>
      <c r="C946" s="10"/>
      <c r="D946" s="10"/>
      <c r="E946" s="10"/>
    </row>
    <row r="947" spans="2:5" ht="15.75" customHeight="1" x14ac:dyDescent="0.2">
      <c r="B947" s="10"/>
      <c r="C947" s="10"/>
      <c r="D947" s="10"/>
      <c r="E947" s="10"/>
    </row>
    <row r="948" spans="2:5" ht="15.75" customHeight="1" x14ac:dyDescent="0.2">
      <c r="B948" s="10"/>
      <c r="C948" s="10"/>
      <c r="D948" s="10"/>
      <c r="E948" s="10"/>
    </row>
    <row r="949" spans="2:5" ht="15.75" customHeight="1" x14ac:dyDescent="0.2">
      <c r="B949" s="10"/>
      <c r="C949" s="10"/>
      <c r="D949" s="10"/>
      <c r="E949" s="10"/>
    </row>
    <row r="950" spans="2:5" ht="15.75" customHeight="1" x14ac:dyDescent="0.2">
      <c r="B950" s="10"/>
      <c r="C950" s="10"/>
      <c r="D950" s="10"/>
      <c r="E950" s="10"/>
    </row>
    <row r="951" spans="2:5" ht="15.75" customHeight="1" x14ac:dyDescent="0.2">
      <c r="B951" s="10"/>
      <c r="C951" s="10"/>
      <c r="D951" s="10"/>
      <c r="E951" s="10"/>
    </row>
    <row r="952" spans="2:5" ht="15.75" customHeight="1" x14ac:dyDescent="0.2">
      <c r="B952" s="10"/>
      <c r="C952" s="10"/>
      <c r="D952" s="10"/>
      <c r="E952" s="10"/>
    </row>
    <row r="953" spans="2:5" ht="15.75" customHeight="1" x14ac:dyDescent="0.2">
      <c r="B953" s="10"/>
      <c r="C953" s="10"/>
      <c r="D953" s="10"/>
      <c r="E953" s="10"/>
    </row>
    <row r="954" spans="2:5" ht="15.75" customHeight="1" x14ac:dyDescent="0.2">
      <c r="B954" s="10"/>
      <c r="C954" s="10"/>
      <c r="D954" s="10"/>
      <c r="E954" s="10"/>
    </row>
    <row r="955" spans="2:5" ht="15.75" customHeight="1" x14ac:dyDescent="0.2">
      <c r="B955" s="10"/>
      <c r="C955" s="10"/>
      <c r="D955" s="10"/>
      <c r="E955" s="10"/>
    </row>
    <row r="956" spans="2:5" ht="15.75" customHeight="1" x14ac:dyDescent="0.2">
      <c r="B956" s="10"/>
      <c r="C956" s="10"/>
      <c r="D956" s="10"/>
      <c r="E956" s="10"/>
    </row>
    <row r="957" spans="2:5" ht="15.75" customHeight="1" x14ac:dyDescent="0.2">
      <c r="B957" s="10"/>
      <c r="C957" s="10"/>
      <c r="D957" s="10"/>
      <c r="E957" s="10"/>
    </row>
    <row r="958" spans="2:5" ht="15.75" customHeight="1" x14ac:dyDescent="0.2">
      <c r="B958" s="10"/>
      <c r="C958" s="10"/>
      <c r="D958" s="10"/>
      <c r="E958" s="10"/>
    </row>
    <row r="959" spans="2:5" ht="15.75" customHeight="1" x14ac:dyDescent="0.2">
      <c r="B959" s="10"/>
      <c r="C959" s="10"/>
      <c r="D959" s="10"/>
      <c r="E959" s="10"/>
    </row>
    <row r="960" spans="2:5" ht="15.75" customHeight="1" x14ac:dyDescent="0.2">
      <c r="B960" s="10"/>
      <c r="C960" s="10"/>
      <c r="D960" s="10"/>
      <c r="E960" s="10"/>
    </row>
    <row r="961" spans="2:5" ht="15.75" customHeight="1" x14ac:dyDescent="0.2">
      <c r="B961" s="10"/>
      <c r="C961" s="10"/>
      <c r="D961" s="10"/>
      <c r="E961" s="10"/>
    </row>
    <row r="962" spans="2:5" ht="15.75" customHeight="1" x14ac:dyDescent="0.2">
      <c r="B962" s="10"/>
      <c r="C962" s="10"/>
      <c r="D962" s="10"/>
      <c r="E962" s="10"/>
    </row>
    <row r="963" spans="2:5" ht="15.75" customHeight="1" x14ac:dyDescent="0.2">
      <c r="B963" s="10"/>
      <c r="C963" s="10"/>
      <c r="D963" s="10"/>
      <c r="E963" s="10"/>
    </row>
    <row r="964" spans="2:5" ht="15.75" customHeight="1" x14ac:dyDescent="0.2">
      <c r="B964" s="10"/>
      <c r="C964" s="10"/>
      <c r="D964" s="10"/>
      <c r="E964" s="10"/>
    </row>
    <row r="965" spans="2:5" ht="15.75" customHeight="1" x14ac:dyDescent="0.2">
      <c r="B965" s="10"/>
      <c r="C965" s="10"/>
      <c r="D965" s="10"/>
      <c r="E965" s="10"/>
    </row>
    <row r="966" spans="2:5" ht="15.75" customHeight="1" x14ac:dyDescent="0.2">
      <c r="B966" s="10"/>
      <c r="C966" s="10"/>
      <c r="D966" s="10"/>
      <c r="E966" s="10"/>
    </row>
    <row r="967" spans="2:5" ht="15.75" customHeight="1" x14ac:dyDescent="0.2">
      <c r="B967" s="10"/>
      <c r="C967" s="10"/>
      <c r="D967" s="10"/>
      <c r="E967" s="10"/>
    </row>
    <row r="968" spans="2:5" ht="15.75" customHeight="1" x14ac:dyDescent="0.2">
      <c r="B968" s="10"/>
      <c r="C968" s="10"/>
      <c r="D968" s="10"/>
      <c r="E968" s="10"/>
    </row>
    <row r="969" spans="2:5" ht="15.75" customHeight="1" x14ac:dyDescent="0.2">
      <c r="B969" s="10"/>
      <c r="C969" s="10"/>
      <c r="D969" s="10"/>
      <c r="E969" s="10"/>
    </row>
    <row r="970" spans="2:5" ht="15.75" customHeight="1" x14ac:dyDescent="0.2">
      <c r="B970" s="10"/>
      <c r="C970" s="10"/>
      <c r="D970" s="10"/>
      <c r="E970" s="10"/>
    </row>
    <row r="971" spans="2:5" ht="15.75" customHeight="1" x14ac:dyDescent="0.2">
      <c r="B971" s="10"/>
      <c r="C971" s="10"/>
      <c r="D971" s="10"/>
      <c r="E971" s="10"/>
    </row>
    <row r="972" spans="2:5" ht="15.75" customHeight="1" x14ac:dyDescent="0.2">
      <c r="B972" s="10"/>
      <c r="C972" s="10"/>
      <c r="D972" s="10"/>
      <c r="E972" s="10"/>
    </row>
    <row r="973" spans="2:5" ht="15.75" customHeight="1" x14ac:dyDescent="0.2">
      <c r="B973" s="10"/>
      <c r="C973" s="10"/>
      <c r="D973" s="10"/>
      <c r="E973" s="10"/>
    </row>
    <row r="974" spans="2:5" ht="15.75" customHeight="1" x14ac:dyDescent="0.2">
      <c r="B974" s="10"/>
      <c r="C974" s="10"/>
      <c r="D974" s="10"/>
      <c r="E974" s="10"/>
    </row>
    <row r="975" spans="2:5" ht="15.75" customHeight="1" x14ac:dyDescent="0.2">
      <c r="B975" s="10"/>
      <c r="C975" s="10"/>
      <c r="D975" s="10"/>
      <c r="E975" s="10"/>
    </row>
    <row r="976" spans="2:5" ht="15.75" customHeight="1" x14ac:dyDescent="0.2">
      <c r="B976" s="10"/>
      <c r="C976" s="10"/>
      <c r="D976" s="10"/>
      <c r="E976" s="10"/>
    </row>
    <row r="977" spans="2:5" ht="15.75" customHeight="1" x14ac:dyDescent="0.2">
      <c r="B977" s="10"/>
      <c r="C977" s="10"/>
      <c r="D977" s="10"/>
      <c r="E977" s="10"/>
    </row>
    <row r="978" spans="2:5" ht="15.75" customHeight="1" x14ac:dyDescent="0.2">
      <c r="B978" s="10"/>
      <c r="C978" s="10"/>
      <c r="D978" s="10"/>
      <c r="E978" s="10"/>
    </row>
    <row r="979" spans="2:5" ht="15.75" customHeight="1" x14ac:dyDescent="0.2">
      <c r="B979" s="10"/>
      <c r="C979" s="10"/>
      <c r="D979" s="10"/>
      <c r="E979" s="10"/>
    </row>
    <row r="980" spans="2:5" ht="15.75" customHeight="1" x14ac:dyDescent="0.2">
      <c r="B980" s="10"/>
      <c r="C980" s="10"/>
      <c r="D980" s="10"/>
      <c r="E980" s="10"/>
    </row>
    <row r="981" spans="2:5" ht="15.75" customHeight="1" x14ac:dyDescent="0.2">
      <c r="B981" s="10"/>
      <c r="C981" s="10"/>
      <c r="D981" s="10"/>
      <c r="E981" s="10"/>
    </row>
    <row r="982" spans="2:5" ht="15.75" customHeight="1" x14ac:dyDescent="0.2">
      <c r="B982" s="10"/>
      <c r="C982" s="10"/>
      <c r="D982" s="10"/>
      <c r="E982" s="10"/>
    </row>
    <row r="983" spans="2:5" ht="15.75" customHeight="1" x14ac:dyDescent="0.2">
      <c r="B983" s="10"/>
      <c r="C983" s="10"/>
      <c r="D983" s="10"/>
      <c r="E983" s="10"/>
    </row>
    <row r="984" spans="2:5" ht="15.75" customHeight="1" x14ac:dyDescent="0.2">
      <c r="B984" s="10"/>
      <c r="C984" s="10"/>
      <c r="D984" s="10"/>
      <c r="E984" s="10"/>
    </row>
    <row r="985" spans="2:5" ht="15.75" customHeight="1" x14ac:dyDescent="0.2">
      <c r="B985" s="10"/>
      <c r="C985" s="10"/>
      <c r="D985" s="10"/>
      <c r="E985" s="10"/>
    </row>
    <row r="986" spans="2:5" ht="15.75" customHeight="1" x14ac:dyDescent="0.2">
      <c r="B986" s="10"/>
      <c r="C986" s="10"/>
      <c r="D986" s="10"/>
      <c r="E986" s="10"/>
    </row>
    <row r="987" spans="2:5" ht="15.75" customHeight="1" x14ac:dyDescent="0.2">
      <c r="B987" s="10"/>
      <c r="C987" s="10"/>
      <c r="D987" s="10"/>
      <c r="E987" s="10"/>
    </row>
    <row r="988" spans="2:5" ht="15.75" customHeight="1" x14ac:dyDescent="0.2">
      <c r="B988" s="10"/>
      <c r="C988" s="10"/>
      <c r="D988" s="10"/>
      <c r="E988" s="10"/>
    </row>
    <row r="989" spans="2:5" ht="15.75" customHeight="1" x14ac:dyDescent="0.2">
      <c r="B989" s="10"/>
      <c r="C989" s="10"/>
      <c r="D989" s="10"/>
      <c r="E989" s="10"/>
    </row>
    <row r="990" spans="2:5" ht="15.75" customHeight="1" x14ac:dyDescent="0.2">
      <c r="B990" s="10"/>
      <c r="C990" s="10"/>
      <c r="D990" s="10"/>
      <c r="E990" s="10"/>
    </row>
    <row r="991" spans="2:5" ht="15.75" customHeight="1" x14ac:dyDescent="0.2">
      <c r="B991" s="10"/>
      <c r="C991" s="10"/>
      <c r="D991" s="10"/>
      <c r="E991" s="10"/>
    </row>
    <row r="992" spans="2:5" ht="15.75" customHeight="1" x14ac:dyDescent="0.2">
      <c r="B992" s="10"/>
      <c r="C992" s="10"/>
      <c r="D992" s="10"/>
      <c r="E992" s="10"/>
    </row>
    <row r="993" spans="2:5" ht="15.75" customHeight="1" x14ac:dyDescent="0.2">
      <c r="B993" s="10"/>
      <c r="C993" s="10"/>
      <c r="D993" s="10"/>
      <c r="E993" s="10"/>
    </row>
    <row r="994" spans="2:5" ht="15.75" customHeight="1" x14ac:dyDescent="0.2">
      <c r="B994" s="10"/>
      <c r="C994" s="10"/>
      <c r="D994" s="10"/>
      <c r="E994" s="10"/>
    </row>
    <row r="995" spans="2:5" ht="15.75" customHeight="1" x14ac:dyDescent="0.2">
      <c r="B995" s="10"/>
      <c r="C995" s="10"/>
      <c r="D995" s="10"/>
      <c r="E995" s="10"/>
    </row>
    <row r="996" spans="2:5" ht="15.75" customHeight="1" x14ac:dyDescent="0.2">
      <c r="B996" s="10"/>
      <c r="C996" s="10"/>
      <c r="D996" s="10"/>
      <c r="E996" s="10"/>
    </row>
    <row r="997" spans="2:5" ht="15.75" customHeight="1" x14ac:dyDescent="0.2">
      <c r="B997" s="10"/>
      <c r="C997" s="10"/>
      <c r="D997" s="10"/>
      <c r="E997" s="10"/>
    </row>
    <row r="998" spans="2:5" ht="15.75" customHeight="1" x14ac:dyDescent="0.2">
      <c r="B998" s="10"/>
      <c r="C998" s="10"/>
      <c r="D998" s="10"/>
      <c r="E998" s="10"/>
    </row>
    <row r="999" spans="2:5" ht="15.75" customHeight="1" x14ac:dyDescent="0.2">
      <c r="B999" s="10"/>
      <c r="C999" s="10"/>
      <c r="D999" s="10"/>
      <c r="E999" s="10"/>
    </row>
    <row r="1000" spans="2:5" ht="15.75" customHeight="1" x14ac:dyDescent="0.2">
      <c r="B1000" s="10"/>
      <c r="C1000" s="10"/>
      <c r="D1000" s="10"/>
      <c r="E1000" s="10"/>
    </row>
  </sheetData>
  <hyperlinks>
    <hyperlink ref="B49" r:id="rId1" xr:uid="{00000000-0004-0000-0000-000000000000}"/>
    <hyperlink ref="B56" r:id="rId2" xr:uid="{00000000-0004-0000-0000-000001000000}"/>
    <hyperlink ref="A117" r:id="rId3" xr:uid="{00000000-0004-0000-0000-000002000000}"/>
    <hyperlink ref="A130" r:id="rId4" xr:uid="{00000000-0004-0000-0000-000003000000}"/>
    <hyperlink ref="A139" r:id="rId5" xr:uid="{00000000-0004-0000-0000-000004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92"/>
  <sheetViews>
    <sheetView workbookViewId="0">
      <selection activeCell="B5" sqref="B5"/>
    </sheetView>
  </sheetViews>
  <sheetFormatPr baseColWidth="10" defaultColWidth="10.6640625" defaultRowHeight="14" x14ac:dyDescent="0.15"/>
  <cols>
    <col min="1" max="1" width="26" bestFit="1" customWidth="1"/>
    <col min="2" max="2" width="12.33203125" bestFit="1" customWidth="1"/>
  </cols>
  <sheetData>
    <row r="1" spans="1:38" s="50" customFormat="1" ht="14.5" customHeight="1" x14ac:dyDescent="0.15">
      <c r="A1" s="49" t="s">
        <v>133</v>
      </c>
    </row>
    <row r="2" spans="1:38" s="48" customFormat="1" ht="14.5" customHeight="1" x14ac:dyDescent="0.15">
      <c r="A2" s="55"/>
    </row>
    <row r="3" spans="1:38" ht="15" customHeight="1" x14ac:dyDescent="0.2">
      <c r="B3" s="29">
        <v>2020</v>
      </c>
      <c r="C3" s="29">
        <v>2021</v>
      </c>
      <c r="D3" s="29">
        <v>2022</v>
      </c>
      <c r="E3" s="29">
        <v>2023</v>
      </c>
      <c r="F3" s="29">
        <v>2024</v>
      </c>
      <c r="G3" s="29">
        <v>2025</v>
      </c>
      <c r="H3" s="29">
        <v>2026</v>
      </c>
      <c r="I3" s="29">
        <v>2027</v>
      </c>
      <c r="J3" s="29">
        <v>2028</v>
      </c>
      <c r="K3" s="29">
        <v>2029</v>
      </c>
      <c r="L3" s="29">
        <v>2030</v>
      </c>
      <c r="M3" s="29">
        <v>2031</v>
      </c>
      <c r="N3" s="29">
        <v>2032</v>
      </c>
      <c r="O3" s="29">
        <v>2033</v>
      </c>
      <c r="P3" s="29">
        <v>2034</v>
      </c>
      <c r="Q3" s="29">
        <v>2035</v>
      </c>
      <c r="R3" s="29">
        <v>2036</v>
      </c>
      <c r="S3" s="29">
        <v>2037</v>
      </c>
      <c r="T3" s="29">
        <v>2038</v>
      </c>
      <c r="U3" s="29">
        <v>2039</v>
      </c>
      <c r="V3" s="29">
        <v>2040</v>
      </c>
      <c r="W3" s="29">
        <v>2041</v>
      </c>
      <c r="X3" s="29">
        <v>2042</v>
      </c>
      <c r="Y3" s="29">
        <v>2043</v>
      </c>
      <c r="Z3" s="29">
        <v>2044</v>
      </c>
      <c r="AA3" s="29">
        <v>2045</v>
      </c>
      <c r="AB3" s="29">
        <v>2046</v>
      </c>
      <c r="AC3" s="29">
        <v>2047</v>
      </c>
      <c r="AD3" s="29">
        <v>2048</v>
      </c>
      <c r="AE3" s="29">
        <v>2049</v>
      </c>
      <c r="AF3" s="29">
        <v>2050</v>
      </c>
    </row>
    <row r="4" spans="1:38" ht="14.5" customHeight="1" x14ac:dyDescent="0.15">
      <c r="A4" s="15" t="s">
        <v>134</v>
      </c>
    </row>
    <row r="5" spans="1:38" x14ac:dyDescent="0.15">
      <c r="A5" s="48" t="s">
        <v>135</v>
      </c>
      <c r="B5">
        <f>'BIFUbC-natural-gas'!B4/('BIFUbC-natural-gas'!B4+'BIFUbC-natural-gas'!B10)</f>
        <v>0.88382358624140722</v>
      </c>
      <c r="C5">
        <f>'BIFUbC-natural-gas'!C4/('BIFUbC-natural-gas'!C4+'BIFUbC-natural-gas'!C10)</f>
        <v>0.88535960444832928</v>
      </c>
      <c r="D5">
        <f>'BIFUbC-natural-gas'!D4/('BIFUbC-natural-gas'!D4+'BIFUbC-natural-gas'!D10)</f>
        <v>0.88684710555829993</v>
      </c>
      <c r="E5">
        <f>'BIFUbC-natural-gas'!E4/('BIFUbC-natural-gas'!E4+'BIFUbC-natural-gas'!E10)</f>
        <v>0.89743212189463217</v>
      </c>
      <c r="F5">
        <f>'BIFUbC-natural-gas'!F4/('BIFUbC-natural-gas'!F4+'BIFUbC-natural-gas'!F10)</f>
        <v>0.90186430968994791</v>
      </c>
      <c r="G5">
        <f>'BIFUbC-natural-gas'!G4/('BIFUbC-natural-gas'!G4+'BIFUbC-natural-gas'!G10)</f>
        <v>0.90242864749600316</v>
      </c>
      <c r="H5">
        <f>'BIFUbC-natural-gas'!H4/('BIFUbC-natural-gas'!H4+'BIFUbC-natural-gas'!H10)</f>
        <v>0.90001002782994599</v>
      </c>
      <c r="I5">
        <f>'BIFUbC-natural-gas'!I4/('BIFUbC-natural-gas'!I4+'BIFUbC-natural-gas'!I10)</f>
        <v>0.89994597200445325</v>
      </c>
      <c r="J5">
        <f>'BIFUbC-natural-gas'!J4/('BIFUbC-natural-gas'!J4+'BIFUbC-natural-gas'!J10)</f>
        <v>0.9011252454133406</v>
      </c>
      <c r="K5">
        <f>'BIFUbC-natural-gas'!K4/('BIFUbC-natural-gas'!K4+'BIFUbC-natural-gas'!K10)</f>
        <v>0.90101048770505632</v>
      </c>
      <c r="L5">
        <f>'BIFUbC-natural-gas'!L4/('BIFUbC-natural-gas'!L4+'BIFUbC-natural-gas'!L10)</f>
        <v>0.90038656814491436</v>
      </c>
      <c r="M5">
        <f>'BIFUbC-natural-gas'!M4/('BIFUbC-natural-gas'!M4+'BIFUbC-natural-gas'!M10)</f>
        <v>0.90309271347712572</v>
      </c>
      <c r="N5">
        <f>'BIFUbC-natural-gas'!N4/('BIFUbC-natural-gas'!N4+'BIFUbC-natural-gas'!N10)</f>
        <v>0.90320590355523966</v>
      </c>
      <c r="O5">
        <f>'BIFUbC-natural-gas'!O4/('BIFUbC-natural-gas'!O4+'BIFUbC-natural-gas'!O10)</f>
        <v>0.90340117349046967</v>
      </c>
      <c r="P5">
        <f>'BIFUbC-natural-gas'!P4/('BIFUbC-natural-gas'!P4+'BIFUbC-natural-gas'!P10)</f>
        <v>0.90240173335521845</v>
      </c>
      <c r="Q5">
        <f>'BIFUbC-natural-gas'!Q4/('BIFUbC-natural-gas'!Q4+'BIFUbC-natural-gas'!Q10)</f>
        <v>0.90126240369848787</v>
      </c>
      <c r="R5">
        <f>'BIFUbC-natural-gas'!R4/('BIFUbC-natural-gas'!R4+'BIFUbC-natural-gas'!R10)</f>
        <v>0.90040771190371638</v>
      </c>
      <c r="S5">
        <f>'BIFUbC-natural-gas'!S4/('BIFUbC-natural-gas'!S4+'BIFUbC-natural-gas'!S10)</f>
        <v>0.90002321831132481</v>
      </c>
      <c r="T5">
        <f>'BIFUbC-natural-gas'!T4/('BIFUbC-natural-gas'!T4+'BIFUbC-natural-gas'!T10)</f>
        <v>0.89973519098363242</v>
      </c>
      <c r="U5">
        <f>'BIFUbC-natural-gas'!U4/('BIFUbC-natural-gas'!U4+'BIFUbC-natural-gas'!U10)</f>
        <v>0.90000842457246222</v>
      </c>
      <c r="V5">
        <f>'BIFUbC-natural-gas'!V4/('BIFUbC-natural-gas'!V4+'BIFUbC-natural-gas'!V10)</f>
        <v>0.90022195956788797</v>
      </c>
      <c r="W5">
        <f>'BIFUbC-natural-gas'!W4/('BIFUbC-natural-gas'!W4+'BIFUbC-natural-gas'!W10)</f>
        <v>0.90013331387910367</v>
      </c>
      <c r="X5">
        <f>'BIFUbC-natural-gas'!X4/('BIFUbC-natural-gas'!X4+'BIFUbC-natural-gas'!X10)</f>
        <v>0.90045637134043521</v>
      </c>
      <c r="Y5">
        <f>'BIFUbC-natural-gas'!Y4/('BIFUbC-natural-gas'!Y4+'BIFUbC-natural-gas'!Y10)</f>
        <v>0.90098960432304287</v>
      </c>
      <c r="Z5">
        <f>'BIFUbC-natural-gas'!Z4/('BIFUbC-natural-gas'!Z4+'BIFUbC-natural-gas'!Z10)</f>
        <v>0.90110750754188917</v>
      </c>
      <c r="AA5">
        <f>'BIFUbC-natural-gas'!AA4/('BIFUbC-natural-gas'!AA4+'BIFUbC-natural-gas'!AA10)</f>
        <v>0.90120866984453807</v>
      </c>
      <c r="AB5">
        <f>'BIFUbC-natural-gas'!AB4/('BIFUbC-natural-gas'!AB4+'BIFUbC-natural-gas'!AB10)</f>
        <v>0.9020661628855442</v>
      </c>
      <c r="AC5">
        <f>'BIFUbC-natural-gas'!AC4/('BIFUbC-natural-gas'!AC4+'BIFUbC-natural-gas'!AC10)</f>
        <v>0.9014897219491067</v>
      </c>
      <c r="AD5">
        <f>'BIFUbC-natural-gas'!AD4/('BIFUbC-natural-gas'!AD4+'BIFUbC-natural-gas'!AD10)</f>
        <v>0.90107187242248865</v>
      </c>
      <c r="AE5">
        <f>'BIFUbC-natural-gas'!AE4/('BIFUbC-natural-gas'!AE4+'BIFUbC-natural-gas'!AE10)</f>
        <v>0.90121125692096316</v>
      </c>
      <c r="AF5">
        <f>'BIFUbC-natural-gas'!AF4/('BIFUbC-natural-gas'!AF4+'BIFUbC-natural-gas'!AF10)</f>
        <v>0.90061022832514326</v>
      </c>
    </row>
    <row r="6" spans="1:38" x14ac:dyDescent="0.15">
      <c r="A6" s="48" t="s">
        <v>136</v>
      </c>
      <c r="B6">
        <f>'BIFUbC-natural-gas'!B10/('BIFUbC-natural-gas'!B4+'BIFUbC-natural-gas'!B10)</f>
        <v>0.11617641375859275</v>
      </c>
      <c r="C6">
        <f>'BIFUbC-natural-gas'!C10/('BIFUbC-natural-gas'!C4+'BIFUbC-natural-gas'!C10)</f>
        <v>0.11464039555167078</v>
      </c>
      <c r="D6">
        <f>'BIFUbC-natural-gas'!D10/('BIFUbC-natural-gas'!D4+'BIFUbC-natural-gas'!D10)</f>
        <v>0.11315289444170001</v>
      </c>
      <c r="E6">
        <f>'BIFUbC-natural-gas'!E10/('BIFUbC-natural-gas'!E4+'BIFUbC-natural-gas'!E10)</f>
        <v>0.10256787810536787</v>
      </c>
      <c r="F6">
        <f>'BIFUbC-natural-gas'!F10/('BIFUbC-natural-gas'!F4+'BIFUbC-natural-gas'!F10)</f>
        <v>9.8135690310052107E-2</v>
      </c>
      <c r="G6">
        <f>'BIFUbC-natural-gas'!G10/('BIFUbC-natural-gas'!G4+'BIFUbC-natural-gas'!G10)</f>
        <v>9.7571352503996844E-2</v>
      </c>
      <c r="H6">
        <f>'BIFUbC-natural-gas'!H10/('BIFUbC-natural-gas'!H4+'BIFUbC-natural-gas'!H10)</f>
        <v>9.9989972170053912E-2</v>
      </c>
      <c r="I6">
        <f>'BIFUbC-natural-gas'!I10/('BIFUbC-natural-gas'!I4+'BIFUbC-natural-gas'!I10)</f>
        <v>0.10005402799554672</v>
      </c>
      <c r="J6">
        <f>'BIFUbC-natural-gas'!J10/('BIFUbC-natural-gas'!J4+'BIFUbC-natural-gas'!J10)</f>
        <v>9.8874754586659355E-2</v>
      </c>
      <c r="K6">
        <f>'BIFUbC-natural-gas'!K10/('BIFUbC-natural-gas'!K4+'BIFUbC-natural-gas'!K10)</f>
        <v>9.8989512294943738E-2</v>
      </c>
      <c r="L6">
        <f>'BIFUbC-natural-gas'!L10/('BIFUbC-natural-gas'!L4+'BIFUbC-natural-gas'!L10)</f>
        <v>9.9613431855085657E-2</v>
      </c>
      <c r="M6">
        <f>'BIFUbC-natural-gas'!M10/('BIFUbC-natural-gas'!M4+'BIFUbC-natural-gas'!M10)</f>
        <v>9.6907286522874406E-2</v>
      </c>
      <c r="N6">
        <f>'BIFUbC-natural-gas'!N10/('BIFUbC-natural-gas'!N4+'BIFUbC-natural-gas'!N10)</f>
        <v>9.6794096444760433E-2</v>
      </c>
      <c r="O6">
        <f>'BIFUbC-natural-gas'!O10/('BIFUbC-natural-gas'!O4+'BIFUbC-natural-gas'!O10)</f>
        <v>9.6598826509530333E-2</v>
      </c>
      <c r="P6">
        <f>'BIFUbC-natural-gas'!P10/('BIFUbC-natural-gas'!P4+'BIFUbC-natural-gas'!P10)</f>
        <v>9.7598266644781551E-2</v>
      </c>
      <c r="Q6">
        <f>'BIFUbC-natural-gas'!Q10/('BIFUbC-natural-gas'!Q4+'BIFUbC-natural-gas'!Q10)</f>
        <v>9.873759630151209E-2</v>
      </c>
      <c r="R6">
        <f>'BIFUbC-natural-gas'!R10/('BIFUbC-natural-gas'!R4+'BIFUbC-natural-gas'!R10)</f>
        <v>9.9592288096283593E-2</v>
      </c>
      <c r="S6">
        <f>'BIFUbC-natural-gas'!S10/('BIFUbC-natural-gas'!S4+'BIFUbC-natural-gas'!S10)</f>
        <v>9.997678168867509E-2</v>
      </c>
      <c r="T6">
        <f>'BIFUbC-natural-gas'!T10/('BIFUbC-natural-gas'!T4+'BIFUbC-natural-gas'!T10)</f>
        <v>0.10026480901636754</v>
      </c>
      <c r="U6">
        <f>'BIFUbC-natural-gas'!U10/('BIFUbC-natural-gas'!U4+'BIFUbC-natural-gas'!U10)</f>
        <v>9.9991575427537838E-2</v>
      </c>
      <c r="V6">
        <f>'BIFUbC-natural-gas'!V10/('BIFUbC-natural-gas'!V4+'BIFUbC-natural-gas'!V10)</f>
        <v>9.9778040432111997E-2</v>
      </c>
      <c r="W6">
        <f>'BIFUbC-natural-gas'!W10/('BIFUbC-natural-gas'!W4+'BIFUbC-natural-gas'!W10)</f>
        <v>9.9866686120896331E-2</v>
      </c>
      <c r="X6">
        <f>'BIFUbC-natural-gas'!X10/('BIFUbC-natural-gas'!X4+'BIFUbC-natural-gas'!X10)</f>
        <v>9.9543628659564704E-2</v>
      </c>
      <c r="Y6">
        <f>'BIFUbC-natural-gas'!Y10/('BIFUbC-natural-gas'!Y4+'BIFUbC-natural-gas'!Y10)</f>
        <v>9.9010395676957144E-2</v>
      </c>
      <c r="Z6">
        <f>'BIFUbC-natural-gas'!Z10/('BIFUbC-natural-gas'!Z4+'BIFUbC-natural-gas'!Z10)</f>
        <v>9.8892492458110798E-2</v>
      </c>
      <c r="AA6">
        <f>'BIFUbC-natural-gas'!AA10/('BIFUbC-natural-gas'!AA4+'BIFUbC-natural-gas'!AA10)</f>
        <v>9.8791330155461987E-2</v>
      </c>
      <c r="AB6">
        <f>'BIFUbC-natural-gas'!AB10/('BIFUbC-natural-gas'!AB4+'BIFUbC-natural-gas'!AB10)</f>
        <v>9.7933837114455843E-2</v>
      </c>
      <c r="AC6">
        <f>'BIFUbC-natural-gas'!AC10/('BIFUbC-natural-gas'!AC4+'BIFUbC-natural-gas'!AC10)</f>
        <v>9.8510278050893324E-2</v>
      </c>
      <c r="AD6">
        <f>'BIFUbC-natural-gas'!AD10/('BIFUbC-natural-gas'!AD4+'BIFUbC-natural-gas'!AD10)</f>
        <v>9.892812757751121E-2</v>
      </c>
      <c r="AE6">
        <f>'BIFUbC-natural-gas'!AE10/('BIFUbC-natural-gas'!AE4+'BIFUbC-natural-gas'!AE10)</f>
        <v>9.8788743079036914E-2</v>
      </c>
      <c r="AF6">
        <f>'BIFUbC-natural-gas'!AF10/('BIFUbC-natural-gas'!AF4+'BIFUbC-natural-gas'!AF10)</f>
        <v>9.9389771674856672E-2</v>
      </c>
    </row>
    <row r="7" spans="1:38" ht="14.5" customHeight="1" x14ac:dyDescent="0.15">
      <c r="A7" s="15"/>
    </row>
    <row r="8" spans="1:38" ht="14.5" customHeight="1" x14ac:dyDescent="0.15">
      <c r="A8" s="15" t="s">
        <v>137</v>
      </c>
    </row>
    <row r="9" spans="1:38" x14ac:dyDescent="0.15">
      <c r="A9" s="48" t="s">
        <v>135</v>
      </c>
      <c r="B9">
        <f>IF(('BIFUbC-heavy-or-residual-oil'!B4+'BIFUbC-heavy-or-residual-oil'!B10) &gt; 0, 'BIFUbC-heavy-or-residual-oil'!B4/('BIFUbC-heavy-or-residual-oil'!B4+'BIFUbC-heavy-or-residual-oil'!B10), 0.5)</f>
        <v>0.5</v>
      </c>
      <c r="C9">
        <f>IF(('BIFUbC-heavy-or-residual-oil'!C4+'BIFUbC-heavy-or-residual-oil'!C10) &gt; 0, 'BIFUbC-heavy-or-residual-oil'!C4/('BIFUbC-heavy-or-residual-oil'!C4+'BIFUbC-heavy-or-residual-oil'!C10), 0.5)</f>
        <v>0.5</v>
      </c>
      <c r="D9">
        <f>IF(('BIFUbC-heavy-or-residual-oil'!D4+'BIFUbC-heavy-or-residual-oil'!D10) &gt; 0, 'BIFUbC-heavy-or-residual-oil'!D4/('BIFUbC-heavy-or-residual-oil'!D4+'BIFUbC-heavy-or-residual-oil'!D10), 0.5)</f>
        <v>0.5</v>
      </c>
      <c r="E9">
        <f>IF(('BIFUbC-heavy-or-residual-oil'!E4+'BIFUbC-heavy-or-residual-oil'!E10) &gt; 0, 'BIFUbC-heavy-or-residual-oil'!E4/('BIFUbC-heavy-or-residual-oil'!E4+'BIFUbC-heavy-or-residual-oil'!E10), 0.5)</f>
        <v>0.5</v>
      </c>
      <c r="F9">
        <f>IF(('BIFUbC-heavy-or-residual-oil'!F4+'BIFUbC-heavy-or-residual-oil'!F10) &gt; 0, 'BIFUbC-heavy-or-residual-oil'!F4/('BIFUbC-heavy-or-residual-oil'!F4+'BIFUbC-heavy-or-residual-oil'!F10), 0.5)</f>
        <v>0.5</v>
      </c>
      <c r="G9">
        <f>IF(('BIFUbC-heavy-or-residual-oil'!G4+'BIFUbC-heavy-or-residual-oil'!G10) &gt; 0, 'BIFUbC-heavy-or-residual-oil'!G4/('BIFUbC-heavy-or-residual-oil'!G4+'BIFUbC-heavy-or-residual-oil'!G10), 0.5)</f>
        <v>0.5</v>
      </c>
      <c r="H9">
        <f>IF(('BIFUbC-heavy-or-residual-oil'!H4+'BIFUbC-heavy-or-residual-oil'!H10) &gt; 0, 'BIFUbC-heavy-or-residual-oil'!H4/('BIFUbC-heavy-or-residual-oil'!H4+'BIFUbC-heavy-or-residual-oil'!H10), 0.5)</f>
        <v>0.5</v>
      </c>
      <c r="I9">
        <f>IF(('BIFUbC-heavy-or-residual-oil'!I4+'BIFUbC-heavy-or-residual-oil'!I10) &gt; 0, 'BIFUbC-heavy-or-residual-oil'!I4/('BIFUbC-heavy-or-residual-oil'!I4+'BIFUbC-heavy-or-residual-oil'!I10), 0.5)</f>
        <v>0.5</v>
      </c>
      <c r="J9">
        <f>IF(('BIFUbC-heavy-or-residual-oil'!J4+'BIFUbC-heavy-or-residual-oil'!J10) &gt; 0, 'BIFUbC-heavy-or-residual-oil'!J4/('BIFUbC-heavy-or-residual-oil'!J4+'BIFUbC-heavy-or-residual-oil'!J10), 0.5)</f>
        <v>0.5</v>
      </c>
      <c r="K9">
        <f>IF(('BIFUbC-heavy-or-residual-oil'!K4+'BIFUbC-heavy-or-residual-oil'!K10) &gt; 0, 'BIFUbC-heavy-or-residual-oil'!K4/('BIFUbC-heavy-or-residual-oil'!K4+'BIFUbC-heavy-or-residual-oil'!K10), 0.5)</f>
        <v>0.5</v>
      </c>
      <c r="L9">
        <f>IF(('BIFUbC-heavy-or-residual-oil'!L4+'BIFUbC-heavy-or-residual-oil'!L10) &gt; 0, 'BIFUbC-heavy-or-residual-oil'!L4/('BIFUbC-heavy-or-residual-oil'!L4+'BIFUbC-heavy-or-residual-oil'!L10), 0.5)</f>
        <v>0.5</v>
      </c>
      <c r="M9">
        <f>IF(('BIFUbC-heavy-or-residual-oil'!M4+'BIFUbC-heavy-or-residual-oil'!M10) &gt; 0, 'BIFUbC-heavy-or-residual-oil'!M4/('BIFUbC-heavy-or-residual-oil'!M4+'BIFUbC-heavy-or-residual-oil'!M10), 0.5)</f>
        <v>0.5</v>
      </c>
      <c r="N9">
        <f>IF(('BIFUbC-heavy-or-residual-oil'!N4+'BIFUbC-heavy-or-residual-oil'!N10) &gt; 0, 'BIFUbC-heavy-or-residual-oil'!N4/('BIFUbC-heavy-or-residual-oil'!N4+'BIFUbC-heavy-or-residual-oil'!N10), 0.5)</f>
        <v>0.5</v>
      </c>
      <c r="O9">
        <f>IF(('BIFUbC-heavy-or-residual-oil'!O4+'BIFUbC-heavy-or-residual-oil'!O10) &gt; 0, 'BIFUbC-heavy-or-residual-oil'!O4/('BIFUbC-heavy-or-residual-oil'!O4+'BIFUbC-heavy-or-residual-oil'!O10), 0.5)</f>
        <v>0.5</v>
      </c>
      <c r="P9">
        <f>IF(('BIFUbC-heavy-or-residual-oil'!P4+'BIFUbC-heavy-or-residual-oil'!P10) &gt; 0, 'BIFUbC-heavy-or-residual-oil'!P4/('BIFUbC-heavy-or-residual-oil'!P4+'BIFUbC-heavy-or-residual-oil'!P10), 0.5)</f>
        <v>0.5</v>
      </c>
      <c r="Q9">
        <f>IF(('BIFUbC-heavy-or-residual-oil'!Q4+'BIFUbC-heavy-or-residual-oil'!Q10) &gt; 0, 'BIFUbC-heavy-or-residual-oil'!Q4/('BIFUbC-heavy-or-residual-oil'!Q4+'BIFUbC-heavy-or-residual-oil'!Q10), 0.5)</f>
        <v>0.5</v>
      </c>
      <c r="R9">
        <f>IF(('BIFUbC-heavy-or-residual-oil'!R4+'BIFUbC-heavy-or-residual-oil'!R10) &gt; 0, 'BIFUbC-heavy-or-residual-oil'!R4/('BIFUbC-heavy-or-residual-oil'!R4+'BIFUbC-heavy-or-residual-oil'!R10), 0.5)</f>
        <v>0.5</v>
      </c>
      <c r="S9">
        <f>IF(('BIFUbC-heavy-or-residual-oil'!S4+'BIFUbC-heavy-or-residual-oil'!S10) &gt; 0, 'BIFUbC-heavy-or-residual-oil'!S4/('BIFUbC-heavy-or-residual-oil'!S4+'BIFUbC-heavy-or-residual-oil'!S10), 0.5)</f>
        <v>0.5</v>
      </c>
      <c r="T9">
        <f>IF(('BIFUbC-heavy-or-residual-oil'!T4+'BIFUbC-heavy-or-residual-oil'!T10) &gt; 0, 'BIFUbC-heavy-or-residual-oil'!T4/('BIFUbC-heavy-or-residual-oil'!T4+'BIFUbC-heavy-or-residual-oil'!T10), 0.5)</f>
        <v>0.5</v>
      </c>
      <c r="U9">
        <f>IF(('BIFUbC-heavy-or-residual-oil'!U4+'BIFUbC-heavy-or-residual-oil'!U10) &gt; 0, 'BIFUbC-heavy-or-residual-oil'!U4/('BIFUbC-heavy-or-residual-oil'!U4+'BIFUbC-heavy-or-residual-oil'!U10), 0.5)</f>
        <v>0.5</v>
      </c>
      <c r="V9">
        <f>IF(('BIFUbC-heavy-or-residual-oil'!V4+'BIFUbC-heavy-or-residual-oil'!V10) &gt; 0, 'BIFUbC-heavy-or-residual-oil'!V4/('BIFUbC-heavy-or-residual-oil'!V4+'BIFUbC-heavy-or-residual-oil'!V10), 0.5)</f>
        <v>0.5</v>
      </c>
      <c r="W9">
        <f>IF(('BIFUbC-heavy-or-residual-oil'!W4+'BIFUbC-heavy-or-residual-oil'!W10) &gt; 0, 'BIFUbC-heavy-or-residual-oil'!W4/('BIFUbC-heavy-or-residual-oil'!W4+'BIFUbC-heavy-or-residual-oil'!W10), 0.5)</f>
        <v>0.5</v>
      </c>
      <c r="X9">
        <f>IF(('BIFUbC-heavy-or-residual-oil'!X4+'BIFUbC-heavy-or-residual-oil'!X10) &gt; 0, 'BIFUbC-heavy-or-residual-oil'!X4/('BIFUbC-heavy-or-residual-oil'!X4+'BIFUbC-heavy-or-residual-oil'!X10), 0.5)</f>
        <v>0.5</v>
      </c>
      <c r="Y9">
        <f>IF(('BIFUbC-heavy-or-residual-oil'!Y4+'BIFUbC-heavy-or-residual-oil'!Y10) &gt; 0, 'BIFUbC-heavy-or-residual-oil'!Y4/('BIFUbC-heavy-or-residual-oil'!Y4+'BIFUbC-heavy-or-residual-oil'!Y10), 0.5)</f>
        <v>0.5</v>
      </c>
      <c r="Z9">
        <f>IF(('BIFUbC-heavy-or-residual-oil'!Z4+'BIFUbC-heavy-or-residual-oil'!Z10) &gt; 0, 'BIFUbC-heavy-or-residual-oil'!Z4/('BIFUbC-heavy-or-residual-oil'!Z4+'BIFUbC-heavy-or-residual-oil'!Z10), 0.5)</f>
        <v>0.5</v>
      </c>
      <c r="AA9">
        <f>IF(('BIFUbC-heavy-or-residual-oil'!AA4+'BIFUbC-heavy-or-residual-oil'!AA10) &gt; 0, 'BIFUbC-heavy-or-residual-oil'!AA4/('BIFUbC-heavy-or-residual-oil'!AA4+'BIFUbC-heavy-or-residual-oil'!AA10), 0.5)</f>
        <v>0.5</v>
      </c>
      <c r="AB9">
        <f>IF(('BIFUbC-heavy-or-residual-oil'!AB4+'BIFUbC-heavy-or-residual-oil'!AB10) &gt; 0, 'BIFUbC-heavy-or-residual-oil'!AB4/('BIFUbC-heavy-or-residual-oil'!AB4+'BIFUbC-heavy-or-residual-oil'!AB10), 0.5)</f>
        <v>0.5</v>
      </c>
      <c r="AC9">
        <f>IF(('BIFUbC-heavy-or-residual-oil'!AC4+'BIFUbC-heavy-or-residual-oil'!AC10) &gt; 0, 'BIFUbC-heavy-or-residual-oil'!AC4/('BIFUbC-heavy-or-residual-oil'!AC4+'BIFUbC-heavy-or-residual-oil'!AC10), 0.5)</f>
        <v>0.5</v>
      </c>
      <c r="AD9">
        <f>IF(('BIFUbC-heavy-or-residual-oil'!AD4+'BIFUbC-heavy-or-residual-oil'!AD10) &gt; 0, 'BIFUbC-heavy-or-residual-oil'!AD4/('BIFUbC-heavy-or-residual-oil'!AD4+'BIFUbC-heavy-or-residual-oil'!AD10), 0.5)</f>
        <v>0.5</v>
      </c>
      <c r="AE9">
        <f>IF(('BIFUbC-heavy-or-residual-oil'!AE4+'BIFUbC-heavy-or-residual-oil'!AE10) &gt; 0, 'BIFUbC-heavy-or-residual-oil'!AE4/('BIFUbC-heavy-or-residual-oil'!AE4+'BIFUbC-heavy-or-residual-oil'!AE10), 0.5)</f>
        <v>0.5</v>
      </c>
      <c r="AF9">
        <f>IF(('BIFUbC-heavy-or-residual-oil'!AF4+'BIFUbC-heavy-or-residual-oil'!AF10) &gt; 0, 'BIFUbC-heavy-or-residual-oil'!AF4/('BIFUbC-heavy-or-residual-oil'!AF4+'BIFUbC-heavy-or-residual-oil'!AF10), 0.5)</f>
        <v>0.5</v>
      </c>
    </row>
    <row r="10" spans="1:38" x14ac:dyDescent="0.15">
      <c r="A10" s="48" t="s">
        <v>136</v>
      </c>
      <c r="B10">
        <f>IF(('BIFUbC-heavy-or-residual-oil'!B8+'BIFUbC-heavy-or-residual-oil'!B14)&gt;0, 'BIFUbC-heavy-or-residual-oil'!B14/('BIFUbC-heavy-or-residual-oil'!B8+'BIFUbC-heavy-or-residual-oil'!B14), 0.5)</f>
        <v>0.5</v>
      </c>
      <c r="C10">
        <f>IF(('BIFUbC-heavy-or-residual-oil'!C8+'BIFUbC-heavy-or-residual-oil'!C14)&gt;0, 'BIFUbC-heavy-or-residual-oil'!C14/('BIFUbC-heavy-or-residual-oil'!C8+'BIFUbC-heavy-or-residual-oil'!C14), 0.5)</f>
        <v>0.5</v>
      </c>
      <c r="D10">
        <f>IF(('BIFUbC-heavy-or-residual-oil'!D8+'BIFUbC-heavy-or-residual-oil'!D14)&gt;0, 'BIFUbC-heavy-or-residual-oil'!D14/('BIFUbC-heavy-or-residual-oil'!D8+'BIFUbC-heavy-or-residual-oil'!D14), 0.5)</f>
        <v>0.5</v>
      </c>
      <c r="E10">
        <f>IF(('BIFUbC-heavy-or-residual-oil'!E8+'BIFUbC-heavy-or-residual-oil'!E14)&gt;0, 'BIFUbC-heavy-or-residual-oil'!E14/('BIFUbC-heavy-or-residual-oil'!E8+'BIFUbC-heavy-or-residual-oil'!E14), 0.5)</f>
        <v>0.5</v>
      </c>
      <c r="F10">
        <f>IF(('BIFUbC-heavy-or-residual-oil'!F8+'BIFUbC-heavy-or-residual-oil'!F14)&gt;0, 'BIFUbC-heavy-or-residual-oil'!F14/('BIFUbC-heavy-or-residual-oil'!F8+'BIFUbC-heavy-or-residual-oil'!F14), 0.5)</f>
        <v>0.5</v>
      </c>
      <c r="G10">
        <f>IF(('BIFUbC-heavy-or-residual-oil'!G8+'BIFUbC-heavy-or-residual-oil'!G14)&gt;0, 'BIFUbC-heavy-or-residual-oil'!G14/('BIFUbC-heavy-or-residual-oil'!G8+'BIFUbC-heavy-or-residual-oil'!G14), 0.5)</f>
        <v>0.5</v>
      </c>
      <c r="H10">
        <f>IF(('BIFUbC-heavy-or-residual-oil'!H8+'BIFUbC-heavy-or-residual-oil'!H14)&gt;0, 'BIFUbC-heavy-or-residual-oil'!H14/('BIFUbC-heavy-or-residual-oil'!H8+'BIFUbC-heavy-or-residual-oil'!H14), 0.5)</f>
        <v>0.5</v>
      </c>
      <c r="I10">
        <f>IF(('BIFUbC-heavy-or-residual-oil'!I8+'BIFUbC-heavy-or-residual-oil'!I14)&gt;0, 'BIFUbC-heavy-or-residual-oil'!I14/('BIFUbC-heavy-or-residual-oil'!I8+'BIFUbC-heavy-or-residual-oil'!I14), 0.5)</f>
        <v>0.5</v>
      </c>
      <c r="J10">
        <f>IF(('BIFUbC-heavy-or-residual-oil'!J8+'BIFUbC-heavy-or-residual-oil'!J14)&gt;0, 'BIFUbC-heavy-or-residual-oil'!J14/('BIFUbC-heavy-or-residual-oil'!J8+'BIFUbC-heavy-or-residual-oil'!J14), 0.5)</f>
        <v>0.5</v>
      </c>
      <c r="K10">
        <f>IF(('BIFUbC-heavy-or-residual-oil'!K8+'BIFUbC-heavy-or-residual-oil'!K14)&gt;0, 'BIFUbC-heavy-or-residual-oil'!K14/('BIFUbC-heavy-or-residual-oil'!K8+'BIFUbC-heavy-or-residual-oil'!K14), 0.5)</f>
        <v>0.5</v>
      </c>
      <c r="L10">
        <f>IF(('BIFUbC-heavy-or-residual-oil'!L8+'BIFUbC-heavy-or-residual-oil'!L14)&gt;0, 'BIFUbC-heavy-or-residual-oil'!L14/('BIFUbC-heavy-or-residual-oil'!L8+'BIFUbC-heavy-or-residual-oil'!L14), 0.5)</f>
        <v>0.5</v>
      </c>
      <c r="M10">
        <f>IF(('BIFUbC-heavy-or-residual-oil'!M8+'BIFUbC-heavy-or-residual-oil'!M14)&gt;0, 'BIFUbC-heavy-or-residual-oil'!M14/('BIFUbC-heavy-or-residual-oil'!M8+'BIFUbC-heavy-or-residual-oil'!M14), 0.5)</f>
        <v>0.5</v>
      </c>
      <c r="N10">
        <f>IF(('BIFUbC-heavy-or-residual-oil'!N8+'BIFUbC-heavy-or-residual-oil'!N14)&gt;0, 'BIFUbC-heavy-or-residual-oil'!N14/('BIFUbC-heavy-or-residual-oil'!N8+'BIFUbC-heavy-or-residual-oil'!N14), 0.5)</f>
        <v>0.5</v>
      </c>
      <c r="O10">
        <f>IF(('BIFUbC-heavy-or-residual-oil'!O8+'BIFUbC-heavy-or-residual-oil'!O14)&gt;0, 'BIFUbC-heavy-or-residual-oil'!O14/('BIFUbC-heavy-or-residual-oil'!O8+'BIFUbC-heavy-or-residual-oil'!O14), 0.5)</f>
        <v>0.5</v>
      </c>
      <c r="P10">
        <f>IF(('BIFUbC-heavy-or-residual-oil'!P8+'BIFUbC-heavy-or-residual-oil'!P14)&gt;0, 'BIFUbC-heavy-or-residual-oil'!P14/('BIFUbC-heavy-or-residual-oil'!P8+'BIFUbC-heavy-or-residual-oil'!P14), 0.5)</f>
        <v>0.5</v>
      </c>
      <c r="Q10">
        <f>IF(('BIFUbC-heavy-or-residual-oil'!Q8+'BIFUbC-heavy-or-residual-oil'!Q14)&gt;0, 'BIFUbC-heavy-or-residual-oil'!Q14/('BIFUbC-heavy-or-residual-oil'!Q8+'BIFUbC-heavy-or-residual-oil'!Q14), 0.5)</f>
        <v>0.5</v>
      </c>
      <c r="R10">
        <f>IF(('BIFUbC-heavy-or-residual-oil'!R8+'BIFUbC-heavy-or-residual-oil'!R14)&gt;0, 'BIFUbC-heavy-or-residual-oil'!R14/('BIFUbC-heavy-or-residual-oil'!R8+'BIFUbC-heavy-or-residual-oil'!R14), 0.5)</f>
        <v>0.5</v>
      </c>
      <c r="S10">
        <f>IF(('BIFUbC-heavy-or-residual-oil'!S8+'BIFUbC-heavy-or-residual-oil'!S14)&gt;0, 'BIFUbC-heavy-or-residual-oil'!S14/('BIFUbC-heavy-or-residual-oil'!S8+'BIFUbC-heavy-or-residual-oil'!S14), 0.5)</f>
        <v>0.5</v>
      </c>
      <c r="T10">
        <f>IF(('BIFUbC-heavy-or-residual-oil'!T8+'BIFUbC-heavy-or-residual-oil'!T14)&gt;0, 'BIFUbC-heavy-or-residual-oil'!T14/('BIFUbC-heavy-or-residual-oil'!T8+'BIFUbC-heavy-or-residual-oil'!T14), 0.5)</f>
        <v>0.5</v>
      </c>
      <c r="U10">
        <f>IF(('BIFUbC-heavy-or-residual-oil'!U8+'BIFUbC-heavy-or-residual-oil'!U14)&gt;0, 'BIFUbC-heavy-or-residual-oil'!U14/('BIFUbC-heavy-or-residual-oil'!U8+'BIFUbC-heavy-or-residual-oil'!U14), 0.5)</f>
        <v>0.5</v>
      </c>
      <c r="V10">
        <f>IF(('BIFUbC-heavy-or-residual-oil'!V8+'BIFUbC-heavy-or-residual-oil'!V14)&gt;0, 'BIFUbC-heavy-or-residual-oil'!V14/('BIFUbC-heavy-or-residual-oil'!V8+'BIFUbC-heavy-or-residual-oil'!V14), 0.5)</f>
        <v>0.5</v>
      </c>
      <c r="W10">
        <f>IF(('BIFUbC-heavy-or-residual-oil'!W8+'BIFUbC-heavy-or-residual-oil'!W14)&gt;0, 'BIFUbC-heavy-or-residual-oil'!W14/('BIFUbC-heavy-or-residual-oil'!W8+'BIFUbC-heavy-or-residual-oil'!W14), 0.5)</f>
        <v>0.5</v>
      </c>
      <c r="X10">
        <f>IF(('BIFUbC-heavy-or-residual-oil'!X8+'BIFUbC-heavy-or-residual-oil'!X14)&gt;0, 'BIFUbC-heavy-or-residual-oil'!X14/('BIFUbC-heavy-or-residual-oil'!X8+'BIFUbC-heavy-or-residual-oil'!X14), 0.5)</f>
        <v>0.5</v>
      </c>
      <c r="Y10">
        <f>IF(('BIFUbC-heavy-or-residual-oil'!Y8+'BIFUbC-heavy-or-residual-oil'!Y14)&gt;0, 'BIFUbC-heavy-or-residual-oil'!Y14/('BIFUbC-heavy-or-residual-oil'!Y8+'BIFUbC-heavy-or-residual-oil'!Y14), 0.5)</f>
        <v>0.5</v>
      </c>
      <c r="Z10">
        <f>IF(('BIFUbC-heavy-or-residual-oil'!Z8+'BIFUbC-heavy-or-residual-oil'!Z14)&gt;0, 'BIFUbC-heavy-or-residual-oil'!Z14/('BIFUbC-heavy-or-residual-oil'!Z8+'BIFUbC-heavy-or-residual-oil'!Z14), 0.5)</f>
        <v>0.5</v>
      </c>
      <c r="AA10">
        <f>IF(('BIFUbC-heavy-or-residual-oil'!AA8+'BIFUbC-heavy-or-residual-oil'!AA14)&gt;0, 'BIFUbC-heavy-or-residual-oil'!AA14/('BIFUbC-heavy-or-residual-oil'!AA8+'BIFUbC-heavy-or-residual-oil'!AA14), 0.5)</f>
        <v>0.5</v>
      </c>
      <c r="AB10">
        <f>IF(('BIFUbC-heavy-or-residual-oil'!AB8+'BIFUbC-heavy-or-residual-oil'!AB14)&gt;0, 'BIFUbC-heavy-or-residual-oil'!AB14/('BIFUbC-heavy-or-residual-oil'!AB8+'BIFUbC-heavy-or-residual-oil'!AB14), 0.5)</f>
        <v>0.5</v>
      </c>
      <c r="AC10">
        <f>IF(('BIFUbC-heavy-or-residual-oil'!AC8+'BIFUbC-heavy-or-residual-oil'!AC14)&gt;0, 'BIFUbC-heavy-or-residual-oil'!AC14/('BIFUbC-heavy-or-residual-oil'!AC8+'BIFUbC-heavy-or-residual-oil'!AC14), 0.5)</f>
        <v>0.5</v>
      </c>
      <c r="AD10">
        <f>IF(('BIFUbC-heavy-or-residual-oil'!AD8+'BIFUbC-heavy-or-residual-oil'!AD14)&gt;0, 'BIFUbC-heavy-or-residual-oil'!AD14/('BIFUbC-heavy-or-residual-oil'!AD8+'BIFUbC-heavy-or-residual-oil'!AD14), 0.5)</f>
        <v>0.5</v>
      </c>
      <c r="AE10">
        <f>IF(('BIFUbC-heavy-or-residual-oil'!AE8+'BIFUbC-heavy-or-residual-oil'!AE14)&gt;0, 'BIFUbC-heavy-or-residual-oil'!AE14/('BIFUbC-heavy-or-residual-oil'!AE8+'BIFUbC-heavy-or-residual-oil'!AE14), 0.5)</f>
        <v>0.5</v>
      </c>
      <c r="AF10">
        <f>IF(('BIFUbC-heavy-or-residual-oil'!AF8+'BIFUbC-heavy-or-residual-oil'!AF14)&gt;0, 'BIFUbC-heavy-or-residual-oil'!AF14/('BIFUbC-heavy-or-residual-oil'!AF8+'BIFUbC-heavy-or-residual-oil'!AF14), 0.5)</f>
        <v>0.5</v>
      </c>
    </row>
    <row r="12" spans="1:38" s="50" customFormat="1" ht="14.5" customHeight="1" x14ac:dyDescent="0.15">
      <c r="A12" s="49" t="s">
        <v>138</v>
      </c>
    </row>
    <row r="13" spans="1:38" s="48" customFormat="1" ht="14.25" customHeight="1" x14ac:dyDescent="0.2">
      <c r="B13" s="2" t="s">
        <v>139</v>
      </c>
      <c r="C13" s="2" t="s">
        <v>140</v>
      </c>
      <c r="D13" s="2" t="s">
        <v>141</v>
      </c>
      <c r="E13" s="2">
        <v>2018</v>
      </c>
      <c r="F13" s="2">
        <v>2019</v>
      </c>
      <c r="G13" s="2">
        <v>2020</v>
      </c>
      <c r="H13" s="2">
        <v>2021</v>
      </c>
      <c r="I13" s="2">
        <v>2022</v>
      </c>
      <c r="J13" s="2">
        <v>2023</v>
      </c>
      <c r="K13" s="2">
        <v>2024</v>
      </c>
      <c r="L13" s="2">
        <v>2025</v>
      </c>
      <c r="M13" s="2">
        <v>2026</v>
      </c>
      <c r="N13" s="2">
        <v>2027</v>
      </c>
      <c r="O13" s="2">
        <v>2028</v>
      </c>
      <c r="P13" s="2">
        <v>2029</v>
      </c>
      <c r="Q13" s="2">
        <v>2030</v>
      </c>
      <c r="R13" s="2">
        <v>2031</v>
      </c>
      <c r="S13" s="2">
        <v>2032</v>
      </c>
      <c r="T13" s="2">
        <v>2033</v>
      </c>
      <c r="U13" s="2">
        <v>2034</v>
      </c>
      <c r="V13" s="2">
        <v>2035</v>
      </c>
      <c r="W13" s="2">
        <v>2036</v>
      </c>
      <c r="X13" s="2">
        <v>2037</v>
      </c>
      <c r="Y13" s="2">
        <v>2038</v>
      </c>
      <c r="Z13" s="2">
        <v>2039</v>
      </c>
      <c r="AA13" s="2">
        <v>2040</v>
      </c>
      <c r="AB13" s="2">
        <v>2041</v>
      </c>
      <c r="AC13" s="2">
        <v>2042</v>
      </c>
      <c r="AD13" s="2">
        <v>2043</v>
      </c>
      <c r="AE13" s="2">
        <v>2044</v>
      </c>
      <c r="AF13" s="2">
        <v>2045</v>
      </c>
      <c r="AG13" s="2">
        <v>2046</v>
      </c>
      <c r="AH13" s="2">
        <v>2047</v>
      </c>
      <c r="AI13" s="2">
        <v>2048</v>
      </c>
      <c r="AJ13" s="2">
        <v>2049</v>
      </c>
      <c r="AK13" s="2">
        <v>2050</v>
      </c>
      <c r="AL13" s="51"/>
    </row>
    <row r="14" spans="1:38" s="48" customFormat="1" ht="14.25" customHeight="1" x14ac:dyDescent="0.2">
      <c r="A14" s="52" t="s">
        <v>142</v>
      </c>
      <c r="B14" s="53" t="s">
        <v>143</v>
      </c>
      <c r="C14" s="53" t="s">
        <v>144</v>
      </c>
      <c r="D14" s="53" t="s">
        <v>145</v>
      </c>
      <c r="E14" s="54">
        <v>31.7843941766345</v>
      </c>
      <c r="F14" s="54">
        <v>32.863005648967729</v>
      </c>
      <c r="G14" s="54">
        <v>33.03836816863496</v>
      </c>
      <c r="H14" s="54">
        <v>33.390033571550433</v>
      </c>
      <c r="I14" s="54">
        <v>33.884191249786738</v>
      </c>
      <c r="J14" s="54">
        <v>34.455067029363263</v>
      </c>
      <c r="K14" s="54">
        <v>34.998371504938113</v>
      </c>
      <c r="L14" s="54">
        <v>35.509650076772857</v>
      </c>
      <c r="M14" s="54">
        <v>35.965800362064712</v>
      </c>
      <c r="N14" s="54">
        <v>36.460309669592228</v>
      </c>
      <c r="O14" s="54">
        <v>36.992579862756607</v>
      </c>
      <c r="P14" s="54">
        <v>37.551673440373023</v>
      </c>
      <c r="Q14" s="54">
        <v>37.985281386840562</v>
      </c>
      <c r="R14" s="54">
        <v>38.376877561465591</v>
      </c>
      <c r="S14" s="54">
        <v>38.766019761909263</v>
      </c>
      <c r="T14" s="54">
        <v>39.127614533770597</v>
      </c>
      <c r="U14" s="54">
        <v>39.480058764430467</v>
      </c>
      <c r="V14" s="54">
        <v>39.811401958182458</v>
      </c>
      <c r="W14" s="54">
        <v>40.13300974352169</v>
      </c>
      <c r="X14" s="54">
        <v>40.449715011468541</v>
      </c>
      <c r="Y14" s="54">
        <v>40.767167516539338</v>
      </c>
      <c r="Z14" s="54">
        <v>41.100543694197469</v>
      </c>
      <c r="AA14" s="54">
        <v>41.357251644456142</v>
      </c>
      <c r="AB14" s="54">
        <v>41.651928667563922</v>
      </c>
      <c r="AC14" s="54">
        <v>41.97216519439651</v>
      </c>
      <c r="AD14" s="54">
        <v>42.32956028093178</v>
      </c>
      <c r="AE14" s="54">
        <v>42.708194292267763</v>
      </c>
      <c r="AF14" s="54">
        <v>43.120765975394669</v>
      </c>
      <c r="AG14" s="54">
        <v>43.576103112619172</v>
      </c>
      <c r="AH14" s="54">
        <v>44.072035732564977</v>
      </c>
      <c r="AI14" s="54">
        <v>44.578584127916891</v>
      </c>
      <c r="AJ14" s="54">
        <v>45.128153365685357</v>
      </c>
      <c r="AK14" s="54">
        <v>45.734640759767231</v>
      </c>
    </row>
    <row r="15" spans="1:38" s="48" customFormat="1" ht="14.25" customHeight="1" x14ac:dyDescent="0.2">
      <c r="A15" s="52" t="s">
        <v>134</v>
      </c>
      <c r="B15" s="53" t="s">
        <v>143</v>
      </c>
      <c r="C15" s="53" t="s">
        <v>144</v>
      </c>
      <c r="D15" s="53" t="s">
        <v>146</v>
      </c>
      <c r="E15" s="54">
        <v>26.819670502151531</v>
      </c>
      <c r="F15" s="54">
        <v>27.08871721987375</v>
      </c>
      <c r="G15" s="54">
        <v>27.360487394081751</v>
      </c>
      <c r="H15" s="54">
        <v>27.6342692263947</v>
      </c>
      <c r="I15" s="54">
        <v>27.9100335336379</v>
      </c>
      <c r="J15" s="54">
        <v>28.187800930752751</v>
      </c>
      <c r="K15" s="54">
        <v>28.467631878755711</v>
      </c>
      <c r="L15" s="54">
        <v>28.749607567342139</v>
      </c>
      <c r="M15" s="54">
        <v>29.033810788012062</v>
      </c>
      <c r="N15" s="54">
        <v>29.320313688320951</v>
      </c>
      <c r="O15" s="54">
        <v>29.60917520330597</v>
      </c>
      <c r="P15" s="54">
        <v>29.900444088487859</v>
      </c>
      <c r="Q15" s="54">
        <v>30.194162417303279</v>
      </c>
      <c r="R15" s="54">
        <v>30.49105666028473</v>
      </c>
      <c r="S15" s="54">
        <v>30.791150550679571</v>
      </c>
      <c r="T15" s="54">
        <v>31.094470627262901</v>
      </c>
      <c r="U15" s="54">
        <v>31.401046679809671</v>
      </c>
      <c r="V15" s="54">
        <v>31.710915274960659</v>
      </c>
      <c r="W15" s="54">
        <v>32.024125386233948</v>
      </c>
      <c r="X15" s="54">
        <v>32.340744156730423</v>
      </c>
      <c r="Y15" s="54">
        <v>32.660859154929582</v>
      </c>
      <c r="Z15" s="54">
        <v>32.984574308570117</v>
      </c>
      <c r="AA15" s="54">
        <v>33.311998673061247</v>
      </c>
      <c r="AB15" s="54">
        <v>33.643231114818121</v>
      </c>
      <c r="AC15" s="54">
        <v>33.978345904498212</v>
      </c>
      <c r="AD15" s="54">
        <v>34.31738441415645</v>
      </c>
      <c r="AE15" s="54">
        <v>34.660354548556477</v>
      </c>
      <c r="AF15" s="54">
        <v>35.007237076564373</v>
      </c>
      <c r="AG15" s="54">
        <v>35.357995042935947</v>
      </c>
      <c r="AH15" s="54">
        <v>35.712583909919822</v>
      </c>
      <c r="AI15" s="54">
        <v>36.070960514093798</v>
      </c>
      <c r="AJ15" s="54">
        <v>36.433090070706882</v>
      </c>
      <c r="AK15" s="54">
        <v>36.798950562053328</v>
      </c>
    </row>
    <row r="16" spans="1:38" s="48" customFormat="1" ht="14.25" customHeight="1" x14ac:dyDescent="0.2">
      <c r="A16" s="52" t="s">
        <v>147</v>
      </c>
      <c r="B16" s="53" t="s">
        <v>143</v>
      </c>
      <c r="C16" s="53" t="s">
        <v>144</v>
      </c>
      <c r="D16" s="53" t="s">
        <v>148</v>
      </c>
      <c r="E16" s="54">
        <v>1.6583322275510399</v>
      </c>
      <c r="F16" s="54">
        <v>1.67491554982655</v>
      </c>
      <c r="G16" s="54">
        <v>1.691664701533562</v>
      </c>
      <c r="H16" s="54">
        <v>1.7085813508236409</v>
      </c>
      <c r="I16" s="54">
        <v>1.725667165848388</v>
      </c>
      <c r="J16" s="54">
        <v>1.7429238337156181</v>
      </c>
      <c r="K16" s="54">
        <v>1.760353079445709</v>
      </c>
      <c r="L16" s="54">
        <v>1.7779566091028001</v>
      </c>
      <c r="M16" s="54">
        <v>1.795736176141641</v>
      </c>
      <c r="N16" s="54">
        <v>1.813693534017023</v>
      </c>
      <c r="O16" s="54">
        <v>1.8318304740962601</v>
      </c>
      <c r="P16" s="54">
        <v>1.8501487782685351</v>
      </c>
      <c r="Q16" s="54">
        <v>1.868650266335564</v>
      </c>
      <c r="R16" s="54">
        <v>1.887336767577199</v>
      </c>
      <c r="S16" s="54">
        <v>1.9062101302295511</v>
      </c>
      <c r="T16" s="54">
        <v>1.925272230963158</v>
      </c>
      <c r="U16" s="54">
        <v>1.9445249559266771</v>
      </c>
      <c r="V16" s="54">
        <v>1.9639702102250109</v>
      </c>
      <c r="W16" s="54">
        <v>1.983609908441226</v>
      </c>
      <c r="X16" s="54">
        <v>2.0034460030709158</v>
      </c>
      <c r="Y16" s="54">
        <v>2.0234804655659389</v>
      </c>
      <c r="Z16" s="54">
        <v>2.043715267378158</v>
      </c>
      <c r="AA16" s="54">
        <v>2.0641524273501042</v>
      </c>
      <c r="AB16" s="54">
        <v>2.0847939453680362</v>
      </c>
      <c r="AC16" s="54">
        <v>2.1056418876651559</v>
      </c>
      <c r="AD16" s="54">
        <v>2.1266983109965309</v>
      </c>
      <c r="AE16" s="54">
        <v>2.147965291073493</v>
      </c>
      <c r="AF16" s="54">
        <v>2.169444941519914</v>
      </c>
      <c r="AG16" s="54">
        <v>2.191139394915929</v>
      </c>
      <c r="AH16" s="54">
        <v>2.2130507838416769</v>
      </c>
      <c r="AI16" s="54">
        <v>2.2351812977461001</v>
      </c>
      <c r="AJ16" s="54">
        <v>2.2575331071218701</v>
      </c>
      <c r="AK16" s="54">
        <v>2.2801084393304651</v>
      </c>
    </row>
    <row r="17" spans="1:37" s="48" customFormat="1" ht="14.25" customHeight="1" x14ac:dyDescent="0.2">
      <c r="A17" s="52" t="s">
        <v>149</v>
      </c>
      <c r="B17" s="53" t="s">
        <v>143</v>
      </c>
      <c r="C17" s="53" t="s">
        <v>144</v>
      </c>
      <c r="D17" s="53" t="s">
        <v>150</v>
      </c>
      <c r="E17" s="54">
        <v>1.848141337933388</v>
      </c>
      <c r="F17" s="54">
        <v>1.866622751312722</v>
      </c>
      <c r="G17" s="54">
        <v>1.8852889788258489</v>
      </c>
      <c r="H17" s="54">
        <v>1.904141868708888</v>
      </c>
      <c r="I17" s="54">
        <v>1.9231832881542279</v>
      </c>
      <c r="J17" s="54">
        <v>1.9424151233105129</v>
      </c>
      <c r="K17" s="54">
        <v>1.961839269804561</v>
      </c>
      <c r="L17" s="54">
        <v>1.981457661175668</v>
      </c>
      <c r="M17" s="54">
        <v>2.0012722404413021</v>
      </c>
      <c r="N17" s="54">
        <v>2.0212849600970562</v>
      </c>
      <c r="O17" s="54">
        <v>2.0414978105510491</v>
      </c>
      <c r="P17" s="54">
        <v>2.0619127916895721</v>
      </c>
      <c r="Q17" s="54">
        <v>2.0825319223551269</v>
      </c>
      <c r="R17" s="54">
        <v>2.1033572403465199</v>
      </c>
      <c r="S17" s="54">
        <v>2.1243908118969541</v>
      </c>
      <c r="T17" s="54">
        <v>2.145634722195894</v>
      </c>
      <c r="U17" s="54">
        <v>2.167091065910943</v>
      </c>
      <c r="V17" s="54">
        <v>2.1887619756222398</v>
      </c>
      <c r="W17" s="54">
        <v>2.2106495933880539</v>
      </c>
      <c r="X17" s="54">
        <v>2.2327560897010499</v>
      </c>
      <c r="Y17" s="54">
        <v>2.2550836540101988</v>
      </c>
      <c r="Z17" s="54">
        <v>2.2776344852425461</v>
      </c>
      <c r="AA17" s="54">
        <v>2.3004108297158461</v>
      </c>
      <c r="AB17" s="54">
        <v>2.3234149432259779</v>
      </c>
      <c r="AC17" s="54">
        <v>2.3466490910469551</v>
      </c>
      <c r="AD17" s="54">
        <v>2.3701155858434588</v>
      </c>
      <c r="AE17" s="54">
        <v>2.3938167402801742</v>
      </c>
      <c r="AF17" s="54">
        <v>2.417754904934307</v>
      </c>
      <c r="AG17" s="54">
        <v>2.441932458817508</v>
      </c>
      <c r="AH17" s="54">
        <v>2.466351780941368</v>
      </c>
      <c r="AI17" s="54">
        <v>2.4910152977081781</v>
      </c>
      <c r="AJ17" s="54">
        <v>2.5159254544765228</v>
      </c>
      <c r="AK17" s="54">
        <v>2.5410847060830659</v>
      </c>
    </row>
    <row r="18" spans="1:37" s="48" customFormat="1" ht="14.25" customHeight="1" x14ac:dyDescent="0.2">
      <c r="A18" s="52" t="s">
        <v>147</v>
      </c>
      <c r="B18" s="53" t="s">
        <v>143</v>
      </c>
      <c r="C18" s="53" t="s">
        <v>144</v>
      </c>
      <c r="D18" s="53" t="s">
        <v>151</v>
      </c>
      <c r="E18" s="54">
        <v>5.9992522027183299E-5</v>
      </c>
      <c r="F18" s="54">
        <v>6.3932016112827717E-5</v>
      </c>
      <c r="G18" s="54">
        <v>6.8258680198282569E-5</v>
      </c>
      <c r="H18" s="54">
        <v>7.277105892555874E-5</v>
      </c>
      <c r="I18" s="54">
        <v>7.7238176909370082E-5</v>
      </c>
      <c r="J18" s="54">
        <v>8.1445609169146784E-5</v>
      </c>
      <c r="K18" s="54">
        <v>8.5234078384167732E-5</v>
      </c>
      <c r="L18" s="54">
        <v>8.8516088023429939E-5</v>
      </c>
      <c r="M18" s="54">
        <v>9.1269094696036246E-5</v>
      </c>
      <c r="N18" s="54">
        <v>9.3516394119765703E-5</v>
      </c>
      <c r="O18" s="54">
        <v>9.5309646939510567E-5</v>
      </c>
      <c r="P18" s="54">
        <v>9.671991892404224E-5</v>
      </c>
      <c r="Q18" s="54">
        <v>9.7835380073171206E-5</v>
      </c>
      <c r="R18" s="54">
        <v>9.8759777946277934E-5</v>
      </c>
      <c r="S18" s="54">
        <v>9.9606494948154613E-5</v>
      </c>
      <c r="T18" s="54">
        <v>1.004858515629443E-4</v>
      </c>
      <c r="U18" s="54">
        <v>1.0148705531438971E-4</v>
      </c>
      <c r="V18" s="54">
        <v>1.0266022448960249E-4</v>
      </c>
      <c r="W18" s="54">
        <v>1.0400635285197049E-4</v>
      </c>
      <c r="X18" s="54">
        <v>1.054812626580479E-4</v>
      </c>
      <c r="Y18" s="54">
        <v>1.07013110808864E-4</v>
      </c>
      <c r="Z18" s="54">
        <v>1.085258062195515E-4</v>
      </c>
      <c r="AA18" s="54">
        <v>1.099584343923568E-4</v>
      </c>
      <c r="AB18" s="54">
        <v>1.112750580061797E-4</v>
      </c>
      <c r="AC18" s="54">
        <v>1.1246566186757149E-4</v>
      </c>
      <c r="AD18" s="54">
        <v>1.135422201107046E-4</v>
      </c>
      <c r="AE18" s="54">
        <v>1.14533081938468E-4</v>
      </c>
      <c r="AF18" s="54">
        <v>1.1547688813906321E-4</v>
      </c>
      <c r="AG18" s="54">
        <v>1.164162035144921E-4</v>
      </c>
      <c r="AH18" s="54">
        <v>1.173910754269899E-4</v>
      </c>
      <c r="AI18" s="54">
        <v>1.184331246753739E-4</v>
      </c>
      <c r="AJ18" s="54">
        <v>1.1956107352188499E-4</v>
      </c>
      <c r="AK18" s="54">
        <v>1.2077860354861341E-4</v>
      </c>
    </row>
    <row r="19" spans="1:37" s="48" customFormat="1" ht="14.25" customHeight="1" x14ac:dyDescent="0.2">
      <c r="A19" s="52" t="s">
        <v>152</v>
      </c>
      <c r="B19" s="53" t="s">
        <v>143</v>
      </c>
      <c r="C19" s="53" t="s">
        <v>144</v>
      </c>
      <c r="D19" s="53" t="s">
        <v>153</v>
      </c>
      <c r="E19" s="54">
        <v>0.72929564195401198</v>
      </c>
      <c r="F19" s="54">
        <v>0.736588573161716</v>
      </c>
      <c r="G19" s="54">
        <v>0.7439544291319925</v>
      </c>
      <c r="H19" s="54">
        <v>0.75139396811555736</v>
      </c>
      <c r="I19" s="54">
        <v>0.7589078725380547</v>
      </c>
      <c r="J19" s="54">
        <v>0.76649691960646793</v>
      </c>
      <c r="K19" s="54">
        <v>0.77416185809337856</v>
      </c>
      <c r="L19" s="54">
        <v>0.78190346520577048</v>
      </c>
      <c r="M19" s="54">
        <v>0.78972248023809077</v>
      </c>
      <c r="N19" s="54">
        <v>0.79761968987545728</v>
      </c>
      <c r="O19" s="54">
        <v>0.80559587132485355</v>
      </c>
      <c r="P19" s="54">
        <v>0.81365181127139696</v>
      </c>
      <c r="Q19" s="54">
        <v>0.82178831535647257</v>
      </c>
      <c r="R19" s="54">
        <v>0.83000617974333213</v>
      </c>
      <c r="S19" s="54">
        <v>0.83830624798589659</v>
      </c>
      <c r="T19" s="54">
        <v>0.84668929729114939</v>
      </c>
      <c r="U19" s="54">
        <v>0.85515619016927946</v>
      </c>
      <c r="V19" s="54">
        <v>0.86370776069607336</v>
      </c>
      <c r="W19" s="54">
        <v>0.87234483346918656</v>
      </c>
      <c r="X19" s="54">
        <v>0.88106828047693964</v>
      </c>
      <c r="Y19" s="54">
        <v>0.88987896422952251</v>
      </c>
      <c r="Z19" s="54">
        <v>0.89877777567152572</v>
      </c>
      <c r="AA19" s="54">
        <v>0.90776554887873695</v>
      </c>
      <c r="AB19" s="54">
        <v>0.91684320323014812</v>
      </c>
      <c r="AC19" s="54">
        <v>0.92601162967035056</v>
      </c>
      <c r="AD19" s="54">
        <v>0.9352717570564707</v>
      </c>
      <c r="AE19" s="54">
        <v>0.94462447633309954</v>
      </c>
      <c r="AF19" s="54">
        <v>0.95407072583549757</v>
      </c>
      <c r="AG19" s="54">
        <v>0.96361144389892528</v>
      </c>
      <c r="AH19" s="54">
        <v>0.97324754990237539</v>
      </c>
      <c r="AI19" s="54">
        <v>0.98298002957177799</v>
      </c>
      <c r="AJ19" s="54">
        <v>0.99280983072052786</v>
      </c>
      <c r="AK19" s="54">
        <v>1.0027379390745459</v>
      </c>
    </row>
    <row r="20" spans="1:37" s="48" customFormat="1" ht="14.25" customHeight="1" x14ac:dyDescent="0.2">
      <c r="A20" s="52" t="s">
        <v>147</v>
      </c>
      <c r="B20" s="53" t="s">
        <v>143</v>
      </c>
      <c r="C20" s="53" t="s">
        <v>144</v>
      </c>
      <c r="D20" s="53" t="s">
        <v>154</v>
      </c>
      <c r="E20" s="54">
        <v>1.59839250848293</v>
      </c>
      <c r="F20" s="54">
        <v>1.6143764335677591</v>
      </c>
      <c r="G20" s="54">
        <v>1.6305201979034369</v>
      </c>
      <c r="H20" s="54">
        <v>1.6468253998824709</v>
      </c>
      <c r="I20" s="54">
        <v>1.6632936538775041</v>
      </c>
      <c r="J20" s="54">
        <v>1.679926590421398</v>
      </c>
      <c r="K20" s="54">
        <v>1.696725856320968</v>
      </c>
      <c r="L20" s="54">
        <v>1.7136931148844621</v>
      </c>
      <c r="M20" s="54">
        <v>1.730830046035297</v>
      </c>
      <c r="N20" s="54">
        <v>1.7481383464921429</v>
      </c>
      <c r="O20" s="54">
        <v>1.7656197299584859</v>
      </c>
      <c r="P20" s="54">
        <v>1.7832759272648</v>
      </c>
      <c r="Q20" s="54">
        <v>1.8011086865296759</v>
      </c>
      <c r="R20" s="54">
        <v>1.819119773396773</v>
      </c>
      <c r="S20" s="54">
        <v>1.8373109711296041</v>
      </c>
      <c r="T20" s="54">
        <v>1.8556840808484829</v>
      </c>
      <c r="U20" s="54">
        <v>1.874240921653745</v>
      </c>
      <c r="V20" s="54">
        <v>1.892983330872178</v>
      </c>
      <c r="W20" s="54">
        <v>1.911913164180236</v>
      </c>
      <c r="X20" s="54">
        <v>1.9310322958220389</v>
      </c>
      <c r="Y20" s="54">
        <v>1.9503426187799751</v>
      </c>
      <c r="Z20" s="54">
        <v>1.9698460449642581</v>
      </c>
      <c r="AA20" s="54">
        <v>1.9895445054120151</v>
      </c>
      <c r="AB20" s="54">
        <v>2.009439950467272</v>
      </c>
      <c r="AC20" s="54">
        <v>2.0295343499706182</v>
      </c>
      <c r="AD20" s="54">
        <v>2.0498296934771481</v>
      </c>
      <c r="AE20" s="54">
        <v>2.0703279904081282</v>
      </c>
      <c r="AF20" s="54">
        <v>2.09103127031638</v>
      </c>
      <c r="AG20" s="54">
        <v>2.1119415830189752</v>
      </c>
      <c r="AH20" s="54">
        <v>2.1330609988436682</v>
      </c>
      <c r="AI20" s="54">
        <v>2.154391608837412</v>
      </c>
      <c r="AJ20" s="54">
        <v>2.175935524927493</v>
      </c>
      <c r="AK20" s="54">
        <v>2.1976948801679428</v>
      </c>
    </row>
    <row r="21" spans="1:37" s="48" customFormat="1" ht="14.25" customHeight="1" x14ac:dyDescent="0.2">
      <c r="A21" s="52" t="s">
        <v>155</v>
      </c>
      <c r="B21" s="53" t="s">
        <v>143</v>
      </c>
      <c r="C21" s="53" t="s">
        <v>144</v>
      </c>
      <c r="D21" s="53" t="s">
        <v>156</v>
      </c>
      <c r="E21" s="54">
        <v>0</v>
      </c>
      <c r="F21" s="54">
        <v>0</v>
      </c>
      <c r="G21" s="54">
        <v>0</v>
      </c>
      <c r="H21" s="54">
        <v>0</v>
      </c>
      <c r="I21" s="54">
        <v>0</v>
      </c>
      <c r="J21" s="54">
        <v>0</v>
      </c>
      <c r="K21" s="54">
        <v>0</v>
      </c>
      <c r="L21" s="54">
        <v>0</v>
      </c>
      <c r="M21" s="54">
        <v>0</v>
      </c>
      <c r="N21" s="54">
        <v>0</v>
      </c>
      <c r="O21" s="54">
        <v>0</v>
      </c>
      <c r="P21" s="54">
        <v>0</v>
      </c>
      <c r="Q21" s="54">
        <v>0</v>
      </c>
      <c r="R21" s="54">
        <v>0</v>
      </c>
      <c r="S21" s="54">
        <v>0</v>
      </c>
      <c r="T21" s="54">
        <v>0</v>
      </c>
      <c r="U21" s="54">
        <v>0</v>
      </c>
      <c r="V21" s="54">
        <v>0</v>
      </c>
      <c r="W21" s="54">
        <v>0</v>
      </c>
      <c r="X21" s="54">
        <v>0</v>
      </c>
      <c r="Y21" s="54">
        <v>0</v>
      </c>
      <c r="Z21" s="54">
        <v>0</v>
      </c>
      <c r="AA21" s="54">
        <v>0</v>
      </c>
      <c r="AB21" s="54">
        <v>0</v>
      </c>
      <c r="AC21" s="54">
        <v>0</v>
      </c>
      <c r="AD21" s="54">
        <v>0</v>
      </c>
      <c r="AE21" s="54">
        <v>0</v>
      </c>
      <c r="AF21" s="54">
        <v>0</v>
      </c>
      <c r="AG21" s="54">
        <v>0</v>
      </c>
      <c r="AH21" s="54">
        <v>0</v>
      </c>
      <c r="AI21" s="54">
        <v>0</v>
      </c>
      <c r="AJ21" s="54">
        <v>0</v>
      </c>
      <c r="AK21" s="54">
        <v>0</v>
      </c>
    </row>
    <row r="22" spans="1:37" s="48" customFormat="1" ht="14.25" customHeight="1" x14ac:dyDescent="0.2">
      <c r="A22" s="52" t="s">
        <v>142</v>
      </c>
      <c r="B22" s="53" t="s">
        <v>143</v>
      </c>
      <c r="C22" s="53" t="s">
        <v>157</v>
      </c>
      <c r="D22" s="53" t="s">
        <v>145</v>
      </c>
      <c r="E22" s="54">
        <v>0</v>
      </c>
      <c r="F22" s="54">
        <v>0</v>
      </c>
      <c r="G22" s="54">
        <v>0</v>
      </c>
      <c r="H22" s="54">
        <v>0</v>
      </c>
      <c r="I22" s="54">
        <v>0</v>
      </c>
      <c r="J22" s="54">
        <v>0</v>
      </c>
      <c r="K22" s="54">
        <v>0</v>
      </c>
      <c r="L22" s="54">
        <v>0</v>
      </c>
      <c r="M22" s="54">
        <v>0</v>
      </c>
      <c r="N22" s="54">
        <v>0</v>
      </c>
      <c r="O22" s="54">
        <v>0</v>
      </c>
      <c r="P22" s="54">
        <v>0</v>
      </c>
      <c r="Q22" s="54">
        <v>0</v>
      </c>
      <c r="R22" s="54">
        <v>0</v>
      </c>
      <c r="S22" s="54">
        <v>0</v>
      </c>
      <c r="T22" s="54">
        <v>0</v>
      </c>
      <c r="U22" s="54">
        <v>0</v>
      </c>
      <c r="V22" s="54">
        <v>0</v>
      </c>
      <c r="W22" s="54">
        <v>0</v>
      </c>
      <c r="X22" s="54">
        <v>0</v>
      </c>
      <c r="Y22" s="54">
        <v>0</v>
      </c>
      <c r="Z22" s="54">
        <v>0</v>
      </c>
      <c r="AA22" s="54">
        <v>0</v>
      </c>
      <c r="AB22" s="54">
        <v>0</v>
      </c>
      <c r="AC22" s="54">
        <v>0</v>
      </c>
      <c r="AD22" s="54">
        <v>0</v>
      </c>
      <c r="AE22" s="54">
        <v>0</v>
      </c>
      <c r="AF22" s="54">
        <v>0</v>
      </c>
      <c r="AG22" s="54">
        <v>0</v>
      </c>
      <c r="AH22" s="54">
        <v>0</v>
      </c>
      <c r="AI22" s="54">
        <v>0</v>
      </c>
      <c r="AJ22" s="54">
        <v>0</v>
      </c>
      <c r="AK22" s="54">
        <v>0</v>
      </c>
    </row>
    <row r="23" spans="1:37" s="48" customFormat="1" ht="14.25" customHeight="1" x14ac:dyDescent="0.2">
      <c r="A23" s="52" t="s">
        <v>142</v>
      </c>
      <c r="B23" s="53" t="s">
        <v>143</v>
      </c>
      <c r="C23" s="53" t="s">
        <v>158</v>
      </c>
      <c r="D23" s="53" t="s">
        <v>145</v>
      </c>
      <c r="E23" s="54">
        <v>27.901939226205151</v>
      </c>
      <c r="F23" s="54">
        <v>28.175378234413209</v>
      </c>
      <c r="G23" s="54">
        <v>28.451496938562741</v>
      </c>
      <c r="H23" s="54">
        <v>28.730321602562888</v>
      </c>
      <c r="I23" s="54">
        <v>29.01187875571058</v>
      </c>
      <c r="J23" s="54">
        <v>29.296195173734191</v>
      </c>
      <c r="K23" s="54">
        <v>29.58329787879353</v>
      </c>
      <c r="L23" s="54">
        <v>29.873214205827161</v>
      </c>
      <c r="M23" s="54">
        <v>30.165971698291951</v>
      </c>
      <c r="N23" s="54">
        <v>30.461598221902069</v>
      </c>
      <c r="O23" s="54">
        <v>30.76012188880253</v>
      </c>
      <c r="P23" s="54">
        <v>31.061571086004491</v>
      </c>
      <c r="Q23" s="54">
        <v>31.36597447538529</v>
      </c>
      <c r="R23" s="54">
        <v>31.673361031600098</v>
      </c>
      <c r="S23" s="54">
        <v>31.983759966257839</v>
      </c>
      <c r="T23" s="54">
        <v>32.297200813223888</v>
      </c>
      <c r="U23" s="54">
        <v>32.613713381229502</v>
      </c>
      <c r="V23" s="54">
        <v>32.933327772828079</v>
      </c>
      <c r="W23" s="54">
        <v>33.256074384395113</v>
      </c>
      <c r="X23" s="54">
        <v>33.581983915606713</v>
      </c>
      <c r="Y23" s="54">
        <v>33.911087359960568</v>
      </c>
      <c r="Z23" s="54">
        <v>34.243416014255111</v>
      </c>
      <c r="AA23" s="54">
        <v>34.579001488067043</v>
      </c>
      <c r="AB23" s="54">
        <v>34.917875703751442</v>
      </c>
      <c r="AC23" s="54">
        <v>35.260070886963682</v>
      </c>
      <c r="AD23" s="54">
        <v>35.605619576137848</v>
      </c>
      <c r="AE23" s="54">
        <v>35.954554650920329</v>
      </c>
      <c r="AF23" s="54">
        <v>36.306909284780012</v>
      </c>
      <c r="AG23" s="54">
        <v>36.662717001876679</v>
      </c>
      <c r="AH23" s="54">
        <v>37.022011629670253</v>
      </c>
      <c r="AI23" s="54">
        <v>37.384827336833929</v>
      </c>
      <c r="AJ23" s="54">
        <v>37.751198652209347</v>
      </c>
      <c r="AK23" s="54">
        <v>38.121160398460759</v>
      </c>
    </row>
    <row r="24" spans="1:37" s="48" customFormat="1" ht="14.25" customHeight="1" x14ac:dyDescent="0.2">
      <c r="A24" s="52" t="s">
        <v>134</v>
      </c>
      <c r="B24" s="53" t="s">
        <v>143</v>
      </c>
      <c r="C24" s="53" t="s">
        <v>158</v>
      </c>
      <c r="D24" s="53" t="s">
        <v>146</v>
      </c>
      <c r="E24" s="54">
        <v>17.10279984076735</v>
      </c>
      <c r="F24" s="54">
        <v>17.224229721532421</v>
      </c>
      <c r="G24" s="54">
        <v>17.3465217523174</v>
      </c>
      <c r="H24" s="54">
        <v>17.46968205599681</v>
      </c>
      <c r="I24" s="54">
        <v>17.593716793357721</v>
      </c>
      <c r="J24" s="54">
        <v>17.71863219153413</v>
      </c>
      <c r="K24" s="54">
        <v>17.844434477660041</v>
      </c>
      <c r="L24" s="54">
        <v>17.971129964172651</v>
      </c>
      <c r="M24" s="54">
        <v>18.098724982465448</v>
      </c>
      <c r="N24" s="54">
        <v>18.227225930278841</v>
      </c>
      <c r="O24" s="54">
        <v>18.35663923378765</v>
      </c>
      <c r="P24" s="54">
        <v>18.486971376035491</v>
      </c>
      <c r="Q24" s="54">
        <v>18.618228868500371</v>
      </c>
      <c r="R24" s="54">
        <v>18.750418298485389</v>
      </c>
      <c r="S24" s="54">
        <v>18.883546262771791</v>
      </c>
      <c r="T24" s="54">
        <v>19.01761944344398</v>
      </c>
      <c r="U24" s="54">
        <v>19.15264454154266</v>
      </c>
      <c r="V24" s="54">
        <v>19.288628314977249</v>
      </c>
      <c r="W24" s="54">
        <v>19.42557757852634</v>
      </c>
      <c r="X24" s="54">
        <v>19.563499175402249</v>
      </c>
      <c r="Y24" s="54">
        <v>19.702400024643051</v>
      </c>
      <c r="Z24" s="54">
        <v>19.8422870642428</v>
      </c>
      <c r="AA24" s="54">
        <v>19.983167298542259</v>
      </c>
      <c r="AB24" s="54">
        <v>20.12504778875126</v>
      </c>
      <c r="AC24" s="54">
        <v>20.267935624514251</v>
      </c>
      <c r="AD24" s="54">
        <v>20.411837971300208</v>
      </c>
      <c r="AE24" s="54">
        <v>20.556762023012912</v>
      </c>
      <c r="AF24" s="54">
        <v>20.702715030424809</v>
      </c>
      <c r="AG24" s="54">
        <v>20.849704310655319</v>
      </c>
      <c r="AH24" s="54">
        <v>20.99773720925824</v>
      </c>
      <c r="AI24" s="54">
        <v>21.146821147612361</v>
      </c>
      <c r="AJ24" s="54">
        <v>21.296963575531159</v>
      </c>
      <c r="AK24" s="54">
        <v>21.448172018652969</v>
      </c>
    </row>
    <row r="25" spans="1:37" s="48" customFormat="1" ht="14.25" customHeight="1" x14ac:dyDescent="0.2">
      <c r="A25" s="52" t="s">
        <v>147</v>
      </c>
      <c r="B25" s="53" t="s">
        <v>143</v>
      </c>
      <c r="C25" s="53" t="s">
        <v>158</v>
      </c>
      <c r="D25" s="53" t="s">
        <v>148</v>
      </c>
      <c r="E25" s="54">
        <v>3.5963831440865922E-2</v>
      </c>
      <c r="F25" s="54">
        <v>3.5963831440865922E-2</v>
      </c>
      <c r="G25" s="54">
        <v>3.5963831440865922E-2</v>
      </c>
      <c r="H25" s="54">
        <v>3.5963831440865922E-2</v>
      </c>
      <c r="I25" s="54">
        <v>3.5963831440865922E-2</v>
      </c>
      <c r="J25" s="54">
        <v>3.5963831440865922E-2</v>
      </c>
      <c r="K25" s="54">
        <v>3.5963831440865922E-2</v>
      </c>
      <c r="L25" s="54">
        <v>3.5963831440865922E-2</v>
      </c>
      <c r="M25" s="54">
        <v>3.5963831440865922E-2</v>
      </c>
      <c r="N25" s="54">
        <v>3.5963831440865922E-2</v>
      </c>
      <c r="O25" s="54">
        <v>3.5963831440865922E-2</v>
      </c>
      <c r="P25" s="54">
        <v>3.5963831440865922E-2</v>
      </c>
      <c r="Q25" s="54">
        <v>3.5963831440865922E-2</v>
      </c>
      <c r="R25" s="54">
        <v>3.5963831440865922E-2</v>
      </c>
      <c r="S25" s="54">
        <v>3.5963831440865922E-2</v>
      </c>
      <c r="T25" s="54">
        <v>3.5963831440865922E-2</v>
      </c>
      <c r="U25" s="54">
        <v>3.5963831440865922E-2</v>
      </c>
      <c r="V25" s="54">
        <v>3.5963831440865922E-2</v>
      </c>
      <c r="W25" s="54">
        <v>3.5963831440865922E-2</v>
      </c>
      <c r="X25" s="54">
        <v>3.5963831440865922E-2</v>
      </c>
      <c r="Y25" s="54">
        <v>3.5963831440865922E-2</v>
      </c>
      <c r="Z25" s="54">
        <v>3.5963831440865922E-2</v>
      </c>
      <c r="AA25" s="54">
        <v>3.5963831440865922E-2</v>
      </c>
      <c r="AB25" s="54">
        <v>3.5963831440865922E-2</v>
      </c>
      <c r="AC25" s="54">
        <v>3.5963831440865922E-2</v>
      </c>
      <c r="AD25" s="54">
        <v>3.5963831440865922E-2</v>
      </c>
      <c r="AE25" s="54">
        <v>3.5963831440865922E-2</v>
      </c>
      <c r="AF25" s="54">
        <v>3.5963831440865922E-2</v>
      </c>
      <c r="AG25" s="54">
        <v>3.5963831440865922E-2</v>
      </c>
      <c r="AH25" s="54">
        <v>3.5963831440865922E-2</v>
      </c>
      <c r="AI25" s="54">
        <v>3.5963831440865922E-2</v>
      </c>
      <c r="AJ25" s="54">
        <v>3.5963831440865922E-2</v>
      </c>
      <c r="AK25" s="54">
        <v>3.5963831440865922E-2</v>
      </c>
    </row>
    <row r="26" spans="1:37" s="48" customFormat="1" ht="14.25" customHeight="1" x14ac:dyDescent="0.2">
      <c r="A26" s="52" t="s">
        <v>149</v>
      </c>
      <c r="B26" s="53" t="s">
        <v>143</v>
      </c>
      <c r="C26" s="53" t="s">
        <v>158</v>
      </c>
      <c r="D26" s="53" t="s">
        <v>150</v>
      </c>
      <c r="E26" s="54">
        <v>2.9470361875154021</v>
      </c>
      <c r="F26" s="54">
        <v>2.9470361875154021</v>
      </c>
      <c r="G26" s="54">
        <v>2.9470361875154021</v>
      </c>
      <c r="H26" s="54">
        <v>2.9470361875154021</v>
      </c>
      <c r="I26" s="54">
        <v>2.9470361875154021</v>
      </c>
      <c r="J26" s="54">
        <v>2.9470361875154021</v>
      </c>
      <c r="K26" s="54">
        <v>2.9470361875154021</v>
      </c>
      <c r="L26" s="54">
        <v>2.9470361875154021</v>
      </c>
      <c r="M26" s="54">
        <v>2.9470361875154021</v>
      </c>
      <c r="N26" s="54">
        <v>2.9470361875154021</v>
      </c>
      <c r="O26" s="54">
        <v>2.9470361875154021</v>
      </c>
      <c r="P26" s="54">
        <v>2.9470361875154021</v>
      </c>
      <c r="Q26" s="54">
        <v>2.9470361875154021</v>
      </c>
      <c r="R26" s="54">
        <v>2.9470361875154021</v>
      </c>
      <c r="S26" s="54">
        <v>2.9470361875154021</v>
      </c>
      <c r="T26" s="54">
        <v>2.9470361875154021</v>
      </c>
      <c r="U26" s="54">
        <v>2.9470361875154021</v>
      </c>
      <c r="V26" s="54">
        <v>2.9470361875154021</v>
      </c>
      <c r="W26" s="54">
        <v>2.9470361875154021</v>
      </c>
      <c r="X26" s="54">
        <v>2.9470361875154021</v>
      </c>
      <c r="Y26" s="54">
        <v>2.9470361875154021</v>
      </c>
      <c r="Z26" s="54">
        <v>2.9470361875154021</v>
      </c>
      <c r="AA26" s="54">
        <v>2.9470361875154021</v>
      </c>
      <c r="AB26" s="54">
        <v>2.9470361875154021</v>
      </c>
      <c r="AC26" s="54">
        <v>2.9470361875154021</v>
      </c>
      <c r="AD26" s="54">
        <v>2.9470361875154021</v>
      </c>
      <c r="AE26" s="54">
        <v>2.9470361875154021</v>
      </c>
      <c r="AF26" s="54">
        <v>2.9470361875154021</v>
      </c>
      <c r="AG26" s="54">
        <v>2.9470361875154021</v>
      </c>
      <c r="AH26" s="54">
        <v>2.9470361875154021</v>
      </c>
      <c r="AI26" s="54">
        <v>2.9470361875154021</v>
      </c>
      <c r="AJ26" s="54">
        <v>2.9470361875154021</v>
      </c>
      <c r="AK26" s="54">
        <v>2.9470361875154021</v>
      </c>
    </row>
    <row r="27" spans="1:37" s="48" customFormat="1" ht="14.25" customHeight="1" x14ac:dyDescent="0.2">
      <c r="A27" s="52" t="s">
        <v>147</v>
      </c>
      <c r="B27" s="53" t="s">
        <v>143</v>
      </c>
      <c r="C27" s="53" t="s">
        <v>158</v>
      </c>
      <c r="D27" s="53" t="s">
        <v>159</v>
      </c>
      <c r="E27" s="54">
        <v>0</v>
      </c>
      <c r="F27" s="54">
        <v>0</v>
      </c>
      <c r="G27" s="54">
        <v>0</v>
      </c>
      <c r="H27" s="54">
        <v>0</v>
      </c>
      <c r="I27" s="54">
        <v>0</v>
      </c>
      <c r="J27" s="54">
        <v>0</v>
      </c>
      <c r="K27" s="54">
        <v>0</v>
      </c>
      <c r="L27" s="54">
        <v>0</v>
      </c>
      <c r="M27" s="54">
        <v>0</v>
      </c>
      <c r="N27" s="54">
        <v>0</v>
      </c>
      <c r="O27" s="54">
        <v>0</v>
      </c>
      <c r="P27" s="54">
        <v>0</v>
      </c>
      <c r="Q27" s="54">
        <v>0</v>
      </c>
      <c r="R27" s="54">
        <v>0</v>
      </c>
      <c r="S27" s="54">
        <v>0</v>
      </c>
      <c r="T27" s="54">
        <v>0</v>
      </c>
      <c r="U27" s="54">
        <v>0</v>
      </c>
      <c r="V27" s="54">
        <v>0</v>
      </c>
      <c r="W27" s="54">
        <v>0</v>
      </c>
      <c r="X27" s="54">
        <v>0</v>
      </c>
      <c r="Y27" s="54">
        <v>0</v>
      </c>
      <c r="Z27" s="54">
        <v>0</v>
      </c>
      <c r="AA27" s="54">
        <v>0</v>
      </c>
      <c r="AB27" s="54">
        <v>0</v>
      </c>
      <c r="AC27" s="54">
        <v>0</v>
      </c>
      <c r="AD27" s="54">
        <v>0</v>
      </c>
      <c r="AE27" s="54">
        <v>0</v>
      </c>
      <c r="AF27" s="54">
        <v>0</v>
      </c>
      <c r="AG27" s="54">
        <v>0</v>
      </c>
      <c r="AH27" s="54">
        <v>0</v>
      </c>
      <c r="AI27" s="54">
        <v>0</v>
      </c>
      <c r="AJ27" s="54">
        <v>0</v>
      </c>
      <c r="AK27" s="54">
        <v>0</v>
      </c>
    </row>
    <row r="28" spans="1:37" s="48" customFormat="1" ht="14.25" customHeight="1" x14ac:dyDescent="0.2">
      <c r="A28" s="52" t="s">
        <v>147</v>
      </c>
      <c r="B28" s="53" t="s">
        <v>143</v>
      </c>
      <c r="C28" s="53" t="s">
        <v>158</v>
      </c>
      <c r="D28" s="53" t="s">
        <v>160</v>
      </c>
      <c r="E28" s="54">
        <v>0</v>
      </c>
      <c r="F28" s="54">
        <v>0</v>
      </c>
      <c r="G28" s="54">
        <v>0</v>
      </c>
      <c r="H28" s="54">
        <v>0</v>
      </c>
      <c r="I28" s="54">
        <v>0</v>
      </c>
      <c r="J28" s="54">
        <v>0</v>
      </c>
      <c r="K28" s="54">
        <v>0</v>
      </c>
      <c r="L28" s="54">
        <v>0</v>
      </c>
      <c r="M28" s="54">
        <v>0</v>
      </c>
      <c r="N28" s="54">
        <v>0</v>
      </c>
      <c r="O28" s="54">
        <v>0</v>
      </c>
      <c r="P28" s="54">
        <v>0</v>
      </c>
      <c r="Q28" s="54">
        <v>0</v>
      </c>
      <c r="R28" s="54">
        <v>0</v>
      </c>
      <c r="S28" s="54">
        <v>0</v>
      </c>
      <c r="T28" s="54">
        <v>0</v>
      </c>
      <c r="U28" s="54">
        <v>0</v>
      </c>
      <c r="V28" s="54">
        <v>0</v>
      </c>
      <c r="W28" s="54">
        <v>0</v>
      </c>
      <c r="X28" s="54">
        <v>0</v>
      </c>
      <c r="Y28" s="54">
        <v>0</v>
      </c>
      <c r="Z28" s="54">
        <v>0</v>
      </c>
      <c r="AA28" s="54">
        <v>0</v>
      </c>
      <c r="AB28" s="54">
        <v>0</v>
      </c>
      <c r="AC28" s="54">
        <v>0</v>
      </c>
      <c r="AD28" s="54">
        <v>0</v>
      </c>
      <c r="AE28" s="54">
        <v>0</v>
      </c>
      <c r="AF28" s="54">
        <v>0</v>
      </c>
      <c r="AG28" s="54">
        <v>0</v>
      </c>
      <c r="AH28" s="54">
        <v>0</v>
      </c>
      <c r="AI28" s="54">
        <v>0</v>
      </c>
      <c r="AJ28" s="54">
        <v>0</v>
      </c>
      <c r="AK28" s="54">
        <v>0</v>
      </c>
    </row>
    <row r="29" spans="1:37" s="48" customFormat="1" ht="14.25" customHeight="1" x14ac:dyDescent="0.2">
      <c r="A29" s="52" t="s">
        <v>147</v>
      </c>
      <c r="B29" s="53" t="s">
        <v>143</v>
      </c>
      <c r="C29" s="53" t="s">
        <v>158</v>
      </c>
      <c r="D29" s="53" t="s">
        <v>161</v>
      </c>
      <c r="E29" s="54">
        <v>1.791198604818683</v>
      </c>
      <c r="F29" s="54">
        <v>1.791198604818683</v>
      </c>
      <c r="G29" s="54">
        <v>1.791198604818683</v>
      </c>
      <c r="H29" s="54">
        <v>1.791198604818683</v>
      </c>
      <c r="I29" s="54">
        <v>1.791198604818683</v>
      </c>
      <c r="J29" s="54">
        <v>1.791198604818683</v>
      </c>
      <c r="K29" s="54">
        <v>1.791198604818683</v>
      </c>
      <c r="L29" s="54">
        <v>1.791198604818683</v>
      </c>
      <c r="M29" s="54">
        <v>1.791198604818683</v>
      </c>
      <c r="N29" s="54">
        <v>1.791198604818683</v>
      </c>
      <c r="O29" s="54">
        <v>1.791198604818683</v>
      </c>
      <c r="P29" s="54">
        <v>1.791198604818683</v>
      </c>
      <c r="Q29" s="54">
        <v>1.791198604818683</v>
      </c>
      <c r="R29" s="54">
        <v>1.791198604818683</v>
      </c>
      <c r="S29" s="54">
        <v>1.791198604818683</v>
      </c>
      <c r="T29" s="54">
        <v>1.791198604818683</v>
      </c>
      <c r="U29" s="54">
        <v>1.791198604818683</v>
      </c>
      <c r="V29" s="54">
        <v>1.791198604818683</v>
      </c>
      <c r="W29" s="54">
        <v>1.791198604818683</v>
      </c>
      <c r="X29" s="54">
        <v>1.791198604818683</v>
      </c>
      <c r="Y29" s="54">
        <v>1.791198604818683</v>
      </c>
      <c r="Z29" s="54">
        <v>1.791198604818683</v>
      </c>
      <c r="AA29" s="54">
        <v>1.791198604818683</v>
      </c>
      <c r="AB29" s="54">
        <v>1.791198604818683</v>
      </c>
      <c r="AC29" s="54">
        <v>1.791198604818683</v>
      </c>
      <c r="AD29" s="54">
        <v>1.791198604818683</v>
      </c>
      <c r="AE29" s="54">
        <v>1.791198604818683</v>
      </c>
      <c r="AF29" s="54">
        <v>1.791198604818683</v>
      </c>
      <c r="AG29" s="54">
        <v>1.791198604818683</v>
      </c>
      <c r="AH29" s="54">
        <v>1.791198604818683</v>
      </c>
      <c r="AI29" s="54">
        <v>1.791198604818683</v>
      </c>
      <c r="AJ29" s="54">
        <v>1.791198604818683</v>
      </c>
      <c r="AK29" s="54">
        <v>1.791198604818683</v>
      </c>
    </row>
    <row r="30" spans="1:37" s="48" customFormat="1" ht="14.25" customHeight="1" x14ac:dyDescent="0.2">
      <c r="A30" s="52" t="s">
        <v>152</v>
      </c>
      <c r="B30" s="53" t="s">
        <v>143</v>
      </c>
      <c r="C30" s="53" t="s">
        <v>158</v>
      </c>
      <c r="D30" s="53" t="s">
        <v>153</v>
      </c>
      <c r="E30" s="54">
        <v>8.9609880006824252</v>
      </c>
      <c r="F30" s="54">
        <v>9.0389486000796175</v>
      </c>
      <c r="G30" s="54">
        <v>9.1175874452637782</v>
      </c>
      <c r="H30" s="54">
        <v>9.1969104600686222</v>
      </c>
      <c r="I30" s="54">
        <v>9.2769235778060022</v>
      </c>
      <c r="J30" s="54">
        <v>9.3576328170909715</v>
      </c>
      <c r="K30" s="54">
        <v>9.4390442249729869</v>
      </c>
      <c r="L30" s="54">
        <v>9.5211639053703117</v>
      </c>
      <c r="M30" s="54">
        <v>9.6039980285481406</v>
      </c>
      <c r="N30" s="54">
        <v>9.6875528121623429</v>
      </c>
      <c r="O30" s="54">
        <v>9.7718345212593594</v>
      </c>
      <c r="P30" s="54">
        <v>9.8568494872329531</v>
      </c>
      <c r="Q30" s="54">
        <v>9.9426040793888504</v>
      </c>
      <c r="R30" s="54">
        <v>10.029104733380001</v>
      </c>
      <c r="S30" s="54">
        <v>10.116357941728429</v>
      </c>
      <c r="T30" s="54">
        <v>10.204370253824431</v>
      </c>
      <c r="U30" s="54">
        <v>10.293148275927431</v>
      </c>
      <c r="V30" s="54">
        <v>10.38269867116562</v>
      </c>
      <c r="W30" s="54">
        <v>10.47302815005782</v>
      </c>
      <c r="X30" s="54">
        <v>10.564143489469791</v>
      </c>
      <c r="Y30" s="54">
        <v>10.65605154209239</v>
      </c>
      <c r="Z30" s="54">
        <v>10.74875918905086</v>
      </c>
      <c r="AA30" s="54">
        <v>10.84227339677355</v>
      </c>
      <c r="AB30" s="54">
        <v>10.93660116960173</v>
      </c>
      <c r="AC30" s="54">
        <v>11.03174959717931</v>
      </c>
      <c r="AD30" s="54">
        <v>11.12772582601937</v>
      </c>
      <c r="AE30" s="54">
        <v>11.224537040547361</v>
      </c>
      <c r="AF30" s="54">
        <v>11.322190510492289</v>
      </c>
      <c r="AG30" s="54">
        <v>11.420693562451421</v>
      </c>
      <c r="AH30" s="54">
        <v>11.520053598847459</v>
      </c>
      <c r="AI30" s="54">
        <v>11.620278069493679</v>
      </c>
      <c r="AJ30" s="54">
        <v>11.7213744905503</v>
      </c>
      <c r="AK30" s="54">
        <v>11.823350444524481</v>
      </c>
    </row>
    <row r="31" spans="1:37" s="48" customFormat="1" ht="14.25" customHeight="1" x14ac:dyDescent="0.2">
      <c r="A31" s="52" t="s">
        <v>147</v>
      </c>
      <c r="B31" s="53" t="s">
        <v>143</v>
      </c>
      <c r="C31" s="53" t="s">
        <v>158</v>
      </c>
      <c r="D31" s="53" t="s">
        <v>162</v>
      </c>
      <c r="E31" s="54">
        <v>1.8980911038234789</v>
      </c>
      <c r="F31" s="54">
        <v>1.8980911038234789</v>
      </c>
      <c r="G31" s="54">
        <v>1.8980911038234789</v>
      </c>
      <c r="H31" s="54">
        <v>1.8980911038234789</v>
      </c>
      <c r="I31" s="54">
        <v>1.8980911038234789</v>
      </c>
      <c r="J31" s="54">
        <v>1.8980911038234789</v>
      </c>
      <c r="K31" s="54">
        <v>1.8980911038234789</v>
      </c>
      <c r="L31" s="54">
        <v>1.8980911038234789</v>
      </c>
      <c r="M31" s="54">
        <v>1.8980911038234789</v>
      </c>
      <c r="N31" s="54">
        <v>1.8980911038234789</v>
      </c>
      <c r="O31" s="54">
        <v>1.8980911038234789</v>
      </c>
      <c r="P31" s="54">
        <v>1.8980911038234789</v>
      </c>
      <c r="Q31" s="54">
        <v>1.8980911038234789</v>
      </c>
      <c r="R31" s="54">
        <v>1.8980911038234789</v>
      </c>
      <c r="S31" s="54">
        <v>1.8980911038234789</v>
      </c>
      <c r="T31" s="54">
        <v>1.8980911038234789</v>
      </c>
      <c r="U31" s="54">
        <v>1.8980911038234789</v>
      </c>
      <c r="V31" s="54">
        <v>1.8980911038234789</v>
      </c>
      <c r="W31" s="54">
        <v>1.8980911038234789</v>
      </c>
      <c r="X31" s="54">
        <v>1.8980911038234789</v>
      </c>
      <c r="Y31" s="54">
        <v>1.8980911038234789</v>
      </c>
      <c r="Z31" s="54">
        <v>1.8980911038234789</v>
      </c>
      <c r="AA31" s="54">
        <v>1.8980911038234789</v>
      </c>
      <c r="AB31" s="54">
        <v>1.8980911038234789</v>
      </c>
      <c r="AC31" s="54">
        <v>1.8980911038234789</v>
      </c>
      <c r="AD31" s="54">
        <v>1.8980911038234789</v>
      </c>
      <c r="AE31" s="54">
        <v>1.8980911038234789</v>
      </c>
      <c r="AF31" s="54">
        <v>1.8980911038234789</v>
      </c>
      <c r="AG31" s="54">
        <v>1.8980911038234789</v>
      </c>
      <c r="AH31" s="54">
        <v>1.8980911038234789</v>
      </c>
      <c r="AI31" s="54">
        <v>1.8980911038234789</v>
      </c>
      <c r="AJ31" s="54">
        <v>1.8980911038234789</v>
      </c>
      <c r="AK31" s="54">
        <v>1.8980911038234789</v>
      </c>
    </row>
    <row r="32" spans="1:37" s="48" customFormat="1" ht="14.25" customHeight="1" x14ac:dyDescent="0.2">
      <c r="A32" s="52" t="s">
        <v>147</v>
      </c>
      <c r="B32" s="53" t="s">
        <v>143</v>
      </c>
      <c r="C32" s="53" t="s">
        <v>158</v>
      </c>
      <c r="D32" s="53" t="s">
        <v>154</v>
      </c>
      <c r="E32" s="54">
        <v>0.53945747161298896</v>
      </c>
      <c r="F32" s="54">
        <v>0.53945747161298896</v>
      </c>
      <c r="G32" s="54">
        <v>0.53945747161298896</v>
      </c>
      <c r="H32" s="54">
        <v>0.53945747161298896</v>
      </c>
      <c r="I32" s="54">
        <v>0.53945747161298896</v>
      </c>
      <c r="J32" s="54">
        <v>0.53945747161298896</v>
      </c>
      <c r="K32" s="54">
        <v>0.53945747161298896</v>
      </c>
      <c r="L32" s="54">
        <v>0.53945747161298896</v>
      </c>
      <c r="M32" s="54">
        <v>0.53945747161298896</v>
      </c>
      <c r="N32" s="54">
        <v>0.53945747161298896</v>
      </c>
      <c r="O32" s="54">
        <v>0.53945747161298896</v>
      </c>
      <c r="P32" s="54">
        <v>0.53945747161298896</v>
      </c>
      <c r="Q32" s="54">
        <v>0.53945747161298896</v>
      </c>
      <c r="R32" s="54">
        <v>0.53945747161298896</v>
      </c>
      <c r="S32" s="54">
        <v>0.53945747161298896</v>
      </c>
      <c r="T32" s="54">
        <v>0.53945747161298896</v>
      </c>
      <c r="U32" s="54">
        <v>0.53945747161298896</v>
      </c>
      <c r="V32" s="54">
        <v>0.53945747161298896</v>
      </c>
      <c r="W32" s="54">
        <v>0.53945747161298896</v>
      </c>
      <c r="X32" s="54">
        <v>0.53945747161298896</v>
      </c>
      <c r="Y32" s="54">
        <v>0.53945747161298896</v>
      </c>
      <c r="Z32" s="54">
        <v>0.53945747161298896</v>
      </c>
      <c r="AA32" s="54">
        <v>0.53945747161298896</v>
      </c>
      <c r="AB32" s="54">
        <v>0.53945747161298896</v>
      </c>
      <c r="AC32" s="54">
        <v>0.53945747161298896</v>
      </c>
      <c r="AD32" s="54">
        <v>0.53945747161298896</v>
      </c>
      <c r="AE32" s="54">
        <v>0.53945747161298896</v>
      </c>
      <c r="AF32" s="54">
        <v>0.53945747161298896</v>
      </c>
      <c r="AG32" s="54">
        <v>0.53945747161298896</v>
      </c>
      <c r="AH32" s="54">
        <v>0.53945747161298896</v>
      </c>
      <c r="AI32" s="54">
        <v>0.53945747161298896</v>
      </c>
      <c r="AJ32" s="54">
        <v>0.53945747161298896</v>
      </c>
      <c r="AK32" s="54">
        <v>0.53945747161298896</v>
      </c>
    </row>
    <row r="33" spans="1:37" s="48" customFormat="1" ht="14.25" customHeight="1" x14ac:dyDescent="0.2">
      <c r="A33" s="52" t="s">
        <v>155</v>
      </c>
      <c r="B33" s="53" t="s">
        <v>143</v>
      </c>
      <c r="C33" s="53" t="s">
        <v>158</v>
      </c>
      <c r="D33" s="53" t="s">
        <v>156</v>
      </c>
      <c r="E33" s="54">
        <v>0</v>
      </c>
      <c r="F33" s="54">
        <v>0</v>
      </c>
      <c r="G33" s="54">
        <v>0</v>
      </c>
      <c r="H33" s="54">
        <v>0</v>
      </c>
      <c r="I33" s="54">
        <v>0</v>
      </c>
      <c r="J33" s="54">
        <v>0</v>
      </c>
      <c r="K33" s="54">
        <v>0</v>
      </c>
      <c r="L33" s="54">
        <v>0</v>
      </c>
      <c r="M33" s="54">
        <v>0</v>
      </c>
      <c r="N33" s="54">
        <v>0</v>
      </c>
      <c r="O33" s="54">
        <v>0</v>
      </c>
      <c r="P33" s="54">
        <v>0</v>
      </c>
      <c r="Q33" s="54">
        <v>0</v>
      </c>
      <c r="R33" s="54">
        <v>0</v>
      </c>
      <c r="S33" s="54">
        <v>0</v>
      </c>
      <c r="T33" s="54">
        <v>0</v>
      </c>
      <c r="U33" s="54">
        <v>0</v>
      </c>
      <c r="V33" s="54">
        <v>0</v>
      </c>
      <c r="W33" s="54">
        <v>0</v>
      </c>
      <c r="X33" s="54">
        <v>0</v>
      </c>
      <c r="Y33" s="54">
        <v>0</v>
      </c>
      <c r="Z33" s="54">
        <v>0</v>
      </c>
      <c r="AA33" s="54">
        <v>0</v>
      </c>
      <c r="AB33" s="54">
        <v>0</v>
      </c>
      <c r="AC33" s="54">
        <v>0</v>
      </c>
      <c r="AD33" s="54">
        <v>0</v>
      </c>
      <c r="AE33" s="54">
        <v>0</v>
      </c>
      <c r="AF33" s="54">
        <v>0</v>
      </c>
      <c r="AG33" s="54">
        <v>0</v>
      </c>
      <c r="AH33" s="54">
        <v>0</v>
      </c>
      <c r="AI33" s="54">
        <v>0</v>
      </c>
      <c r="AJ33" s="54">
        <v>0</v>
      </c>
      <c r="AK33" s="54">
        <v>0</v>
      </c>
    </row>
    <row r="34" spans="1:37" s="48" customFormat="1" ht="14.25" customHeight="1" x14ac:dyDescent="0.2">
      <c r="A34" s="52" t="s">
        <v>142</v>
      </c>
      <c r="B34" s="53" t="s">
        <v>143</v>
      </c>
      <c r="C34" s="53" t="s">
        <v>158</v>
      </c>
      <c r="D34" s="53" t="s">
        <v>163</v>
      </c>
      <c r="E34" s="54">
        <v>0</v>
      </c>
      <c r="F34" s="54">
        <v>0</v>
      </c>
      <c r="G34" s="54">
        <v>0</v>
      </c>
      <c r="H34" s="54">
        <v>0</v>
      </c>
      <c r="I34" s="54">
        <v>0</v>
      </c>
      <c r="J34" s="54">
        <v>0</v>
      </c>
      <c r="K34" s="54">
        <v>0</v>
      </c>
      <c r="L34" s="54">
        <v>0</v>
      </c>
      <c r="M34" s="54">
        <v>0</v>
      </c>
      <c r="N34" s="54">
        <v>0</v>
      </c>
      <c r="O34" s="54">
        <v>0</v>
      </c>
      <c r="P34" s="54">
        <v>0</v>
      </c>
      <c r="Q34" s="54">
        <v>0</v>
      </c>
      <c r="R34" s="54">
        <v>0</v>
      </c>
      <c r="S34" s="54">
        <v>0</v>
      </c>
      <c r="T34" s="54">
        <v>0</v>
      </c>
      <c r="U34" s="54">
        <v>0</v>
      </c>
      <c r="V34" s="54">
        <v>0</v>
      </c>
      <c r="W34" s="54">
        <v>0</v>
      </c>
      <c r="X34" s="54">
        <v>0</v>
      </c>
      <c r="Y34" s="54">
        <v>0</v>
      </c>
      <c r="Z34" s="54">
        <v>0</v>
      </c>
      <c r="AA34" s="54">
        <v>0</v>
      </c>
      <c r="AB34" s="54">
        <v>0</v>
      </c>
      <c r="AC34" s="54">
        <v>0</v>
      </c>
      <c r="AD34" s="54">
        <v>0</v>
      </c>
      <c r="AE34" s="54">
        <v>0</v>
      </c>
      <c r="AF34" s="54">
        <v>0</v>
      </c>
      <c r="AG34" s="54">
        <v>0</v>
      </c>
      <c r="AH34" s="54">
        <v>0</v>
      </c>
      <c r="AI34" s="54">
        <v>0</v>
      </c>
      <c r="AJ34" s="54">
        <v>0</v>
      </c>
      <c r="AK34" s="54">
        <v>0</v>
      </c>
    </row>
    <row r="35" spans="1:37" s="48" customFormat="1" ht="14.25" customHeight="1" x14ac:dyDescent="0.2">
      <c r="A35" s="52" t="s">
        <v>142</v>
      </c>
      <c r="B35" s="53" t="s">
        <v>143</v>
      </c>
      <c r="C35" s="53" t="s">
        <v>164</v>
      </c>
      <c r="D35" s="53" t="s">
        <v>145</v>
      </c>
      <c r="E35" s="54">
        <v>0</v>
      </c>
      <c r="F35" s="54">
        <v>0</v>
      </c>
      <c r="G35" s="54">
        <v>0</v>
      </c>
      <c r="H35" s="54">
        <v>0</v>
      </c>
      <c r="I35" s="54">
        <v>0</v>
      </c>
      <c r="J35" s="54">
        <v>0</v>
      </c>
      <c r="K35" s="54">
        <v>0</v>
      </c>
      <c r="L35" s="54">
        <v>0</v>
      </c>
      <c r="M35" s="54">
        <v>0</v>
      </c>
      <c r="N35" s="54">
        <v>0</v>
      </c>
      <c r="O35" s="54">
        <v>0</v>
      </c>
      <c r="P35" s="54">
        <v>0</v>
      </c>
      <c r="Q35" s="54">
        <v>0</v>
      </c>
      <c r="R35" s="54">
        <v>0</v>
      </c>
      <c r="S35" s="54">
        <v>0</v>
      </c>
      <c r="T35" s="54">
        <v>0</v>
      </c>
      <c r="U35" s="54">
        <v>0</v>
      </c>
      <c r="V35" s="54">
        <v>0</v>
      </c>
      <c r="W35" s="54">
        <v>0</v>
      </c>
      <c r="X35" s="54">
        <v>0</v>
      </c>
      <c r="Y35" s="54">
        <v>0</v>
      </c>
      <c r="Z35" s="54">
        <v>0</v>
      </c>
      <c r="AA35" s="54">
        <v>0</v>
      </c>
      <c r="AB35" s="54">
        <v>0</v>
      </c>
      <c r="AC35" s="54">
        <v>0</v>
      </c>
      <c r="AD35" s="54">
        <v>0</v>
      </c>
      <c r="AE35" s="54">
        <v>0</v>
      </c>
      <c r="AF35" s="54">
        <v>0</v>
      </c>
      <c r="AG35" s="54">
        <v>0</v>
      </c>
      <c r="AH35" s="54">
        <v>0</v>
      </c>
      <c r="AI35" s="54">
        <v>0</v>
      </c>
      <c r="AJ35" s="54">
        <v>0</v>
      </c>
      <c r="AK35" s="54">
        <v>0</v>
      </c>
    </row>
    <row r="36" spans="1:37" s="48" customFormat="1" ht="14.25" customHeight="1" x14ac:dyDescent="0.2">
      <c r="A36" s="52" t="s">
        <v>134</v>
      </c>
      <c r="B36" s="53" t="s">
        <v>143</v>
      </c>
      <c r="C36" s="53" t="s">
        <v>164</v>
      </c>
      <c r="D36" s="53" t="s">
        <v>146</v>
      </c>
      <c r="E36" s="54">
        <v>502.39474532254093</v>
      </c>
      <c r="F36" s="54">
        <v>440.09779690254493</v>
      </c>
      <c r="G36" s="54">
        <v>377.80084848255069</v>
      </c>
      <c r="H36" s="54">
        <v>315.50390006255572</v>
      </c>
      <c r="I36" s="54">
        <v>253.20695164255969</v>
      </c>
      <c r="J36" s="54">
        <v>190.91000322256551</v>
      </c>
      <c r="K36" s="54">
        <v>190.91000322256551</v>
      </c>
      <c r="L36" s="54">
        <v>190.91000322256551</v>
      </c>
      <c r="M36" s="54">
        <v>190.91000322256551</v>
      </c>
      <c r="N36" s="54">
        <v>190.91000322256551</v>
      </c>
      <c r="O36" s="54">
        <v>190.91000322256551</v>
      </c>
      <c r="P36" s="54">
        <v>190.91000322256551</v>
      </c>
      <c r="Q36" s="54">
        <v>190.91000322256551</v>
      </c>
      <c r="R36" s="54">
        <v>190.91000322256551</v>
      </c>
      <c r="S36" s="54">
        <v>190.91000322256551</v>
      </c>
      <c r="T36" s="54">
        <v>190.91000322256551</v>
      </c>
      <c r="U36" s="54">
        <v>190.91000322256551</v>
      </c>
      <c r="V36" s="54">
        <v>190.91000322256551</v>
      </c>
      <c r="W36" s="54">
        <v>190.91000322256551</v>
      </c>
      <c r="X36" s="54">
        <v>190.91000322256551</v>
      </c>
      <c r="Y36" s="54">
        <v>190.91000322256551</v>
      </c>
      <c r="Z36" s="54">
        <v>190.91000322256551</v>
      </c>
      <c r="AA36" s="54">
        <v>190.91000322256551</v>
      </c>
      <c r="AB36" s="54">
        <v>190.91000322256551</v>
      </c>
      <c r="AC36" s="54">
        <v>190.91000322256551</v>
      </c>
      <c r="AD36" s="54">
        <v>190.91000322256551</v>
      </c>
      <c r="AE36" s="54">
        <v>190.91000322256551</v>
      </c>
      <c r="AF36" s="54">
        <v>190.91000322256551</v>
      </c>
      <c r="AG36" s="54">
        <v>190.91000322256551</v>
      </c>
      <c r="AH36" s="54">
        <v>190.91000322256551</v>
      </c>
      <c r="AI36" s="54">
        <v>190.91000322256551</v>
      </c>
      <c r="AJ36" s="54">
        <v>190.91000322256551</v>
      </c>
      <c r="AK36" s="54">
        <v>190.91000322256551</v>
      </c>
    </row>
    <row r="37" spans="1:37" s="48" customFormat="1" ht="14.25" customHeight="1" x14ac:dyDescent="0.2">
      <c r="A37" s="52" t="s">
        <v>147</v>
      </c>
      <c r="B37" s="53" t="s">
        <v>143</v>
      </c>
      <c r="C37" s="53" t="s">
        <v>164</v>
      </c>
      <c r="D37" s="53" t="s">
        <v>148</v>
      </c>
      <c r="E37" s="54">
        <v>0</v>
      </c>
      <c r="F37" s="54">
        <v>0</v>
      </c>
      <c r="G37" s="54">
        <v>0</v>
      </c>
      <c r="H37" s="54">
        <v>0</v>
      </c>
      <c r="I37" s="54">
        <v>0</v>
      </c>
      <c r="J37" s="54">
        <v>0</v>
      </c>
      <c r="K37" s="54">
        <v>0</v>
      </c>
      <c r="L37" s="54">
        <v>0</v>
      </c>
      <c r="M37" s="54">
        <v>0</v>
      </c>
      <c r="N37" s="54">
        <v>0</v>
      </c>
      <c r="O37" s="54">
        <v>0</v>
      </c>
      <c r="P37" s="54">
        <v>0</v>
      </c>
      <c r="Q37" s="54">
        <v>0</v>
      </c>
      <c r="R37" s="54">
        <v>0</v>
      </c>
      <c r="S37" s="54">
        <v>0</v>
      </c>
      <c r="T37" s="54">
        <v>0</v>
      </c>
      <c r="U37" s="54">
        <v>0</v>
      </c>
      <c r="V37" s="54">
        <v>0</v>
      </c>
      <c r="W37" s="54">
        <v>0</v>
      </c>
      <c r="X37" s="54">
        <v>0</v>
      </c>
      <c r="Y37" s="54">
        <v>0</v>
      </c>
      <c r="Z37" s="54">
        <v>0</v>
      </c>
      <c r="AA37" s="54">
        <v>0</v>
      </c>
      <c r="AB37" s="54">
        <v>0</v>
      </c>
      <c r="AC37" s="54">
        <v>0</v>
      </c>
      <c r="AD37" s="54">
        <v>0</v>
      </c>
      <c r="AE37" s="54">
        <v>0</v>
      </c>
      <c r="AF37" s="54">
        <v>0</v>
      </c>
      <c r="AG37" s="54">
        <v>0</v>
      </c>
      <c r="AH37" s="54">
        <v>0</v>
      </c>
      <c r="AI37" s="54">
        <v>0</v>
      </c>
      <c r="AJ37" s="54">
        <v>0</v>
      </c>
      <c r="AK37" s="54">
        <v>0</v>
      </c>
    </row>
    <row r="38" spans="1:37" s="48" customFormat="1" ht="14.25" customHeight="1" x14ac:dyDescent="0.2">
      <c r="A38" s="52" t="s">
        <v>149</v>
      </c>
      <c r="B38" s="53" t="s">
        <v>143</v>
      </c>
      <c r="C38" s="53" t="s">
        <v>164</v>
      </c>
      <c r="D38" s="53" t="s">
        <v>150</v>
      </c>
      <c r="E38" s="54">
        <v>0</v>
      </c>
      <c r="F38" s="54">
        <v>0</v>
      </c>
      <c r="G38" s="54">
        <v>0</v>
      </c>
      <c r="H38" s="54">
        <v>0</v>
      </c>
      <c r="I38" s="54">
        <v>0</v>
      </c>
      <c r="J38" s="54">
        <v>0</v>
      </c>
      <c r="K38" s="54">
        <v>0</v>
      </c>
      <c r="L38" s="54">
        <v>0</v>
      </c>
      <c r="M38" s="54">
        <v>0</v>
      </c>
      <c r="N38" s="54">
        <v>0</v>
      </c>
      <c r="O38" s="54">
        <v>0</v>
      </c>
      <c r="P38" s="54">
        <v>0</v>
      </c>
      <c r="Q38" s="54">
        <v>0</v>
      </c>
      <c r="R38" s="54">
        <v>0</v>
      </c>
      <c r="S38" s="54">
        <v>0</v>
      </c>
      <c r="T38" s="54">
        <v>0</v>
      </c>
      <c r="U38" s="54">
        <v>0</v>
      </c>
      <c r="V38" s="54">
        <v>0</v>
      </c>
      <c r="W38" s="54">
        <v>0</v>
      </c>
      <c r="X38" s="54">
        <v>0</v>
      </c>
      <c r="Y38" s="54">
        <v>0</v>
      </c>
      <c r="Z38" s="54">
        <v>0</v>
      </c>
      <c r="AA38" s="54">
        <v>0</v>
      </c>
      <c r="AB38" s="54">
        <v>0</v>
      </c>
      <c r="AC38" s="54">
        <v>0</v>
      </c>
      <c r="AD38" s="54">
        <v>0</v>
      </c>
      <c r="AE38" s="54">
        <v>0</v>
      </c>
      <c r="AF38" s="54">
        <v>0</v>
      </c>
      <c r="AG38" s="54">
        <v>0</v>
      </c>
      <c r="AH38" s="54">
        <v>0</v>
      </c>
      <c r="AI38" s="54">
        <v>0</v>
      </c>
      <c r="AJ38" s="54">
        <v>0</v>
      </c>
      <c r="AK38" s="54">
        <v>0</v>
      </c>
    </row>
    <row r="39" spans="1:37" s="48" customFormat="1" ht="14.25" customHeight="1" x14ac:dyDescent="0.2">
      <c r="A39" s="52" t="s">
        <v>147</v>
      </c>
      <c r="B39" s="53" t="s">
        <v>143</v>
      </c>
      <c r="C39" s="53" t="s">
        <v>164</v>
      </c>
      <c r="D39" s="53" t="s">
        <v>159</v>
      </c>
      <c r="E39" s="54">
        <v>2.61337175136959</v>
      </c>
      <c r="F39" s="54">
        <v>2.289313654199761</v>
      </c>
      <c r="G39" s="54">
        <v>1.9652555570299319</v>
      </c>
      <c r="H39" s="54">
        <v>1.6411974598601029</v>
      </c>
      <c r="I39" s="54">
        <v>1.3171393626902641</v>
      </c>
      <c r="J39" s="54">
        <v>0.9930812655204444</v>
      </c>
      <c r="K39" s="54">
        <v>0.9930812655204444</v>
      </c>
      <c r="L39" s="54">
        <v>0.9930812655204444</v>
      </c>
      <c r="M39" s="54">
        <v>0.9930812655204444</v>
      </c>
      <c r="N39" s="54">
        <v>0.9930812655204444</v>
      </c>
      <c r="O39" s="54">
        <v>0.9930812655204444</v>
      </c>
      <c r="P39" s="54">
        <v>0.9930812655204444</v>
      </c>
      <c r="Q39" s="54">
        <v>0.9930812655204444</v>
      </c>
      <c r="R39" s="54">
        <v>0.9930812655204444</v>
      </c>
      <c r="S39" s="54">
        <v>0.9930812655204444</v>
      </c>
      <c r="T39" s="54">
        <v>0.9930812655204444</v>
      </c>
      <c r="U39" s="54">
        <v>0.9930812655204444</v>
      </c>
      <c r="V39" s="54">
        <v>0.9930812655204444</v>
      </c>
      <c r="W39" s="54">
        <v>0.9930812655204444</v>
      </c>
      <c r="X39" s="54">
        <v>0.9930812655204444</v>
      </c>
      <c r="Y39" s="54">
        <v>0.9930812655204444</v>
      </c>
      <c r="Z39" s="54">
        <v>0.9930812655204444</v>
      </c>
      <c r="AA39" s="54">
        <v>0.9930812655204444</v>
      </c>
      <c r="AB39" s="54">
        <v>0.9930812655204444</v>
      </c>
      <c r="AC39" s="54">
        <v>0.9930812655204444</v>
      </c>
      <c r="AD39" s="54">
        <v>0.9930812655204444</v>
      </c>
      <c r="AE39" s="54">
        <v>0.9930812655204444</v>
      </c>
      <c r="AF39" s="54">
        <v>0.9930812655204444</v>
      </c>
      <c r="AG39" s="54">
        <v>0.9930812655204444</v>
      </c>
      <c r="AH39" s="54">
        <v>0.9930812655204444</v>
      </c>
      <c r="AI39" s="54">
        <v>0.9930812655204444</v>
      </c>
      <c r="AJ39" s="54">
        <v>0.9930812655204444</v>
      </c>
      <c r="AK39" s="54">
        <v>0.9930812655204444</v>
      </c>
    </row>
    <row r="40" spans="1:37" s="48" customFormat="1" ht="14.25" customHeight="1" x14ac:dyDescent="0.2">
      <c r="A40" s="52" t="s">
        <v>147</v>
      </c>
      <c r="B40" s="53" t="s">
        <v>143</v>
      </c>
      <c r="C40" s="53" t="s">
        <v>164</v>
      </c>
      <c r="D40" s="53" t="s">
        <v>160</v>
      </c>
      <c r="E40" s="54">
        <v>10.87905901086194</v>
      </c>
      <c r="F40" s="54">
        <v>9.5300556935149672</v>
      </c>
      <c r="G40" s="54">
        <v>8.1810523761681804</v>
      </c>
      <c r="H40" s="54">
        <v>6.8320490588212994</v>
      </c>
      <c r="I40" s="54">
        <v>5.4830457414744176</v>
      </c>
      <c r="J40" s="54">
        <v>4.1340424241275384</v>
      </c>
      <c r="K40" s="54">
        <v>4.1340424241275384</v>
      </c>
      <c r="L40" s="54">
        <v>4.1340424241275384</v>
      </c>
      <c r="M40" s="54">
        <v>4.1340424241275384</v>
      </c>
      <c r="N40" s="54">
        <v>4.1340424241275384</v>
      </c>
      <c r="O40" s="54">
        <v>4.1340424241275384</v>
      </c>
      <c r="P40" s="54">
        <v>4.1340424241275384</v>
      </c>
      <c r="Q40" s="54">
        <v>4.1340424241275384</v>
      </c>
      <c r="R40" s="54">
        <v>4.1340424241275384</v>
      </c>
      <c r="S40" s="54">
        <v>4.1340424241275384</v>
      </c>
      <c r="T40" s="54">
        <v>4.1340424241275384</v>
      </c>
      <c r="U40" s="54">
        <v>4.1340424241275384</v>
      </c>
      <c r="V40" s="54">
        <v>4.1340424241275384</v>
      </c>
      <c r="W40" s="54">
        <v>4.1340424241275384</v>
      </c>
      <c r="X40" s="54">
        <v>4.1340424241275384</v>
      </c>
      <c r="Y40" s="54">
        <v>4.1340424241275384</v>
      </c>
      <c r="Z40" s="54">
        <v>4.1340424241275384</v>
      </c>
      <c r="AA40" s="54">
        <v>4.1340424241275384</v>
      </c>
      <c r="AB40" s="54">
        <v>4.1340424241275384</v>
      </c>
      <c r="AC40" s="54">
        <v>4.1340424241275384</v>
      </c>
      <c r="AD40" s="54">
        <v>4.1340424241275384</v>
      </c>
      <c r="AE40" s="54">
        <v>4.1340424241275384</v>
      </c>
      <c r="AF40" s="54">
        <v>4.1340424241275384</v>
      </c>
      <c r="AG40" s="54">
        <v>4.1340424241275384</v>
      </c>
      <c r="AH40" s="54">
        <v>4.1340424241275384</v>
      </c>
      <c r="AI40" s="54">
        <v>4.1340424241275384</v>
      </c>
      <c r="AJ40" s="54">
        <v>4.1340424241275384</v>
      </c>
      <c r="AK40" s="54">
        <v>4.1340424241275384</v>
      </c>
    </row>
    <row r="41" spans="1:37" s="48" customFormat="1" ht="14.25" customHeight="1" x14ac:dyDescent="0.2">
      <c r="A41" s="52" t="s">
        <v>147</v>
      </c>
      <c r="B41" s="53" t="s">
        <v>143</v>
      </c>
      <c r="C41" s="53" t="s">
        <v>164</v>
      </c>
      <c r="D41" s="53" t="s">
        <v>161</v>
      </c>
      <c r="E41" s="54">
        <v>0</v>
      </c>
      <c r="F41" s="54">
        <v>0</v>
      </c>
      <c r="G41" s="54">
        <v>0</v>
      </c>
      <c r="H41" s="54">
        <v>0</v>
      </c>
      <c r="I41" s="54">
        <v>0</v>
      </c>
      <c r="J41" s="54">
        <v>0</v>
      </c>
      <c r="K41" s="54">
        <v>0</v>
      </c>
      <c r="L41" s="54">
        <v>0</v>
      </c>
      <c r="M41" s="54">
        <v>0</v>
      </c>
      <c r="N41" s="54">
        <v>0</v>
      </c>
      <c r="O41" s="54">
        <v>0</v>
      </c>
      <c r="P41" s="54">
        <v>0</v>
      </c>
      <c r="Q41" s="54">
        <v>0</v>
      </c>
      <c r="R41" s="54">
        <v>0</v>
      </c>
      <c r="S41" s="54">
        <v>0</v>
      </c>
      <c r="T41" s="54">
        <v>0</v>
      </c>
      <c r="U41" s="54">
        <v>0</v>
      </c>
      <c r="V41" s="54">
        <v>0</v>
      </c>
      <c r="W41" s="54">
        <v>0</v>
      </c>
      <c r="X41" s="54">
        <v>0</v>
      </c>
      <c r="Y41" s="54">
        <v>0</v>
      </c>
      <c r="Z41" s="54">
        <v>0</v>
      </c>
      <c r="AA41" s="54">
        <v>0</v>
      </c>
      <c r="AB41" s="54">
        <v>0</v>
      </c>
      <c r="AC41" s="54">
        <v>0</v>
      </c>
      <c r="AD41" s="54">
        <v>0</v>
      </c>
      <c r="AE41" s="54">
        <v>0</v>
      </c>
      <c r="AF41" s="54">
        <v>0</v>
      </c>
      <c r="AG41" s="54">
        <v>0</v>
      </c>
      <c r="AH41" s="54">
        <v>0</v>
      </c>
      <c r="AI41" s="54">
        <v>0</v>
      </c>
      <c r="AJ41" s="54">
        <v>0</v>
      </c>
      <c r="AK41" s="54">
        <v>0</v>
      </c>
    </row>
    <row r="42" spans="1:37" s="48" customFormat="1" ht="14.25" customHeight="1" x14ac:dyDescent="0.2">
      <c r="A42" s="52" t="s">
        <v>152</v>
      </c>
      <c r="B42" s="53" t="s">
        <v>143</v>
      </c>
      <c r="C42" s="53" t="s">
        <v>164</v>
      </c>
      <c r="D42" s="53" t="s">
        <v>153</v>
      </c>
      <c r="E42" s="54">
        <v>0</v>
      </c>
      <c r="F42" s="54">
        <v>0</v>
      </c>
      <c r="G42" s="54">
        <v>0</v>
      </c>
      <c r="H42" s="54">
        <v>0</v>
      </c>
      <c r="I42" s="54">
        <v>0</v>
      </c>
      <c r="J42" s="54">
        <v>0</v>
      </c>
      <c r="K42" s="54">
        <v>0</v>
      </c>
      <c r="L42" s="54">
        <v>0</v>
      </c>
      <c r="M42" s="54">
        <v>0</v>
      </c>
      <c r="N42" s="54">
        <v>0</v>
      </c>
      <c r="O42" s="54">
        <v>0</v>
      </c>
      <c r="P42" s="54">
        <v>0</v>
      </c>
      <c r="Q42" s="54">
        <v>0</v>
      </c>
      <c r="R42" s="54">
        <v>0</v>
      </c>
      <c r="S42" s="54">
        <v>0</v>
      </c>
      <c r="T42" s="54">
        <v>0</v>
      </c>
      <c r="U42" s="54">
        <v>0</v>
      </c>
      <c r="V42" s="54">
        <v>0</v>
      </c>
      <c r="W42" s="54">
        <v>0</v>
      </c>
      <c r="X42" s="54">
        <v>0</v>
      </c>
      <c r="Y42" s="54">
        <v>0</v>
      </c>
      <c r="Z42" s="54">
        <v>0</v>
      </c>
      <c r="AA42" s="54">
        <v>0</v>
      </c>
      <c r="AB42" s="54">
        <v>0</v>
      </c>
      <c r="AC42" s="54">
        <v>0</v>
      </c>
      <c r="AD42" s="54">
        <v>0</v>
      </c>
      <c r="AE42" s="54">
        <v>0</v>
      </c>
      <c r="AF42" s="54">
        <v>0</v>
      </c>
      <c r="AG42" s="54">
        <v>0</v>
      </c>
      <c r="AH42" s="54">
        <v>0</v>
      </c>
      <c r="AI42" s="54">
        <v>0</v>
      </c>
      <c r="AJ42" s="54">
        <v>0</v>
      </c>
      <c r="AK42" s="54">
        <v>0</v>
      </c>
    </row>
    <row r="43" spans="1:37" s="48" customFormat="1" ht="14.25" customHeight="1" x14ac:dyDescent="0.2">
      <c r="A43" s="52" t="s">
        <v>147</v>
      </c>
      <c r="B43" s="53" t="s">
        <v>143</v>
      </c>
      <c r="C43" s="53" t="s">
        <v>164</v>
      </c>
      <c r="D43" s="53" t="s">
        <v>162</v>
      </c>
      <c r="E43" s="54">
        <v>0</v>
      </c>
      <c r="F43" s="54">
        <v>0</v>
      </c>
      <c r="G43" s="54">
        <v>0</v>
      </c>
      <c r="H43" s="54">
        <v>0</v>
      </c>
      <c r="I43" s="54">
        <v>0</v>
      </c>
      <c r="J43" s="54">
        <v>0</v>
      </c>
      <c r="K43" s="54">
        <v>0</v>
      </c>
      <c r="L43" s="54">
        <v>0</v>
      </c>
      <c r="M43" s="54">
        <v>0</v>
      </c>
      <c r="N43" s="54">
        <v>0</v>
      </c>
      <c r="O43" s="54">
        <v>0</v>
      </c>
      <c r="P43" s="54">
        <v>0</v>
      </c>
      <c r="Q43" s="54">
        <v>0</v>
      </c>
      <c r="R43" s="54">
        <v>0</v>
      </c>
      <c r="S43" s="54">
        <v>0</v>
      </c>
      <c r="T43" s="54">
        <v>0</v>
      </c>
      <c r="U43" s="54">
        <v>0</v>
      </c>
      <c r="V43" s="54">
        <v>0</v>
      </c>
      <c r="W43" s="54">
        <v>0</v>
      </c>
      <c r="X43" s="54">
        <v>0</v>
      </c>
      <c r="Y43" s="54">
        <v>0</v>
      </c>
      <c r="Z43" s="54">
        <v>0</v>
      </c>
      <c r="AA43" s="54">
        <v>0</v>
      </c>
      <c r="AB43" s="54">
        <v>0</v>
      </c>
      <c r="AC43" s="54">
        <v>0</v>
      </c>
      <c r="AD43" s="54">
        <v>0</v>
      </c>
      <c r="AE43" s="54">
        <v>0</v>
      </c>
      <c r="AF43" s="54">
        <v>0</v>
      </c>
      <c r="AG43" s="54">
        <v>0</v>
      </c>
      <c r="AH43" s="54">
        <v>0</v>
      </c>
      <c r="AI43" s="54">
        <v>0</v>
      </c>
      <c r="AJ43" s="54">
        <v>0</v>
      </c>
      <c r="AK43" s="54">
        <v>0</v>
      </c>
    </row>
    <row r="44" spans="1:37" s="48" customFormat="1" ht="14.25" customHeight="1" x14ac:dyDescent="0.2">
      <c r="A44" s="52" t="s">
        <v>147</v>
      </c>
      <c r="B44" s="53" t="s">
        <v>143</v>
      </c>
      <c r="C44" s="53" t="s">
        <v>164</v>
      </c>
      <c r="D44" s="53" t="s">
        <v>154</v>
      </c>
      <c r="E44" s="54">
        <v>0</v>
      </c>
      <c r="F44" s="54">
        <v>0</v>
      </c>
      <c r="G44" s="54">
        <v>0</v>
      </c>
      <c r="H44" s="54">
        <v>0</v>
      </c>
      <c r="I44" s="54">
        <v>0</v>
      </c>
      <c r="J44" s="54">
        <v>0</v>
      </c>
      <c r="K44" s="54">
        <v>0</v>
      </c>
      <c r="L44" s="54">
        <v>0</v>
      </c>
      <c r="M44" s="54">
        <v>0</v>
      </c>
      <c r="N44" s="54">
        <v>0</v>
      </c>
      <c r="O44" s="54">
        <v>0</v>
      </c>
      <c r="P44" s="54">
        <v>0</v>
      </c>
      <c r="Q44" s="54">
        <v>0</v>
      </c>
      <c r="R44" s="54">
        <v>0</v>
      </c>
      <c r="S44" s="54">
        <v>0</v>
      </c>
      <c r="T44" s="54">
        <v>0</v>
      </c>
      <c r="U44" s="54">
        <v>0</v>
      </c>
      <c r="V44" s="54">
        <v>0</v>
      </c>
      <c r="W44" s="54">
        <v>0</v>
      </c>
      <c r="X44" s="54">
        <v>0</v>
      </c>
      <c r="Y44" s="54">
        <v>0</v>
      </c>
      <c r="Z44" s="54">
        <v>0</v>
      </c>
      <c r="AA44" s="54">
        <v>0</v>
      </c>
      <c r="AB44" s="54">
        <v>0</v>
      </c>
      <c r="AC44" s="54">
        <v>0</v>
      </c>
      <c r="AD44" s="54">
        <v>0</v>
      </c>
      <c r="AE44" s="54">
        <v>0</v>
      </c>
      <c r="AF44" s="54">
        <v>0</v>
      </c>
      <c r="AG44" s="54">
        <v>0</v>
      </c>
      <c r="AH44" s="54">
        <v>0</v>
      </c>
      <c r="AI44" s="54">
        <v>0</v>
      </c>
      <c r="AJ44" s="54">
        <v>0</v>
      </c>
      <c r="AK44" s="54">
        <v>0</v>
      </c>
    </row>
    <row r="45" spans="1:37" s="48" customFormat="1" ht="14.25" customHeight="1" x14ac:dyDescent="0.2">
      <c r="A45" s="52" t="s">
        <v>155</v>
      </c>
      <c r="B45" s="53" t="s">
        <v>143</v>
      </c>
      <c r="C45" s="53" t="s">
        <v>164</v>
      </c>
      <c r="D45" s="53" t="s">
        <v>156</v>
      </c>
      <c r="E45" s="54">
        <v>0</v>
      </c>
      <c r="F45" s="54">
        <v>0</v>
      </c>
      <c r="G45" s="54">
        <v>0</v>
      </c>
      <c r="H45" s="54">
        <v>0</v>
      </c>
      <c r="I45" s="54">
        <v>0</v>
      </c>
      <c r="J45" s="54">
        <v>0</v>
      </c>
      <c r="K45" s="54">
        <v>0</v>
      </c>
      <c r="L45" s="54">
        <v>0</v>
      </c>
      <c r="M45" s="54">
        <v>0</v>
      </c>
      <c r="N45" s="54">
        <v>0</v>
      </c>
      <c r="O45" s="54">
        <v>0</v>
      </c>
      <c r="P45" s="54">
        <v>0</v>
      </c>
      <c r="Q45" s="54">
        <v>0</v>
      </c>
      <c r="R45" s="54">
        <v>0</v>
      </c>
      <c r="S45" s="54">
        <v>0</v>
      </c>
      <c r="T45" s="54">
        <v>0</v>
      </c>
      <c r="U45" s="54">
        <v>0</v>
      </c>
      <c r="V45" s="54">
        <v>0</v>
      </c>
      <c r="W45" s="54">
        <v>0</v>
      </c>
      <c r="X45" s="54">
        <v>0</v>
      </c>
      <c r="Y45" s="54">
        <v>0</v>
      </c>
      <c r="Z45" s="54">
        <v>0</v>
      </c>
      <c r="AA45" s="54">
        <v>0</v>
      </c>
      <c r="AB45" s="54">
        <v>0</v>
      </c>
      <c r="AC45" s="54">
        <v>0</v>
      </c>
      <c r="AD45" s="54">
        <v>0</v>
      </c>
      <c r="AE45" s="54">
        <v>0</v>
      </c>
      <c r="AF45" s="54">
        <v>0</v>
      </c>
      <c r="AG45" s="54">
        <v>0</v>
      </c>
      <c r="AH45" s="54">
        <v>0</v>
      </c>
      <c r="AI45" s="54">
        <v>0</v>
      </c>
      <c r="AJ45" s="54">
        <v>0</v>
      </c>
      <c r="AK45" s="54">
        <v>0</v>
      </c>
    </row>
    <row r="46" spans="1:37" s="48" customFormat="1" ht="14.25" customHeight="1" x14ac:dyDescent="0.2">
      <c r="A46" s="52" t="s">
        <v>142</v>
      </c>
      <c r="B46" s="53" t="s">
        <v>143</v>
      </c>
      <c r="C46" s="53" t="s">
        <v>164</v>
      </c>
      <c r="D46" s="53" t="s">
        <v>163</v>
      </c>
      <c r="E46" s="54">
        <v>0</v>
      </c>
      <c r="F46" s="54">
        <v>0</v>
      </c>
      <c r="G46" s="54">
        <v>0</v>
      </c>
      <c r="H46" s="54">
        <v>0</v>
      </c>
      <c r="I46" s="54">
        <v>0</v>
      </c>
      <c r="J46" s="54">
        <v>0</v>
      </c>
      <c r="K46" s="54">
        <v>0</v>
      </c>
      <c r="L46" s="54">
        <v>0</v>
      </c>
      <c r="M46" s="54">
        <v>0</v>
      </c>
      <c r="N46" s="54">
        <v>0</v>
      </c>
      <c r="O46" s="54">
        <v>0</v>
      </c>
      <c r="P46" s="54">
        <v>0</v>
      </c>
      <c r="Q46" s="54">
        <v>0</v>
      </c>
      <c r="R46" s="54">
        <v>0</v>
      </c>
      <c r="S46" s="54">
        <v>0</v>
      </c>
      <c r="T46" s="54">
        <v>0</v>
      </c>
      <c r="U46" s="54">
        <v>0</v>
      </c>
      <c r="V46" s="54">
        <v>0</v>
      </c>
      <c r="W46" s="54">
        <v>0</v>
      </c>
      <c r="X46" s="54">
        <v>0</v>
      </c>
      <c r="Y46" s="54">
        <v>0</v>
      </c>
      <c r="Z46" s="54">
        <v>0</v>
      </c>
      <c r="AA46" s="54">
        <v>0</v>
      </c>
      <c r="AB46" s="54">
        <v>0</v>
      </c>
      <c r="AC46" s="54">
        <v>0</v>
      </c>
      <c r="AD46" s="54">
        <v>0</v>
      </c>
      <c r="AE46" s="54">
        <v>0</v>
      </c>
      <c r="AF46" s="54">
        <v>0</v>
      </c>
      <c r="AG46" s="54">
        <v>0</v>
      </c>
      <c r="AH46" s="54">
        <v>0</v>
      </c>
      <c r="AI46" s="54">
        <v>0</v>
      </c>
      <c r="AJ46" s="54">
        <v>0</v>
      </c>
      <c r="AK46" s="54">
        <v>0</v>
      </c>
    </row>
    <row r="47" spans="1:37" s="48" customFormat="1" ht="14.25" customHeight="1" x14ac:dyDescent="0.2">
      <c r="A47" s="52" t="s">
        <v>142</v>
      </c>
      <c r="B47" s="53" t="s">
        <v>143</v>
      </c>
      <c r="C47" s="53" t="s">
        <v>165</v>
      </c>
      <c r="D47" s="53" t="s">
        <v>145</v>
      </c>
      <c r="E47" s="54">
        <v>25.06678285595131</v>
      </c>
      <c r="F47" s="54">
        <v>24.671238830019139</v>
      </c>
      <c r="G47" s="54">
        <v>24.581889826171022</v>
      </c>
      <c r="H47" s="54">
        <v>24.439770534377178</v>
      </c>
      <c r="I47" s="54">
        <v>24.30948111007903</v>
      </c>
      <c r="J47" s="54">
        <v>24.23670841468731</v>
      </c>
      <c r="K47" s="54">
        <v>24.166815062650461</v>
      </c>
      <c r="L47" s="54">
        <v>24.12429872234754</v>
      </c>
      <c r="M47" s="54">
        <v>24.103028074232729</v>
      </c>
      <c r="N47" s="54">
        <v>24.09962554736224</v>
      </c>
      <c r="O47" s="54">
        <v>24.115215627547251</v>
      </c>
      <c r="P47" s="54">
        <v>24.149065474949278</v>
      </c>
      <c r="Q47" s="54">
        <v>24.201922601558191</v>
      </c>
      <c r="R47" s="54">
        <v>24.27710406991071</v>
      </c>
      <c r="S47" s="54">
        <v>24.375758336018809</v>
      </c>
      <c r="T47" s="54">
        <v>24.498449727977562</v>
      </c>
      <c r="U47" s="54">
        <v>24.64414861714025</v>
      </c>
      <c r="V47" s="54">
        <v>24.808868652019768</v>
      </c>
      <c r="W47" s="54">
        <v>24.98698390612854</v>
      </c>
      <c r="X47" s="54">
        <v>25.175158531268359</v>
      </c>
      <c r="Y47" s="54">
        <v>25.372228157640311</v>
      </c>
      <c r="Z47" s="54">
        <v>25.576203922051828</v>
      </c>
      <c r="AA47" s="54">
        <v>25.784487327734912</v>
      </c>
      <c r="AB47" s="54">
        <v>25.995374452637751</v>
      </c>
      <c r="AC47" s="54">
        <v>26.207177582317581</v>
      </c>
      <c r="AD47" s="54">
        <v>26.418603785566681</v>
      </c>
      <c r="AE47" s="54">
        <v>26.62886874680111</v>
      </c>
      <c r="AF47" s="54">
        <v>26.837670881276871</v>
      </c>
      <c r="AG47" s="54">
        <v>27.045122684965769</v>
      </c>
      <c r="AH47" s="54">
        <v>27.251675032699541</v>
      </c>
      <c r="AI47" s="54">
        <v>27.458023410990741</v>
      </c>
      <c r="AJ47" s="54">
        <v>27.66500404716318</v>
      </c>
      <c r="AK47" s="54">
        <v>27.873486436790309</v>
      </c>
    </row>
    <row r="48" spans="1:37" s="48" customFormat="1" ht="14.25" customHeight="1" x14ac:dyDescent="0.2">
      <c r="A48" s="52" t="s">
        <v>134</v>
      </c>
      <c r="B48" s="53" t="s">
        <v>143</v>
      </c>
      <c r="C48" s="53" t="s">
        <v>165</v>
      </c>
      <c r="D48" s="53" t="s">
        <v>146</v>
      </c>
      <c r="E48" s="54">
        <v>35.767907995753802</v>
      </c>
      <c r="F48" s="54">
        <v>36.054705476465799</v>
      </c>
      <c r="G48" s="54">
        <v>36.341871448069313</v>
      </c>
      <c r="H48" s="54">
        <v>36.630995033457808</v>
      </c>
      <c r="I48" s="54">
        <v>36.922193638276497</v>
      </c>
      <c r="J48" s="54">
        <v>37.215553693628792</v>
      </c>
      <c r="K48" s="54">
        <v>37.511153981763961</v>
      </c>
      <c r="L48" s="54">
        <v>37.809080260838243</v>
      </c>
      <c r="M48" s="54">
        <v>38.109415284438803</v>
      </c>
      <c r="N48" s="54">
        <v>38.412228830587729</v>
      </c>
      <c r="O48" s="54">
        <v>38.717575455424253</v>
      </c>
      <c r="P48" s="54">
        <v>39.025503658559707</v>
      </c>
      <c r="Q48" s="54">
        <v>39.336064375485748</v>
      </c>
      <c r="R48" s="54">
        <v>39.649319868064282</v>
      </c>
      <c r="S48" s="54">
        <v>39.965346956571203</v>
      </c>
      <c r="T48" s="54">
        <v>40.284231730896813</v>
      </c>
      <c r="U48" s="54">
        <v>40.606058717039787</v>
      </c>
      <c r="V48" s="54">
        <v>40.930893617424601</v>
      </c>
      <c r="W48" s="54">
        <v>41.25876956760753</v>
      </c>
      <c r="X48" s="54">
        <v>41.589688226262012</v>
      </c>
      <c r="Y48" s="54">
        <v>41.92362959452533</v>
      </c>
      <c r="Z48" s="54">
        <v>42.260558821299263</v>
      </c>
      <c r="AA48" s="54">
        <v>42.600429634333587</v>
      </c>
      <c r="AB48" s="54">
        <v>42.943197296836203</v>
      </c>
      <c r="AC48" s="54">
        <v>43.288825602335407</v>
      </c>
      <c r="AD48" s="54">
        <v>43.63729099766838</v>
      </c>
      <c r="AE48" s="54">
        <v>43.988582421852783</v>
      </c>
      <c r="AF48" s="54">
        <v>44.342701249218052</v>
      </c>
      <c r="AG48" s="54">
        <v>44.699657934145833</v>
      </c>
      <c r="AH48" s="54">
        <v>45.059467063484547</v>
      </c>
      <c r="AI48" s="54">
        <v>45.422144456239373</v>
      </c>
      <c r="AJ48" s="54">
        <v>45.787704007355018</v>
      </c>
      <c r="AK48" s="54">
        <v>46.156155479309227</v>
      </c>
    </row>
    <row r="49" spans="1:37" s="48" customFormat="1" ht="14.25" customHeight="1" x14ac:dyDescent="0.2">
      <c r="A49" s="52" t="s">
        <v>147</v>
      </c>
      <c r="B49" s="53" t="s">
        <v>143</v>
      </c>
      <c r="C49" s="53" t="s">
        <v>165</v>
      </c>
      <c r="D49" s="53" t="s">
        <v>148</v>
      </c>
      <c r="E49" s="54">
        <v>10.842314181183999</v>
      </c>
      <c r="F49" s="54">
        <v>10.929179847591611</v>
      </c>
      <c r="G49" s="54">
        <v>11.01674046025818</v>
      </c>
      <c r="H49" s="54">
        <v>11.105001544935829</v>
      </c>
      <c r="I49" s="54">
        <v>11.19396872215798</v>
      </c>
      <c r="J49" s="54">
        <v>11.28364765037059</v>
      </c>
      <c r="K49" s="54">
        <v>11.37404401645404</v>
      </c>
      <c r="L49" s="54">
        <v>11.46516352624495</v>
      </c>
      <c r="M49" s="54">
        <v>11.557011999317581</v>
      </c>
      <c r="N49" s="54">
        <v>11.64959526472428</v>
      </c>
      <c r="O49" s="54">
        <v>11.742919198908121</v>
      </c>
      <c r="P49" s="54">
        <v>11.8369897257028</v>
      </c>
      <c r="Q49" s="54">
        <v>11.93181282581085</v>
      </c>
      <c r="R49" s="54">
        <v>12.027394489412931</v>
      </c>
      <c r="S49" s="54">
        <v>12.123740829905399</v>
      </c>
      <c r="T49" s="54">
        <v>12.220857932250301</v>
      </c>
      <c r="U49" s="54">
        <v>12.31875197619093</v>
      </c>
      <c r="V49" s="54">
        <v>12.41742915094866</v>
      </c>
      <c r="W49" s="54">
        <v>12.516895759482869</v>
      </c>
      <c r="X49" s="54">
        <v>12.617158095274201</v>
      </c>
      <c r="Y49" s="54">
        <v>12.71822254658503</v>
      </c>
      <c r="Z49" s="54">
        <v>12.820095492199499</v>
      </c>
      <c r="AA49" s="54">
        <v>12.922783424639359</v>
      </c>
      <c r="AB49" s="54">
        <v>13.0262928743389</v>
      </c>
      <c r="AC49" s="54">
        <v>13.13063042860121</v>
      </c>
      <c r="AD49" s="54">
        <v>13.235802741076339</v>
      </c>
      <c r="AE49" s="54">
        <v>13.341816484370559</v>
      </c>
      <c r="AF49" s="54">
        <v>13.448678435349549</v>
      </c>
      <c r="AG49" s="54">
        <v>13.55639550357326</v>
      </c>
      <c r="AH49" s="54">
        <v>13.6649746175573</v>
      </c>
      <c r="AI49" s="54">
        <v>13.774422838511461</v>
      </c>
      <c r="AJ49" s="54">
        <v>13.884747341383431</v>
      </c>
      <c r="AK49" s="54">
        <v>13.99595541485783</v>
      </c>
    </row>
    <row r="50" spans="1:37" s="48" customFormat="1" ht="14.25" customHeight="1" x14ac:dyDescent="0.2">
      <c r="A50" s="52" t="s">
        <v>147</v>
      </c>
      <c r="B50" s="53" t="s">
        <v>143</v>
      </c>
      <c r="C50" s="53" t="s">
        <v>165</v>
      </c>
      <c r="D50" s="53" t="s">
        <v>151</v>
      </c>
      <c r="E50" s="54">
        <v>0</v>
      </c>
      <c r="F50" s="54">
        <v>0</v>
      </c>
      <c r="G50" s="54">
        <v>0</v>
      </c>
      <c r="H50" s="54">
        <v>0</v>
      </c>
      <c r="I50" s="54">
        <v>0</v>
      </c>
      <c r="J50" s="54">
        <v>0</v>
      </c>
      <c r="K50" s="54">
        <v>0</v>
      </c>
      <c r="L50" s="54">
        <v>0</v>
      </c>
      <c r="M50" s="54">
        <v>0</v>
      </c>
      <c r="N50" s="54">
        <v>0</v>
      </c>
      <c r="O50" s="54">
        <v>0</v>
      </c>
      <c r="P50" s="54">
        <v>0</v>
      </c>
      <c r="Q50" s="54">
        <v>0</v>
      </c>
      <c r="R50" s="54">
        <v>0</v>
      </c>
      <c r="S50" s="54">
        <v>0</v>
      </c>
      <c r="T50" s="54">
        <v>0</v>
      </c>
      <c r="U50" s="54">
        <v>0</v>
      </c>
      <c r="V50" s="54">
        <v>0</v>
      </c>
      <c r="W50" s="54">
        <v>0</v>
      </c>
      <c r="X50" s="54">
        <v>0</v>
      </c>
      <c r="Y50" s="54">
        <v>0</v>
      </c>
      <c r="Z50" s="54">
        <v>0</v>
      </c>
      <c r="AA50" s="54">
        <v>0</v>
      </c>
      <c r="AB50" s="54">
        <v>0</v>
      </c>
      <c r="AC50" s="54">
        <v>0</v>
      </c>
      <c r="AD50" s="54">
        <v>0</v>
      </c>
      <c r="AE50" s="54">
        <v>0</v>
      </c>
      <c r="AF50" s="54">
        <v>0</v>
      </c>
      <c r="AG50" s="54">
        <v>0</v>
      </c>
      <c r="AH50" s="54">
        <v>0</v>
      </c>
      <c r="AI50" s="54">
        <v>0</v>
      </c>
      <c r="AJ50" s="54">
        <v>0</v>
      </c>
      <c r="AK50" s="54">
        <v>0</v>
      </c>
    </row>
    <row r="51" spans="1:37" s="48" customFormat="1" ht="14.25" customHeight="1" x14ac:dyDescent="0.2">
      <c r="A51" s="52" t="s">
        <v>152</v>
      </c>
      <c r="B51" s="53" t="s">
        <v>143</v>
      </c>
      <c r="C51" s="53" t="s">
        <v>165</v>
      </c>
      <c r="D51" s="53" t="s">
        <v>153</v>
      </c>
      <c r="E51" s="54">
        <v>3.7682122343752869E-3</v>
      </c>
      <c r="F51" s="54">
        <v>3.7983527003203608E-3</v>
      </c>
      <c r="G51" s="54">
        <v>3.828739597747995E-3</v>
      </c>
      <c r="H51" s="54">
        <v>3.8593729266582001E-3</v>
      </c>
      <c r="I51" s="54">
        <v>3.890243208917028E-3</v>
      </c>
      <c r="J51" s="54">
        <v>3.9213694007923716E-3</v>
      </c>
      <c r="K51" s="54">
        <v>3.9527420241502759E-3</v>
      </c>
      <c r="L51" s="54">
        <v>3.9843610789907684E-3</v>
      </c>
      <c r="M51" s="54">
        <v>4.0162360434477674E-3</v>
      </c>
      <c r="N51" s="54">
        <v>4.0483669175212693E-3</v>
      </c>
      <c r="O51" s="54">
        <v>4.0807537012113046E-3</v>
      </c>
      <c r="P51" s="54">
        <v>4.1133963945178473E-3</v>
      </c>
      <c r="Q51" s="54">
        <v>4.1463044755748494E-3</v>
      </c>
      <c r="R51" s="54">
        <v>4.1794779443823007E-3</v>
      </c>
      <c r="S51" s="54">
        <v>4.2129168009402314E-3</v>
      </c>
      <c r="T51" s="54">
        <v>4.2466210452486112E-3</v>
      </c>
      <c r="U51" s="54">
        <v>4.2805906773074522E-3</v>
      </c>
      <c r="V51" s="54">
        <v>4.3148351752506971E-3</v>
      </c>
      <c r="W51" s="54">
        <v>4.3493545390783459E-3</v>
      </c>
      <c r="X51" s="54">
        <v>4.3841487687904012E-3</v>
      </c>
      <c r="Y51" s="54">
        <v>4.4192178643868594E-3</v>
      </c>
      <c r="Z51" s="54">
        <v>4.4545713040016694E-3</v>
      </c>
      <c r="AA51" s="54">
        <v>4.4902090876348267E-3</v>
      </c>
      <c r="AB51" s="54">
        <v>4.5261312152863348E-3</v>
      </c>
      <c r="AC51" s="54">
        <v>4.5623471650901373E-3</v>
      </c>
      <c r="AD51" s="54">
        <v>4.5988379807783454E-3</v>
      </c>
      <c r="AE51" s="54">
        <v>4.6356320967527922E-3</v>
      </c>
      <c r="AF51" s="54">
        <v>4.6727200348795333E-3</v>
      </c>
      <c r="AG51" s="54">
        <v>4.7101017951585687E-3</v>
      </c>
      <c r="AH51" s="54">
        <v>4.7477773775899002E-3</v>
      </c>
      <c r="AI51" s="54">
        <v>4.785765738441407E-3</v>
      </c>
      <c r="AJ51" s="54">
        <v>4.8240479214452263E-3</v>
      </c>
      <c r="AK51" s="54">
        <v>4.8626428828692217E-3</v>
      </c>
    </row>
    <row r="52" spans="1:37" s="48" customFormat="1" ht="14.25" customHeight="1" x14ac:dyDescent="0.2">
      <c r="A52" s="52" t="s">
        <v>147</v>
      </c>
      <c r="B52" s="53" t="s">
        <v>143</v>
      </c>
      <c r="C52" s="53" t="s">
        <v>165</v>
      </c>
      <c r="D52" s="53" t="s">
        <v>154</v>
      </c>
      <c r="E52" s="54">
        <v>4.4243870525088624</v>
      </c>
      <c r="F52" s="54">
        <v>4.4600553595814434</v>
      </c>
      <c r="G52" s="54">
        <v>4.4960089995071364</v>
      </c>
      <c r="H52" s="54">
        <v>4.5322502834056833</v>
      </c>
      <c r="I52" s="54">
        <v>4.5687814951756298</v>
      </c>
      <c r="J52" s="54">
        <v>4.6056049696320596</v>
      </c>
      <c r="K52" s="54">
        <v>4.6427230275150144</v>
      </c>
      <c r="L52" s="54">
        <v>4.6801380210888492</v>
      </c>
      <c r="M52" s="54">
        <v>4.7178523145508313</v>
      </c>
      <c r="N52" s="54">
        <v>4.7558683619888917</v>
      </c>
      <c r="O52" s="54">
        <v>4.7941885175629819</v>
      </c>
      <c r="P52" s="54">
        <v>4.8328152597008707</v>
      </c>
      <c r="Q52" s="54">
        <v>4.8717510067294754</v>
      </c>
      <c r="R52" s="54">
        <v>4.9109982173999578</v>
      </c>
      <c r="S52" s="54">
        <v>4.9505594422876422</v>
      </c>
      <c r="T52" s="54">
        <v>4.990437152948628</v>
      </c>
      <c r="U52" s="54">
        <v>5.0306338680738536</v>
      </c>
      <c r="V52" s="54">
        <v>5.0711521390157914</v>
      </c>
      <c r="W52" s="54">
        <v>5.1119945660057136</v>
      </c>
      <c r="X52" s="54">
        <v>5.1531637596913837</v>
      </c>
      <c r="Y52" s="54">
        <v>5.1946622847610548</v>
      </c>
      <c r="Z52" s="54">
        <v>5.236492805669819</v>
      </c>
      <c r="AA52" s="54">
        <v>5.2786579436240588</v>
      </c>
      <c r="AB52" s="54">
        <v>5.3211604220518156</v>
      </c>
      <c r="AC52" s="54">
        <v>5.3640028911436328</v>
      </c>
      <c r="AD52" s="54">
        <v>5.4071881046291113</v>
      </c>
      <c r="AE52" s="54">
        <v>5.4507187224423257</v>
      </c>
      <c r="AF52" s="54">
        <v>5.4945974160237236</v>
      </c>
      <c r="AG52" s="54">
        <v>5.538826875978617</v>
      </c>
      <c r="AH52" s="54">
        <v>5.5834096118419803</v>
      </c>
      <c r="AI52" s="54">
        <v>5.6283479603908777</v>
      </c>
      <c r="AJ52" s="54">
        <v>5.6736439314825704</v>
      </c>
      <c r="AK52" s="54">
        <v>5.7192990973404347</v>
      </c>
    </row>
    <row r="53" spans="1:37" s="48" customFormat="1" ht="14.25" customHeight="1" x14ac:dyDescent="0.2">
      <c r="A53" s="52" t="s">
        <v>155</v>
      </c>
      <c r="B53" s="53" t="s">
        <v>143</v>
      </c>
      <c r="C53" s="53" t="s">
        <v>165</v>
      </c>
      <c r="D53" s="53" t="s">
        <v>156</v>
      </c>
      <c r="E53" s="54">
        <v>0</v>
      </c>
      <c r="F53" s="54">
        <v>0</v>
      </c>
      <c r="G53" s="54">
        <v>0</v>
      </c>
      <c r="H53" s="54">
        <v>0</v>
      </c>
      <c r="I53" s="54">
        <v>0</v>
      </c>
      <c r="J53" s="54">
        <v>0</v>
      </c>
      <c r="K53" s="54">
        <v>0</v>
      </c>
      <c r="L53" s="54">
        <v>0</v>
      </c>
      <c r="M53" s="54">
        <v>0</v>
      </c>
      <c r="N53" s="54">
        <v>0</v>
      </c>
      <c r="O53" s="54">
        <v>0</v>
      </c>
      <c r="P53" s="54">
        <v>0</v>
      </c>
      <c r="Q53" s="54">
        <v>0</v>
      </c>
      <c r="R53" s="54">
        <v>0</v>
      </c>
      <c r="S53" s="54">
        <v>0</v>
      </c>
      <c r="T53" s="54">
        <v>0</v>
      </c>
      <c r="U53" s="54">
        <v>0</v>
      </c>
      <c r="V53" s="54">
        <v>0</v>
      </c>
      <c r="W53" s="54">
        <v>0</v>
      </c>
      <c r="X53" s="54">
        <v>0</v>
      </c>
      <c r="Y53" s="54">
        <v>0</v>
      </c>
      <c r="Z53" s="54">
        <v>0</v>
      </c>
      <c r="AA53" s="54">
        <v>0</v>
      </c>
      <c r="AB53" s="54">
        <v>0</v>
      </c>
      <c r="AC53" s="54">
        <v>0</v>
      </c>
      <c r="AD53" s="54">
        <v>0</v>
      </c>
      <c r="AE53" s="54">
        <v>0</v>
      </c>
      <c r="AF53" s="54">
        <v>0</v>
      </c>
      <c r="AG53" s="54">
        <v>0</v>
      </c>
      <c r="AH53" s="54">
        <v>0</v>
      </c>
      <c r="AI53" s="54">
        <v>0</v>
      </c>
      <c r="AJ53" s="54">
        <v>0</v>
      </c>
      <c r="AK53" s="54">
        <v>0</v>
      </c>
    </row>
    <row r="54" spans="1:37" s="48" customFormat="1" ht="14.25" customHeight="1" x14ac:dyDescent="0.2">
      <c r="A54" s="52" t="s">
        <v>142</v>
      </c>
      <c r="B54" s="53" t="s">
        <v>143</v>
      </c>
      <c r="C54" s="53" t="s">
        <v>166</v>
      </c>
      <c r="D54" s="53" t="s">
        <v>145</v>
      </c>
      <c r="E54" s="54">
        <v>0.30912063768885079</v>
      </c>
      <c r="F54" s="54">
        <v>0.35657286789376902</v>
      </c>
      <c r="G54" s="54">
        <v>0.41628210717873859</v>
      </c>
      <c r="H54" s="54">
        <v>0.49727126419350359</v>
      </c>
      <c r="I54" s="54">
        <v>0.56886258601406459</v>
      </c>
      <c r="J54" s="54">
        <v>0.63416542187174185</v>
      </c>
      <c r="K54" s="54">
        <v>0.69792095236289875</v>
      </c>
      <c r="L54" s="54">
        <v>0.76380726214622785</v>
      </c>
      <c r="M54" s="54">
        <v>0.82953457623263138</v>
      </c>
      <c r="N54" s="54">
        <v>0.89684907019505911</v>
      </c>
      <c r="O54" s="54">
        <v>0.96380735692756803</v>
      </c>
      <c r="P54" s="54">
        <v>1.0315213731920461</v>
      </c>
      <c r="Q54" s="54">
        <v>1.0994730252307929</v>
      </c>
      <c r="R54" s="54">
        <v>1.1721182965897681</v>
      </c>
      <c r="S54" s="54">
        <v>1.2461596117756339</v>
      </c>
      <c r="T54" s="54">
        <v>1.3236292343563401</v>
      </c>
      <c r="U54" s="54">
        <v>1.4044257293424061</v>
      </c>
      <c r="V54" s="54">
        <v>1.4931890603378011</v>
      </c>
      <c r="W54" s="54">
        <v>1.590652086137281</v>
      </c>
      <c r="X54" s="54">
        <v>1.698240412867515</v>
      </c>
      <c r="Y54" s="54">
        <v>1.8087818417909789</v>
      </c>
      <c r="Z54" s="54">
        <v>1.917352918317442</v>
      </c>
      <c r="AA54" s="54">
        <v>2.020978778458097</v>
      </c>
      <c r="AB54" s="54">
        <v>2.1178593634485239</v>
      </c>
      <c r="AC54" s="54">
        <v>2.2089221181733731</v>
      </c>
      <c r="AD54" s="54">
        <v>2.29515564043751</v>
      </c>
      <c r="AE54" s="54">
        <v>2.377248298674957</v>
      </c>
      <c r="AF54" s="54">
        <v>2.4567389532348871</v>
      </c>
      <c r="AG54" s="54">
        <v>2.532667042632645</v>
      </c>
      <c r="AH54" s="54">
        <v>2.607525268705098</v>
      </c>
      <c r="AI54" s="54">
        <v>2.6798328625860131</v>
      </c>
      <c r="AJ54" s="54">
        <v>2.752786618770497</v>
      </c>
      <c r="AK54" s="54">
        <v>2.8239824749303359</v>
      </c>
    </row>
    <row r="55" spans="1:37" s="48" customFormat="1" ht="14.25" customHeight="1" x14ac:dyDescent="0.2">
      <c r="A55" s="52" t="s">
        <v>134</v>
      </c>
      <c r="B55" s="53" t="s">
        <v>143</v>
      </c>
      <c r="C55" s="53" t="s">
        <v>166</v>
      </c>
      <c r="D55" s="53" t="s">
        <v>146</v>
      </c>
      <c r="E55" s="54">
        <v>10.25968191382481</v>
      </c>
      <c r="F55" s="54">
        <v>10.341759369135399</v>
      </c>
      <c r="G55" s="54">
        <v>10.42449344113122</v>
      </c>
      <c r="H55" s="54">
        <v>10.50788939017686</v>
      </c>
      <c r="I55" s="54">
        <v>10.5919525050708</v>
      </c>
      <c r="J55" s="54">
        <v>10.67668813148067</v>
      </c>
      <c r="K55" s="54">
        <v>10.762101634030291</v>
      </c>
      <c r="L55" s="54">
        <v>10.848198443690411</v>
      </c>
      <c r="M55" s="54">
        <v>10.934984029344299</v>
      </c>
      <c r="N55" s="54">
        <v>11.022463907265941</v>
      </c>
      <c r="O55" s="54">
        <v>11.11064361268544</v>
      </c>
      <c r="P55" s="54">
        <v>11.19952876613652</v>
      </c>
      <c r="Q55" s="54">
        <v>11.28912499763037</v>
      </c>
      <c r="R55" s="54">
        <v>11.379437994047731</v>
      </c>
      <c r="S55" s="54">
        <v>11.470473499137491</v>
      </c>
      <c r="T55" s="54">
        <v>11.56223728508331</v>
      </c>
      <c r="U55" s="54">
        <v>11.654735180937481</v>
      </c>
      <c r="V55" s="54">
        <v>11.747973063143229</v>
      </c>
      <c r="W55" s="54">
        <v>11.84195685553428</v>
      </c>
      <c r="X55" s="54">
        <v>11.93669251037856</v>
      </c>
      <c r="Y55" s="54">
        <v>12.032186046291111</v>
      </c>
      <c r="Z55" s="54">
        <v>12.128443538756089</v>
      </c>
      <c r="AA55" s="54">
        <v>12.225471082213341</v>
      </c>
      <c r="AB55" s="54">
        <v>12.32327484692814</v>
      </c>
      <c r="AC55" s="54">
        <v>12.42186105055637</v>
      </c>
      <c r="AD55" s="54">
        <v>12.521235939188291</v>
      </c>
      <c r="AE55" s="54">
        <v>12.621405825261119</v>
      </c>
      <c r="AF55" s="54">
        <v>12.72237706860273</v>
      </c>
      <c r="AG55" s="54">
        <v>12.824156085909809</v>
      </c>
      <c r="AH55" s="54">
        <v>12.926749341269691</v>
      </c>
      <c r="AI55" s="54">
        <v>13.030163336682181</v>
      </c>
      <c r="AJ55" s="54">
        <v>13.134404640494379</v>
      </c>
      <c r="AK55" s="54">
        <v>13.23947987792164</v>
      </c>
    </row>
    <row r="56" spans="1:37" s="48" customFormat="1" ht="14.25" customHeight="1" x14ac:dyDescent="0.2">
      <c r="A56" s="52" t="s">
        <v>167</v>
      </c>
      <c r="B56" s="53" t="s">
        <v>143</v>
      </c>
      <c r="C56" s="53" t="s">
        <v>166</v>
      </c>
      <c r="D56" s="53" t="s">
        <v>168</v>
      </c>
      <c r="E56" s="54">
        <v>7.5951017721267036</v>
      </c>
      <c r="F56" s="54">
        <v>7.6831124293215556</v>
      </c>
      <c r="G56" s="54">
        <v>7.785504022283094</v>
      </c>
      <c r="H56" s="54">
        <v>7.8799754433018032</v>
      </c>
      <c r="I56" s="54">
        <v>7.9559860268515532</v>
      </c>
      <c r="J56" s="54">
        <v>8.0064400453433908</v>
      </c>
      <c r="K56" s="54">
        <v>8.0379484916213304</v>
      </c>
      <c r="L56" s="54">
        <v>8.0589196356889659</v>
      </c>
      <c r="M56" s="54">
        <v>8.0730757733967735</v>
      </c>
      <c r="N56" s="54">
        <v>8.081971668360092</v>
      </c>
      <c r="O56" s="54">
        <v>8.0899632189354165</v>
      </c>
      <c r="P56" s="54">
        <v>8.0898443737038654</v>
      </c>
      <c r="Q56" s="54">
        <v>8.0853419832616158</v>
      </c>
      <c r="R56" s="54">
        <v>8.0736927500805535</v>
      </c>
      <c r="S56" s="54">
        <v>8.0606078534017023</v>
      </c>
      <c r="T56" s="54">
        <v>8.0471250661099756</v>
      </c>
      <c r="U56" s="54">
        <v>8.033789603434867</v>
      </c>
      <c r="V56" s="54">
        <v>8.0285788238204461</v>
      </c>
      <c r="W56" s="54">
        <v>8.0371226948514778</v>
      </c>
      <c r="X56" s="54">
        <v>8.0584252116182853</v>
      </c>
      <c r="Y56" s="54">
        <v>8.0868559479839917</v>
      </c>
      <c r="Z56" s="54">
        <v>8.1132235670483102</v>
      </c>
      <c r="AA56" s="54">
        <v>8.1319570613519634</v>
      </c>
      <c r="AB56" s="54">
        <v>8.1429860253539985</v>
      </c>
      <c r="AC56" s="54">
        <v>8.1477715770667078</v>
      </c>
      <c r="AD56" s="54">
        <v>8.1482165931037098</v>
      </c>
      <c r="AE56" s="54">
        <v>8.1458359740014679</v>
      </c>
      <c r="AF56" s="54">
        <v>8.1412934760771911</v>
      </c>
      <c r="AG56" s="54">
        <v>8.1360782519382777</v>
      </c>
      <c r="AH56" s="54">
        <v>8.1305487740792</v>
      </c>
      <c r="AI56" s="54">
        <v>8.1270284131139476</v>
      </c>
      <c r="AJ56" s="54">
        <v>8.1262924957822289</v>
      </c>
      <c r="AK56" s="54">
        <v>8.1312946247038074</v>
      </c>
    </row>
    <row r="57" spans="1:37" s="48" customFormat="1" ht="14.25" customHeight="1" x14ac:dyDescent="0.2">
      <c r="A57" s="52" t="s">
        <v>149</v>
      </c>
      <c r="B57" s="53" t="s">
        <v>143</v>
      </c>
      <c r="C57" s="53" t="s">
        <v>166</v>
      </c>
      <c r="D57" s="53" t="s">
        <v>150</v>
      </c>
      <c r="E57" s="54">
        <v>109.25261779424859</v>
      </c>
      <c r="F57" s="54">
        <v>110.518617253995</v>
      </c>
      <c r="G57" s="54">
        <v>111.99148093947269</v>
      </c>
      <c r="H57" s="54">
        <v>113.3504159858207</v>
      </c>
      <c r="I57" s="54">
        <v>114.44379900669161</v>
      </c>
      <c r="J57" s="54">
        <v>115.1695606695354</v>
      </c>
      <c r="K57" s="54">
        <v>115.62279753758079</v>
      </c>
      <c r="L57" s="54">
        <v>115.92445937671791</v>
      </c>
      <c r="M57" s="54">
        <v>116.1280899759255</v>
      </c>
      <c r="N57" s="54">
        <v>116.256053996929</v>
      </c>
      <c r="O57" s="54">
        <v>116.3710093738745</v>
      </c>
      <c r="P57" s="54">
        <v>116.3692998312892</v>
      </c>
      <c r="Q57" s="54">
        <v>116.3045346899702</v>
      </c>
      <c r="R57" s="54">
        <v>116.1369649403824</v>
      </c>
      <c r="S57" s="54">
        <v>115.9487437396925</v>
      </c>
      <c r="T57" s="54">
        <v>115.754799035126</v>
      </c>
      <c r="U57" s="54">
        <v>115.5629735275717</v>
      </c>
      <c r="V57" s="54">
        <v>115.4880184634049</v>
      </c>
      <c r="W57" s="54">
        <v>115.610918762914</v>
      </c>
      <c r="X57" s="54">
        <v>115.91734726934961</v>
      </c>
      <c r="Y57" s="54">
        <v>116.32631248459801</v>
      </c>
      <c r="Z57" s="54">
        <v>116.7056005440448</v>
      </c>
      <c r="AA57" s="54">
        <v>116.9750746497828</v>
      </c>
      <c r="AB57" s="54">
        <v>117.1337220442439</v>
      </c>
      <c r="AC57" s="54">
        <v>117.2025603757132</v>
      </c>
      <c r="AD57" s="54">
        <v>117.2089617557295</v>
      </c>
      <c r="AE57" s="54">
        <v>117.1747174663052</v>
      </c>
      <c r="AF57" s="54">
        <v>117.109375390973</v>
      </c>
      <c r="AG57" s="54">
        <v>117.0343563967925</v>
      </c>
      <c r="AH57" s="54">
        <v>116.95481698671171</v>
      </c>
      <c r="AI57" s="54">
        <v>116.9041779424866</v>
      </c>
      <c r="AJ57" s="54">
        <v>116.8935920516369</v>
      </c>
      <c r="AK57" s="54">
        <v>116.9655457604307</v>
      </c>
    </row>
    <row r="58" spans="1:37" s="48" customFormat="1" ht="14.25" customHeight="1" x14ac:dyDescent="0.2">
      <c r="A58" s="52" t="s">
        <v>169</v>
      </c>
      <c r="B58" s="53" t="s">
        <v>143</v>
      </c>
      <c r="C58" s="53" t="s">
        <v>166</v>
      </c>
      <c r="D58" s="53" t="s">
        <v>170</v>
      </c>
      <c r="E58" s="54">
        <v>7.642314181184009</v>
      </c>
      <c r="F58" s="54">
        <v>7.7187373229958496</v>
      </c>
      <c r="G58" s="54">
        <v>7.7959246962258071</v>
      </c>
      <c r="H58" s="54">
        <v>7.8738839402498346</v>
      </c>
      <c r="I58" s="54">
        <v>7.9526227797471227</v>
      </c>
      <c r="J58" s="54">
        <v>8.0321490057437508</v>
      </c>
      <c r="K58" s="54">
        <v>8.112470504047165</v>
      </c>
      <c r="L58" s="54">
        <v>8.1935952078554788</v>
      </c>
      <c r="M58" s="54">
        <v>8.2755311546262682</v>
      </c>
      <c r="N58" s="54">
        <v>8.3582864671203438</v>
      </c>
      <c r="O58" s="54">
        <v>8.4418693344454354</v>
      </c>
      <c r="P58" s="54">
        <v>8.526288031012454</v>
      </c>
      <c r="Q58" s="54">
        <v>8.6115509070574081</v>
      </c>
      <c r="R58" s="54">
        <v>8.6976664170758067</v>
      </c>
      <c r="S58" s="54">
        <v>8.7846430819100334</v>
      </c>
      <c r="T58" s="54">
        <v>8.8724895077057226</v>
      </c>
      <c r="U58" s="54">
        <v>8.9612144048679685</v>
      </c>
      <c r="V58" s="54">
        <v>9.0508265501488072</v>
      </c>
      <c r="W58" s="54">
        <v>9.1413348150815974</v>
      </c>
      <c r="X58" s="54">
        <v>9.2327481659810822</v>
      </c>
      <c r="Y58" s="54">
        <v>9.3250756449870149</v>
      </c>
      <c r="Z58" s="54">
        <v>9.418326398498662</v>
      </c>
      <c r="AA58" s="54">
        <v>9.5125096676966248</v>
      </c>
      <c r="AB58" s="54">
        <v>9.6076347601083363</v>
      </c>
      <c r="AC58" s="54">
        <v>9.7037111064773569</v>
      </c>
      <c r="AD58" s="54">
        <v>9.8007482228498866</v>
      </c>
      <c r="AE58" s="54">
        <v>9.8987557010975689</v>
      </c>
      <c r="AF58" s="54">
        <v>9.9977432657858323</v>
      </c>
      <c r="AG58" s="54">
        <v>10.09772069834891</v>
      </c>
      <c r="AH58" s="54">
        <v>10.19869790343677</v>
      </c>
      <c r="AI58" s="54">
        <v>10.30068488048073</v>
      </c>
      <c r="AJ58" s="54">
        <v>10.40369173317157</v>
      </c>
      <c r="AK58" s="54">
        <v>10.507728650503291</v>
      </c>
    </row>
    <row r="59" spans="1:37" s="48" customFormat="1" ht="14.25" customHeight="1" x14ac:dyDescent="0.2">
      <c r="A59" s="52" t="s">
        <v>152</v>
      </c>
      <c r="B59" s="53" t="s">
        <v>143</v>
      </c>
      <c r="C59" s="53" t="s">
        <v>166</v>
      </c>
      <c r="D59" s="53" t="s">
        <v>153</v>
      </c>
      <c r="E59" s="54">
        <v>92.156623139916221</v>
      </c>
      <c r="F59" s="54">
        <v>90.591770837677387</v>
      </c>
      <c r="G59" s="54">
        <v>89.165145934828246</v>
      </c>
      <c r="H59" s="54">
        <v>87.713664606752133</v>
      </c>
      <c r="I59" s="54">
        <v>86.214368396110189</v>
      </c>
      <c r="J59" s="54">
        <v>84.648311413568791</v>
      </c>
      <c r="K59" s="54">
        <v>83.098387447159396</v>
      </c>
      <c r="L59" s="54">
        <v>81.548980560347275</v>
      </c>
      <c r="M59" s="54">
        <v>80.155726716963969</v>
      </c>
      <c r="N59" s="54">
        <v>78.99427429719627</v>
      </c>
      <c r="O59" s="54">
        <v>78.116877931112938</v>
      </c>
      <c r="P59" s="54">
        <v>77.455752317403764</v>
      </c>
      <c r="Q59" s="54">
        <v>76.963283472029929</v>
      </c>
      <c r="R59" s="54">
        <v>76.581854785509833</v>
      </c>
      <c r="S59" s="54">
        <v>76.30795137717277</v>
      </c>
      <c r="T59" s="54">
        <v>76.138651176236408</v>
      </c>
      <c r="U59" s="54">
        <v>76.087695704509585</v>
      </c>
      <c r="V59" s="54">
        <v>76.155168454874612</v>
      </c>
      <c r="W59" s="54">
        <v>76.276857676340668</v>
      </c>
      <c r="X59" s="54">
        <v>76.398942941633535</v>
      </c>
      <c r="Y59" s="54">
        <v>76.471596714878771</v>
      </c>
      <c r="Z59" s="54">
        <v>76.438911720660442</v>
      </c>
      <c r="AA59" s="54">
        <v>76.349812257122707</v>
      </c>
      <c r="AB59" s="54">
        <v>76.268646048565842</v>
      </c>
      <c r="AC59" s="54">
        <v>76.241307802399874</v>
      </c>
      <c r="AD59" s="54">
        <v>76.304184340227096</v>
      </c>
      <c r="AE59" s="54">
        <v>76.4916867666293</v>
      </c>
      <c r="AF59" s="54">
        <v>76.831776240213827</v>
      </c>
      <c r="AG59" s="54">
        <v>77.341904318237809</v>
      </c>
      <c r="AH59" s="54">
        <v>78.017734242602216</v>
      </c>
      <c r="AI59" s="54">
        <v>78.834122760790862</v>
      </c>
      <c r="AJ59" s="54">
        <v>79.748923103899287</v>
      </c>
      <c r="AK59" s="54">
        <v>80.712255160843938</v>
      </c>
    </row>
    <row r="60" spans="1:37" s="48" customFormat="1" ht="14.25" customHeight="1" x14ac:dyDescent="0.2">
      <c r="A60" s="52" t="s">
        <v>134</v>
      </c>
      <c r="B60" s="53" t="s">
        <v>143</v>
      </c>
      <c r="C60" s="53" t="s">
        <v>166</v>
      </c>
      <c r="D60" s="53" t="s">
        <v>171</v>
      </c>
      <c r="E60" s="54">
        <v>0.25367025066820847</v>
      </c>
      <c r="F60" s="54">
        <v>0.2436372608098118</v>
      </c>
      <c r="G60" s="54">
        <v>0.23789363228631449</v>
      </c>
      <c r="H60" s="54">
        <v>0.23327230026728341</v>
      </c>
      <c r="I60" s="54">
        <v>0.22941516114723329</v>
      </c>
      <c r="J60" s="54">
        <v>0.2258633030254194</v>
      </c>
      <c r="K60" s="54">
        <v>0.22336105886869001</v>
      </c>
      <c r="L60" s="54">
        <v>0.22210285113642819</v>
      </c>
      <c r="M60" s="54">
        <v>0.2230776401436885</v>
      </c>
      <c r="N60" s="54">
        <v>0.22686894699827501</v>
      </c>
      <c r="O60" s="54">
        <v>0.23344509231702459</v>
      </c>
      <c r="P60" s="54">
        <v>0.24185995499782001</v>
      </c>
      <c r="Q60" s="54">
        <v>0.25095070060470498</v>
      </c>
      <c r="R60" s="54">
        <v>0.26008451642560521</v>
      </c>
      <c r="S60" s="54">
        <v>0.26884166085341032</v>
      </c>
      <c r="T60" s="54">
        <v>0.27677305975015642</v>
      </c>
      <c r="U60" s="54">
        <v>0.28379944003184471</v>
      </c>
      <c r="V60" s="54">
        <v>0.28960069550546891</v>
      </c>
      <c r="W60" s="54">
        <v>0.29369220802608392</v>
      </c>
      <c r="X60" s="54">
        <v>0.29611079272268881</v>
      </c>
      <c r="Y60" s="54">
        <v>0.29677097093056309</v>
      </c>
      <c r="Z60" s="54">
        <v>0.29611658318010348</v>
      </c>
      <c r="AA60" s="54">
        <v>0.29491203927738707</v>
      </c>
      <c r="AB60" s="54">
        <v>0.29374397653214018</v>
      </c>
      <c r="AC60" s="54">
        <v>0.29287340007203277</v>
      </c>
      <c r="AD60" s="54">
        <v>0.29257180206812877</v>
      </c>
      <c r="AE60" s="54">
        <v>0.29294977481849371</v>
      </c>
      <c r="AF60" s="54">
        <v>0.29424534186681323</v>
      </c>
      <c r="AG60" s="54">
        <v>0.29652230951794212</v>
      </c>
      <c r="AH60" s="54">
        <v>0.29955886987469921</v>
      </c>
      <c r="AI60" s="54">
        <v>0.30331448166928898</v>
      </c>
      <c r="AJ60" s="54">
        <v>0.30751326475271551</v>
      </c>
      <c r="AK60" s="54">
        <v>0.31165246080791609</v>
      </c>
    </row>
    <row r="61" spans="1:37" s="48" customFormat="1" ht="14.25" customHeight="1" x14ac:dyDescent="0.2">
      <c r="A61" s="52" t="s">
        <v>147</v>
      </c>
      <c r="B61" s="53" t="s">
        <v>143</v>
      </c>
      <c r="C61" s="53" t="s">
        <v>166</v>
      </c>
      <c r="D61" s="53" t="s">
        <v>162</v>
      </c>
      <c r="E61" s="54">
        <v>0</v>
      </c>
      <c r="F61" s="54">
        <v>0</v>
      </c>
      <c r="G61" s="54">
        <v>0</v>
      </c>
      <c r="H61" s="54">
        <v>0</v>
      </c>
      <c r="I61" s="54">
        <v>0</v>
      </c>
      <c r="J61" s="54">
        <v>0</v>
      </c>
      <c r="K61" s="54">
        <v>0</v>
      </c>
      <c r="L61" s="54">
        <v>0</v>
      </c>
      <c r="M61" s="54">
        <v>0</v>
      </c>
      <c r="N61" s="54">
        <v>0</v>
      </c>
      <c r="O61" s="54">
        <v>0</v>
      </c>
      <c r="P61" s="54">
        <v>0</v>
      </c>
      <c r="Q61" s="54">
        <v>0</v>
      </c>
      <c r="R61" s="54">
        <v>0</v>
      </c>
      <c r="S61" s="54">
        <v>0</v>
      </c>
      <c r="T61" s="54">
        <v>0</v>
      </c>
      <c r="U61" s="54">
        <v>0</v>
      </c>
      <c r="V61" s="54">
        <v>0</v>
      </c>
      <c r="W61" s="54">
        <v>0</v>
      </c>
      <c r="X61" s="54">
        <v>0</v>
      </c>
      <c r="Y61" s="54">
        <v>0</v>
      </c>
      <c r="Z61" s="54">
        <v>0</v>
      </c>
      <c r="AA61" s="54">
        <v>0</v>
      </c>
      <c r="AB61" s="54">
        <v>0</v>
      </c>
      <c r="AC61" s="54">
        <v>0</v>
      </c>
      <c r="AD61" s="54">
        <v>0</v>
      </c>
      <c r="AE61" s="54">
        <v>0</v>
      </c>
      <c r="AF61" s="54">
        <v>0</v>
      </c>
      <c r="AG61" s="54">
        <v>0</v>
      </c>
      <c r="AH61" s="54">
        <v>0</v>
      </c>
      <c r="AI61" s="54">
        <v>0</v>
      </c>
      <c r="AJ61" s="54">
        <v>0</v>
      </c>
      <c r="AK61" s="54">
        <v>0</v>
      </c>
    </row>
    <row r="62" spans="1:37" s="48" customFormat="1" ht="14.25" customHeight="1" x14ac:dyDescent="0.2">
      <c r="A62" s="52" t="s">
        <v>155</v>
      </c>
      <c r="B62" s="53" t="s">
        <v>143</v>
      </c>
      <c r="C62" s="53" t="s">
        <v>166</v>
      </c>
      <c r="D62" s="53" t="s">
        <v>156</v>
      </c>
      <c r="E62" s="54">
        <v>0</v>
      </c>
      <c r="F62" s="54">
        <v>0</v>
      </c>
      <c r="G62" s="54">
        <v>0</v>
      </c>
      <c r="H62" s="54">
        <v>0</v>
      </c>
      <c r="I62" s="54">
        <v>0</v>
      </c>
      <c r="J62" s="54">
        <v>0</v>
      </c>
      <c r="K62" s="54">
        <v>0</v>
      </c>
      <c r="L62" s="54">
        <v>0</v>
      </c>
      <c r="M62" s="54">
        <v>0</v>
      </c>
      <c r="N62" s="54">
        <v>0</v>
      </c>
      <c r="O62" s="54">
        <v>0</v>
      </c>
      <c r="P62" s="54">
        <v>0</v>
      </c>
      <c r="Q62" s="54">
        <v>0</v>
      </c>
      <c r="R62" s="54">
        <v>0</v>
      </c>
      <c r="S62" s="54">
        <v>0</v>
      </c>
      <c r="T62" s="54">
        <v>0</v>
      </c>
      <c r="U62" s="54">
        <v>0</v>
      </c>
      <c r="V62" s="54">
        <v>0</v>
      </c>
      <c r="W62" s="54">
        <v>0</v>
      </c>
      <c r="X62" s="54">
        <v>0</v>
      </c>
      <c r="Y62" s="54">
        <v>0</v>
      </c>
      <c r="Z62" s="54">
        <v>0</v>
      </c>
      <c r="AA62" s="54">
        <v>0</v>
      </c>
      <c r="AB62" s="54">
        <v>0</v>
      </c>
      <c r="AC62" s="54">
        <v>0</v>
      </c>
      <c r="AD62" s="54">
        <v>0</v>
      </c>
      <c r="AE62" s="54">
        <v>0</v>
      </c>
      <c r="AF62" s="54">
        <v>0</v>
      </c>
      <c r="AG62" s="54">
        <v>0</v>
      </c>
      <c r="AH62" s="54">
        <v>0</v>
      </c>
      <c r="AI62" s="54">
        <v>0</v>
      </c>
      <c r="AJ62" s="54">
        <v>0</v>
      </c>
      <c r="AK62" s="54">
        <v>0</v>
      </c>
    </row>
    <row r="63" spans="1:37" s="48" customFormat="1" ht="14.25" customHeight="1" x14ac:dyDescent="0.2">
      <c r="A63" s="52" t="s">
        <v>172</v>
      </c>
      <c r="B63" s="53" t="s">
        <v>143</v>
      </c>
      <c r="C63" s="53" t="s">
        <v>166</v>
      </c>
      <c r="D63" s="53" t="s">
        <v>173</v>
      </c>
      <c r="E63" s="54">
        <v>0</v>
      </c>
      <c r="F63" s="54">
        <v>0</v>
      </c>
      <c r="G63" s="54">
        <v>0</v>
      </c>
      <c r="H63" s="54">
        <v>0</v>
      </c>
      <c r="I63" s="54">
        <v>0</v>
      </c>
      <c r="J63" s="54">
        <v>0</v>
      </c>
      <c r="K63" s="54">
        <v>0</v>
      </c>
      <c r="L63" s="54">
        <v>0</v>
      </c>
      <c r="M63" s="54">
        <v>0</v>
      </c>
      <c r="N63" s="54">
        <v>0</v>
      </c>
      <c r="O63" s="54">
        <v>0</v>
      </c>
      <c r="P63" s="54">
        <v>0</v>
      </c>
      <c r="Q63" s="54">
        <v>0</v>
      </c>
      <c r="R63" s="54">
        <v>0</v>
      </c>
      <c r="S63" s="54">
        <v>0</v>
      </c>
      <c r="T63" s="54">
        <v>0</v>
      </c>
      <c r="U63" s="54">
        <v>0</v>
      </c>
      <c r="V63" s="54">
        <v>0</v>
      </c>
      <c r="W63" s="54">
        <v>0</v>
      </c>
      <c r="X63" s="54">
        <v>0</v>
      </c>
      <c r="Y63" s="54">
        <v>0</v>
      </c>
      <c r="Z63" s="54">
        <v>0</v>
      </c>
      <c r="AA63" s="54">
        <v>0</v>
      </c>
      <c r="AB63" s="54">
        <v>0</v>
      </c>
      <c r="AC63" s="54">
        <v>0</v>
      </c>
      <c r="AD63" s="54">
        <v>0</v>
      </c>
      <c r="AE63" s="54">
        <v>0</v>
      </c>
      <c r="AF63" s="54">
        <v>0</v>
      </c>
      <c r="AG63" s="54">
        <v>0</v>
      </c>
      <c r="AH63" s="54">
        <v>0</v>
      </c>
      <c r="AI63" s="54">
        <v>0</v>
      </c>
      <c r="AJ63" s="54">
        <v>0</v>
      </c>
      <c r="AK63" s="54">
        <v>0</v>
      </c>
    </row>
    <row r="65" spans="1:32" s="50" customFormat="1" ht="14.5" customHeight="1" x14ac:dyDescent="0.15">
      <c r="A65" s="49" t="s">
        <v>174</v>
      </c>
    </row>
    <row r="66" spans="1:32" ht="15" customHeight="1" x14ac:dyDescent="0.2">
      <c r="B66" s="29">
        <v>2020</v>
      </c>
      <c r="C66" s="29">
        <v>2021</v>
      </c>
      <c r="D66" s="29">
        <v>2022</v>
      </c>
      <c r="E66" s="29">
        <v>2023</v>
      </c>
      <c r="F66" s="29">
        <v>2024</v>
      </c>
      <c r="G66" s="29">
        <v>2025</v>
      </c>
      <c r="H66" s="29">
        <v>2026</v>
      </c>
      <c r="I66" s="29">
        <v>2027</v>
      </c>
      <c r="J66" s="29">
        <v>2028</v>
      </c>
      <c r="K66" s="29">
        <v>2029</v>
      </c>
      <c r="L66" s="29">
        <v>2030</v>
      </c>
      <c r="M66" s="29">
        <v>2031</v>
      </c>
      <c r="N66" s="29">
        <v>2032</v>
      </c>
      <c r="O66" s="29">
        <v>2033</v>
      </c>
      <c r="P66" s="29">
        <v>2034</v>
      </c>
      <c r="Q66" s="29">
        <v>2035</v>
      </c>
      <c r="R66" s="29">
        <v>2036</v>
      </c>
      <c r="S66" s="29">
        <v>2037</v>
      </c>
      <c r="T66" s="29">
        <v>2038</v>
      </c>
      <c r="U66" s="29">
        <v>2039</v>
      </c>
      <c r="V66" s="29">
        <v>2040</v>
      </c>
      <c r="W66" s="29">
        <v>2041</v>
      </c>
      <c r="X66" s="29">
        <v>2042</v>
      </c>
      <c r="Y66" s="29">
        <v>2043</v>
      </c>
      <c r="Z66" s="29">
        <v>2044</v>
      </c>
      <c r="AA66" s="29">
        <v>2045</v>
      </c>
      <c r="AB66" s="29">
        <v>2046</v>
      </c>
      <c r="AC66" s="29">
        <v>2047</v>
      </c>
      <c r="AD66" s="29">
        <v>2048</v>
      </c>
      <c r="AE66" s="29">
        <v>2049</v>
      </c>
      <c r="AF66" s="29">
        <v>2050</v>
      </c>
    </row>
    <row r="67" spans="1:32" ht="14.5" customHeight="1" x14ac:dyDescent="0.15">
      <c r="A67" s="55" t="s">
        <v>134</v>
      </c>
    </row>
    <row r="68" spans="1:32" x14ac:dyDescent="0.15">
      <c r="A68" s="48" t="s">
        <v>135</v>
      </c>
      <c r="B68">
        <f t="shared" ref="B68:AF68" si="0">B5*G36</f>
        <v>333.90930079089446</v>
      </c>
      <c r="C68">
        <f t="shared" si="0"/>
        <v>279.33440816128956</v>
      </c>
      <c r="D68">
        <f t="shared" si="0"/>
        <v>224.55585217144449</v>
      </c>
      <c r="E68">
        <f t="shared" si="0"/>
        <v>171.32876928293803</v>
      </c>
      <c r="F68">
        <f t="shared" si="0"/>
        <v>172.17491826922478</v>
      </c>
      <c r="G68">
        <f t="shared" si="0"/>
        <v>172.28265600159739</v>
      </c>
      <c r="H68">
        <f t="shared" si="0"/>
        <v>171.82091731335626</v>
      </c>
      <c r="I68">
        <f t="shared" si="0"/>
        <v>171.80868841550503</v>
      </c>
      <c r="J68">
        <f t="shared" si="0"/>
        <v>172.03382350579599</v>
      </c>
      <c r="K68">
        <f t="shared" si="0"/>
        <v>172.01191511133763</v>
      </c>
      <c r="L68">
        <f t="shared" si="0"/>
        <v>171.89280262610029</v>
      </c>
      <c r="M68">
        <f t="shared" si="0"/>
        <v>172.40943284019349</v>
      </c>
      <c r="N68">
        <f t="shared" si="0"/>
        <v>172.431041958371</v>
      </c>
      <c r="O68">
        <f t="shared" si="0"/>
        <v>172.46832094233503</v>
      </c>
      <c r="P68">
        <f t="shared" si="0"/>
        <v>172.27751782289346</v>
      </c>
      <c r="Q68">
        <f t="shared" si="0"/>
        <v>172.06000839445545</v>
      </c>
      <c r="R68">
        <f t="shared" si="0"/>
        <v>171.89683918116134</v>
      </c>
      <c r="S68">
        <f t="shared" si="0"/>
        <v>171.8234355081988</v>
      </c>
      <c r="T68">
        <f t="shared" si="0"/>
        <v>171.76844821014086</v>
      </c>
      <c r="U68">
        <f t="shared" si="0"/>
        <v>171.82061123546487</v>
      </c>
      <c r="V68">
        <f t="shared" si="0"/>
        <v>171.86137720212972</v>
      </c>
      <c r="W68">
        <f t="shared" si="0"/>
        <v>171.84445385339825</v>
      </c>
      <c r="X68">
        <f t="shared" si="0"/>
        <v>171.90612875438214</v>
      </c>
      <c r="Y68">
        <f t="shared" si="0"/>
        <v>172.00792826481015</v>
      </c>
      <c r="Z68">
        <f t="shared" si="0"/>
        <v>172.03043716870005</v>
      </c>
      <c r="AA68">
        <f t="shared" si="0"/>
        <v>172.04975006422472</v>
      </c>
      <c r="AB68">
        <f t="shared" si="0"/>
        <v>172.21345406344653</v>
      </c>
      <c r="AC68">
        <f t="shared" si="0"/>
        <v>172.10340572241364</v>
      </c>
      <c r="AD68">
        <f t="shared" si="0"/>
        <v>172.02363406794043</v>
      </c>
      <c r="AE68">
        <f t="shared" si="0"/>
        <v>172.05024396299339</v>
      </c>
      <c r="AF68">
        <f t="shared" si="0"/>
        <v>171.93550159182857</v>
      </c>
    </row>
    <row r="69" spans="1:32" x14ac:dyDescent="0.15">
      <c r="A69" s="48" t="s">
        <v>136</v>
      </c>
      <c r="B69">
        <f t="shared" ref="B69:AF69" si="1">B6*G36</f>
        <v>43.891547691656214</v>
      </c>
      <c r="C69">
        <f t="shared" si="1"/>
        <v>36.169491901266198</v>
      </c>
      <c r="D69">
        <f t="shared" si="1"/>
        <v>28.651099471115195</v>
      </c>
      <c r="E69">
        <f t="shared" si="1"/>
        <v>19.581233939627484</v>
      </c>
      <c r="F69">
        <f t="shared" si="1"/>
        <v>18.735084953340738</v>
      </c>
      <c r="G69">
        <f t="shared" si="1"/>
        <v>18.627347220968112</v>
      </c>
      <c r="H69">
        <f t="shared" si="1"/>
        <v>19.089085909209228</v>
      </c>
      <c r="I69">
        <f t="shared" si="1"/>
        <v>19.101314807060483</v>
      </c>
      <c r="J69">
        <f t="shared" si="1"/>
        <v>18.87617971676951</v>
      </c>
      <c r="K69">
        <f t="shared" si="1"/>
        <v>18.898088111227896</v>
      </c>
      <c r="L69">
        <f t="shared" si="1"/>
        <v>19.017200596465212</v>
      </c>
      <c r="M69">
        <f t="shared" si="1"/>
        <v>18.500570382372032</v>
      </c>
      <c r="N69">
        <f t="shared" si="1"/>
        <v>18.478961264194531</v>
      </c>
      <c r="O69">
        <f t="shared" si="1"/>
        <v>18.441682280230481</v>
      </c>
      <c r="P69">
        <f t="shared" si="1"/>
        <v>18.632485399672053</v>
      </c>
      <c r="Q69">
        <f t="shared" si="1"/>
        <v>18.849994828110045</v>
      </c>
      <c r="R69">
        <f t="shared" si="1"/>
        <v>19.013164041404174</v>
      </c>
      <c r="S69">
        <f t="shared" si="1"/>
        <v>19.086567714366691</v>
      </c>
      <c r="T69">
        <f t="shared" si="1"/>
        <v>19.141555012424643</v>
      </c>
      <c r="U69">
        <f t="shared" si="1"/>
        <v>19.089391987100651</v>
      </c>
      <c r="V69">
        <f t="shared" si="1"/>
        <v>19.048626020435773</v>
      </c>
      <c r="W69">
        <f t="shared" si="1"/>
        <v>19.065549369167258</v>
      </c>
      <c r="X69">
        <f t="shared" si="1"/>
        <v>19.003874468183362</v>
      </c>
      <c r="Y69">
        <f t="shared" si="1"/>
        <v>18.902074957755374</v>
      </c>
      <c r="Z69">
        <f t="shared" si="1"/>
        <v>18.879566053865467</v>
      </c>
      <c r="AA69">
        <f t="shared" si="1"/>
        <v>18.860253158340782</v>
      </c>
      <c r="AB69">
        <f t="shared" si="1"/>
        <v>18.69654915911897</v>
      </c>
      <c r="AC69">
        <f t="shared" si="1"/>
        <v>18.80659750015187</v>
      </c>
      <c r="AD69">
        <f t="shared" si="1"/>
        <v>18.886369154625037</v>
      </c>
      <c r="AE69">
        <f t="shared" si="1"/>
        <v>18.859759259572133</v>
      </c>
      <c r="AF69">
        <f t="shared" si="1"/>
        <v>18.974501630736938</v>
      </c>
    </row>
    <row r="70" spans="1:32" ht="14.5" customHeight="1" x14ac:dyDescent="0.15">
      <c r="A70" s="15"/>
    </row>
    <row r="71" spans="1:32" ht="14.5" customHeight="1" x14ac:dyDescent="0.15">
      <c r="A71" s="15" t="s">
        <v>137</v>
      </c>
    </row>
    <row r="72" spans="1:32" x14ac:dyDescent="0.15">
      <c r="A72" s="48" t="s">
        <v>135</v>
      </c>
      <c r="B72">
        <f t="shared" ref="B72:AF72" si="2">B9*G39</f>
        <v>0.98262777851496597</v>
      </c>
      <c r="C72">
        <f t="shared" si="2"/>
        <v>0.82059872993005145</v>
      </c>
      <c r="D72">
        <f t="shared" si="2"/>
        <v>0.65856968134513205</v>
      </c>
      <c r="E72">
        <f t="shared" si="2"/>
        <v>0.4965406327602222</v>
      </c>
      <c r="F72">
        <f t="shared" si="2"/>
        <v>0.4965406327602222</v>
      </c>
      <c r="G72">
        <f t="shared" si="2"/>
        <v>0.4965406327602222</v>
      </c>
      <c r="H72">
        <f t="shared" si="2"/>
        <v>0.4965406327602222</v>
      </c>
      <c r="I72">
        <f t="shared" si="2"/>
        <v>0.4965406327602222</v>
      </c>
      <c r="J72">
        <f t="shared" si="2"/>
        <v>0.4965406327602222</v>
      </c>
      <c r="K72">
        <f t="shared" si="2"/>
        <v>0.4965406327602222</v>
      </c>
      <c r="L72">
        <f t="shared" si="2"/>
        <v>0.4965406327602222</v>
      </c>
      <c r="M72">
        <f t="shared" si="2"/>
        <v>0.4965406327602222</v>
      </c>
      <c r="N72">
        <f t="shared" si="2"/>
        <v>0.4965406327602222</v>
      </c>
      <c r="O72">
        <f t="shared" si="2"/>
        <v>0.4965406327602222</v>
      </c>
      <c r="P72">
        <f t="shared" si="2"/>
        <v>0.4965406327602222</v>
      </c>
      <c r="Q72">
        <f t="shared" si="2"/>
        <v>0.4965406327602222</v>
      </c>
      <c r="R72">
        <f t="shared" si="2"/>
        <v>0.4965406327602222</v>
      </c>
      <c r="S72">
        <f t="shared" si="2"/>
        <v>0.4965406327602222</v>
      </c>
      <c r="T72">
        <f t="shared" si="2"/>
        <v>0.4965406327602222</v>
      </c>
      <c r="U72">
        <f t="shared" si="2"/>
        <v>0.4965406327602222</v>
      </c>
      <c r="V72">
        <f t="shared" si="2"/>
        <v>0.4965406327602222</v>
      </c>
      <c r="W72">
        <f t="shared" si="2"/>
        <v>0.4965406327602222</v>
      </c>
      <c r="X72">
        <f t="shared" si="2"/>
        <v>0.4965406327602222</v>
      </c>
      <c r="Y72">
        <f t="shared" si="2"/>
        <v>0.4965406327602222</v>
      </c>
      <c r="Z72">
        <f t="shared" si="2"/>
        <v>0.4965406327602222</v>
      </c>
      <c r="AA72">
        <f t="shared" si="2"/>
        <v>0.4965406327602222</v>
      </c>
      <c r="AB72">
        <f t="shared" si="2"/>
        <v>0.4965406327602222</v>
      </c>
      <c r="AC72">
        <f t="shared" si="2"/>
        <v>0.4965406327602222</v>
      </c>
      <c r="AD72">
        <f t="shared" si="2"/>
        <v>0.4965406327602222</v>
      </c>
      <c r="AE72">
        <f t="shared" si="2"/>
        <v>0.4965406327602222</v>
      </c>
      <c r="AF72">
        <f t="shared" si="2"/>
        <v>0.4965406327602222</v>
      </c>
    </row>
    <row r="73" spans="1:32" x14ac:dyDescent="0.15">
      <c r="A73" s="48" t="s">
        <v>136</v>
      </c>
      <c r="B73">
        <f t="shared" ref="B73:AF73" si="3">B10*G39</f>
        <v>0.98262777851496597</v>
      </c>
      <c r="C73">
        <f t="shared" si="3"/>
        <v>0.82059872993005145</v>
      </c>
      <c r="D73">
        <f t="shared" si="3"/>
        <v>0.65856968134513205</v>
      </c>
      <c r="E73">
        <f t="shared" si="3"/>
        <v>0.4965406327602222</v>
      </c>
      <c r="F73">
        <f t="shared" si="3"/>
        <v>0.4965406327602222</v>
      </c>
      <c r="G73">
        <f t="shared" si="3"/>
        <v>0.4965406327602222</v>
      </c>
      <c r="H73">
        <f t="shared" si="3"/>
        <v>0.4965406327602222</v>
      </c>
      <c r="I73">
        <f t="shared" si="3"/>
        <v>0.4965406327602222</v>
      </c>
      <c r="J73">
        <f t="shared" si="3"/>
        <v>0.4965406327602222</v>
      </c>
      <c r="K73">
        <f t="shared" si="3"/>
        <v>0.4965406327602222</v>
      </c>
      <c r="L73">
        <f t="shared" si="3"/>
        <v>0.4965406327602222</v>
      </c>
      <c r="M73">
        <f t="shared" si="3"/>
        <v>0.4965406327602222</v>
      </c>
      <c r="N73">
        <f t="shared" si="3"/>
        <v>0.4965406327602222</v>
      </c>
      <c r="O73">
        <f t="shared" si="3"/>
        <v>0.4965406327602222</v>
      </c>
      <c r="P73">
        <f t="shared" si="3"/>
        <v>0.4965406327602222</v>
      </c>
      <c r="Q73">
        <f t="shared" si="3"/>
        <v>0.4965406327602222</v>
      </c>
      <c r="R73">
        <f t="shared" si="3"/>
        <v>0.4965406327602222</v>
      </c>
      <c r="S73">
        <f t="shared" si="3"/>
        <v>0.4965406327602222</v>
      </c>
      <c r="T73">
        <f t="shared" si="3"/>
        <v>0.4965406327602222</v>
      </c>
      <c r="U73">
        <f t="shared" si="3"/>
        <v>0.4965406327602222</v>
      </c>
      <c r="V73">
        <f t="shared" si="3"/>
        <v>0.4965406327602222</v>
      </c>
      <c r="W73">
        <f t="shared" si="3"/>
        <v>0.4965406327602222</v>
      </c>
      <c r="X73">
        <f t="shared" si="3"/>
        <v>0.4965406327602222</v>
      </c>
      <c r="Y73">
        <f t="shared" si="3"/>
        <v>0.4965406327602222</v>
      </c>
      <c r="Z73">
        <f t="shared" si="3"/>
        <v>0.4965406327602222</v>
      </c>
      <c r="AA73">
        <f t="shared" si="3"/>
        <v>0.4965406327602222</v>
      </c>
      <c r="AB73">
        <f t="shared" si="3"/>
        <v>0.4965406327602222</v>
      </c>
      <c r="AC73">
        <f t="shared" si="3"/>
        <v>0.4965406327602222</v>
      </c>
      <c r="AD73">
        <f t="shared" si="3"/>
        <v>0.4965406327602222</v>
      </c>
      <c r="AE73">
        <f t="shared" si="3"/>
        <v>0.4965406327602222</v>
      </c>
      <c r="AF73">
        <f t="shared" si="3"/>
        <v>0.4965406327602222</v>
      </c>
    </row>
    <row r="75" spans="1:32" s="50" customFormat="1" ht="14.5" customHeight="1" x14ac:dyDescent="0.15">
      <c r="A75" s="49" t="s">
        <v>175</v>
      </c>
    </row>
    <row r="76" spans="1:32" ht="15" customHeight="1" x14ac:dyDescent="0.2">
      <c r="B76" s="29">
        <v>2020</v>
      </c>
      <c r="C76" s="29">
        <v>2021</v>
      </c>
      <c r="D76" s="29">
        <v>2022</v>
      </c>
      <c r="E76" s="29">
        <v>2023</v>
      </c>
      <c r="F76" s="29">
        <v>2024</v>
      </c>
      <c r="G76" s="29">
        <v>2025</v>
      </c>
      <c r="H76" s="29">
        <v>2026</v>
      </c>
      <c r="I76" s="29">
        <v>2027</v>
      </c>
      <c r="J76" s="29">
        <v>2028</v>
      </c>
      <c r="K76" s="29">
        <v>2029</v>
      </c>
      <c r="L76" s="29">
        <v>2030</v>
      </c>
      <c r="M76" s="29">
        <v>2031</v>
      </c>
      <c r="N76" s="29">
        <v>2032</v>
      </c>
      <c r="O76" s="29">
        <v>2033</v>
      </c>
      <c r="P76" s="29">
        <v>2034</v>
      </c>
      <c r="Q76" s="29">
        <v>2035</v>
      </c>
      <c r="R76" s="29">
        <v>2036</v>
      </c>
      <c r="S76" s="29">
        <v>2037</v>
      </c>
      <c r="T76" s="29">
        <v>2038</v>
      </c>
      <c r="U76" s="29">
        <v>2039</v>
      </c>
      <c r="V76" s="29">
        <v>2040</v>
      </c>
      <c r="W76" s="29">
        <v>2041</v>
      </c>
      <c r="X76" s="29">
        <v>2042</v>
      </c>
      <c r="Y76" s="29">
        <v>2043</v>
      </c>
      <c r="Z76" s="29">
        <v>2044</v>
      </c>
      <c r="AA76" s="29">
        <v>2045</v>
      </c>
      <c r="AB76" s="29">
        <v>2046</v>
      </c>
      <c r="AC76" s="29">
        <v>2047</v>
      </c>
      <c r="AD76" s="29">
        <v>2048</v>
      </c>
      <c r="AE76" s="29">
        <v>2049</v>
      </c>
      <c r="AF76" s="29">
        <v>2050</v>
      </c>
    </row>
    <row r="77" spans="1:32" ht="14.5" customHeight="1" x14ac:dyDescent="0.15">
      <c r="A77" s="55" t="s">
        <v>134</v>
      </c>
    </row>
    <row r="78" spans="1:32" x14ac:dyDescent="0.15">
      <c r="A78" s="48" t="s">
        <v>135</v>
      </c>
      <c r="B78">
        <f>B5*G36</f>
        <v>333.90930079089446</v>
      </c>
      <c r="C78">
        <f>$B$78*('BIFUbC-natural-gas'!C4/'BIFUbC-natural-gas'!$B$4)</f>
        <v>339.94455186245705</v>
      </c>
      <c r="D78">
        <f>$B$78*('BIFUbC-natural-gas'!D4/'BIFUbC-natural-gas'!$B$4)</f>
        <v>345.97980293401969</v>
      </c>
      <c r="E78">
        <f>$B$78*('BIFUbC-natural-gas'!E4/'BIFUbC-natural-gas'!$B$4)</f>
        <v>348.97455471188897</v>
      </c>
      <c r="F78">
        <f>$B$78*('BIFUbC-natural-gas'!F4/'BIFUbC-natural-gas'!$B$4)</f>
        <v>353.84635354370357</v>
      </c>
      <c r="G78">
        <f>$B$78*('BIFUbC-natural-gas'!G4/'BIFUbC-natural-gas'!$B$4)</f>
        <v>358.97801336398578</v>
      </c>
      <c r="H78">
        <f>$B$78*('BIFUbC-natural-gas'!H4/'BIFUbC-natural-gas'!$B$4)</f>
        <v>360.41657822667707</v>
      </c>
      <c r="I78">
        <f>$B$78*('BIFUbC-natural-gas'!I4/'BIFUbC-natural-gas'!$B$4)</f>
        <v>361.327220177355</v>
      </c>
      <c r="J78">
        <f>$B$78*('BIFUbC-natural-gas'!J4/'BIFUbC-natural-gas'!$B$4)</f>
        <v>367.36674420999202</v>
      </c>
      <c r="K78">
        <f>$B$78*('BIFUbC-natural-gas'!K4/'BIFUbC-natural-gas'!$B$4)</f>
        <v>369.55545495342062</v>
      </c>
      <c r="L78">
        <f>$B$78*('BIFUbC-natural-gas'!L4/'BIFUbC-natural-gas'!$B$4)</f>
        <v>372.76508781758957</v>
      </c>
      <c r="M78">
        <f>$B$78*('BIFUbC-natural-gas'!M4/'BIFUbC-natural-gas'!$B$4)</f>
        <v>375.53301387195944</v>
      </c>
      <c r="N78">
        <f>$B$78*('BIFUbC-natural-gas'!N4/'BIFUbC-natural-gas'!$B$4)</f>
        <v>379.7801668469474</v>
      </c>
      <c r="O78">
        <f>$B$78*('BIFUbC-natural-gas'!O4/'BIFUbC-natural-gas'!$B$4)</f>
        <v>381.98499970737993</v>
      </c>
      <c r="P78">
        <f>$B$78*('BIFUbC-natural-gas'!P4/'BIFUbC-natural-gas'!$B$4)</f>
        <v>381.97005180091583</v>
      </c>
      <c r="Q78">
        <f>$B$78*('BIFUbC-natural-gas'!Q4/'BIFUbC-natural-gas'!$B$4)</f>
        <v>381.51832308185891</v>
      </c>
      <c r="R78">
        <f>$B$78*('BIFUbC-natural-gas'!R4/'BIFUbC-natural-gas'!$B$4)</f>
        <v>381.0859109903887</v>
      </c>
      <c r="S78">
        <f>$B$78*('BIFUbC-natural-gas'!S4/'BIFUbC-natural-gas'!$B$4)</f>
        <v>380.91021597490698</v>
      </c>
      <c r="T78">
        <f>$B$78*('BIFUbC-natural-gas'!T4/'BIFUbC-natural-gas'!$B$4)</f>
        <v>382.87343243584706</v>
      </c>
      <c r="U78">
        <f>$B$78*('BIFUbC-natural-gas'!U4/'BIFUbC-natural-gas'!$B$4)</f>
        <v>384.57826445298275</v>
      </c>
      <c r="V78">
        <f>$B$78*('BIFUbC-natural-gas'!V4/'BIFUbC-natural-gas'!$B$4)</f>
        <v>387.61487354701427</v>
      </c>
      <c r="W78">
        <f>$B$78*('BIFUbC-natural-gas'!W4/'BIFUbC-natural-gas'!$B$4)</f>
        <v>389.3743626672823</v>
      </c>
      <c r="X78">
        <f>$B$78*('BIFUbC-natural-gas'!X4/'BIFUbC-natural-gas'!$B$4)</f>
        <v>392.92749030678948</v>
      </c>
      <c r="Y78">
        <f>$B$78*('BIFUbC-natural-gas'!Y4/'BIFUbC-natural-gas'!$B$4)</f>
        <v>394.51182872450988</v>
      </c>
      <c r="Z78">
        <f>$B$78*('BIFUbC-natural-gas'!Z4/'BIFUbC-natural-gas'!$B$4)</f>
        <v>398.24815077117108</v>
      </c>
      <c r="AA78">
        <f>$B$78*('BIFUbC-natural-gas'!AA4/'BIFUbC-natural-gas'!$B$4)</f>
        <v>400.91509151319565</v>
      </c>
      <c r="AB78">
        <f>$B$78*('BIFUbC-natural-gas'!AB4/'BIFUbC-natural-gas'!$B$4)</f>
        <v>403.89694147155603</v>
      </c>
      <c r="AC78">
        <f>$B$78*('BIFUbC-natural-gas'!AC4/'BIFUbC-natural-gas'!$B$4)</f>
        <v>404.85657883451819</v>
      </c>
      <c r="AD78">
        <f>$B$78*('BIFUbC-natural-gas'!AD4/'BIFUbC-natural-gas'!$B$4)</f>
        <v>408.14147839913119</v>
      </c>
      <c r="AE78">
        <f>$B$78*('BIFUbC-natural-gas'!AE4/'BIFUbC-natural-gas'!$B$4)</f>
        <v>410.74841076584596</v>
      </c>
      <c r="AF78">
        <f>$B$78*('BIFUbC-natural-gas'!AF4/'BIFUbC-natural-gas'!$B$4)</f>
        <v>413.79379549462959</v>
      </c>
    </row>
    <row r="79" spans="1:32" x14ac:dyDescent="0.15">
      <c r="A79" s="48" t="s">
        <v>136</v>
      </c>
      <c r="B79">
        <f>B6*G36</f>
        <v>43.891547691656214</v>
      </c>
      <c r="C79">
        <f>$B$79*('BIFUbC-natural-gas'!C10/'BIFUbC-natural-gas'!$B$10)</f>
        <v>44.017569465946835</v>
      </c>
      <c r="D79">
        <f>$B$79*('BIFUbC-natural-gas'!D10/'BIFUbC-natural-gas'!$B$10)</f>
        <v>44.143591240237448</v>
      </c>
      <c r="E79">
        <f>$B$79*('BIFUbC-natural-gas'!E10/'BIFUbC-natural-gas'!$B$10)</f>
        <v>39.884442194912431</v>
      </c>
      <c r="F79">
        <f>$B$79*('BIFUbC-natural-gas'!F10/'BIFUbC-natural-gas'!$B$10)</f>
        <v>38.503526301694102</v>
      </c>
      <c r="G79">
        <f>$B$79*('BIFUbC-natural-gas'!G10/'BIFUbC-natural-gas'!$B$10)</f>
        <v>38.813007965017064</v>
      </c>
      <c r="H79">
        <f>$B$79*('BIFUbC-natural-gas'!H10/'BIFUbC-natural-gas'!$B$10)</f>
        <v>40.041824548782436</v>
      </c>
      <c r="I79">
        <f>$B$79*('BIFUbC-natural-gas'!I10/'BIFUbC-natural-gas'!$B$10)</f>
        <v>40.17157132517201</v>
      </c>
      <c r="J79">
        <f>$B$79*('BIFUbC-natural-gas'!J10/'BIFUbC-natural-gas'!$B$10)</f>
        <v>40.308821511710896</v>
      </c>
      <c r="K79">
        <f>$B$79*('BIFUbC-natural-gas'!K10/'BIFUbC-natural-gas'!$B$10)</f>
        <v>40.601208033607513</v>
      </c>
      <c r="L79">
        <f>$B$79*('BIFUbC-natural-gas'!L10/'BIFUbC-natural-gas'!$B$10)</f>
        <v>41.240519335797259</v>
      </c>
      <c r="M79">
        <f>$B$79*('BIFUbC-natural-gas'!M10/'BIFUbC-natural-gas'!$B$10)</f>
        <v>40.296953824343198</v>
      </c>
      <c r="N79">
        <f>$B$79*('BIFUbC-natural-gas'!N10/'BIFUbC-natural-gas'!$B$10)</f>
        <v>40.699997589577734</v>
      </c>
      <c r="O79">
        <f>$B$79*('BIFUbC-natural-gas'!O10/'BIFUbC-natural-gas'!$B$10)</f>
        <v>40.844869144245642</v>
      </c>
      <c r="P79">
        <f>$B$79*('BIFUbC-natural-gas'!P10/'BIFUbC-natural-gas'!$B$10)</f>
        <v>41.31155070744105</v>
      </c>
      <c r="Q79">
        <f>$B$79*('BIFUbC-natural-gas'!Q10/'BIFUbC-natural-gas'!$B$10)</f>
        <v>41.797152540148332</v>
      </c>
      <c r="R79">
        <f>$B$79*('BIFUbC-natural-gas'!R10/'BIFUbC-natural-gas'!$B$10)</f>
        <v>42.151147013774064</v>
      </c>
      <c r="S79">
        <f>$B$79*('BIFUbC-natural-gas'!S10/'BIFUbC-natural-gas'!$B$10)</f>
        <v>42.312438980142439</v>
      </c>
      <c r="T79">
        <f>$B$79*('BIFUbC-natural-gas'!T10/'BIFUbC-natural-gas'!$B$10)</f>
        <v>42.666700119457325</v>
      </c>
      <c r="U79">
        <f>$B$79*('BIFUbC-natural-gas'!U10/'BIFUbC-natural-gas'!$B$10)</f>
        <v>42.726918424246286</v>
      </c>
      <c r="V79">
        <f>$B$79*('BIFUbC-natural-gas'!V10/'BIFUbC-natural-gas'!$B$10)</f>
        <v>42.96212963237025</v>
      </c>
      <c r="W79">
        <f>$B$79*('BIFUbC-natural-gas'!W10/'BIFUbC-natural-gas'!$B$10)</f>
        <v>43.199742371984051</v>
      </c>
      <c r="X79">
        <f>$B$79*('BIFUbC-natural-gas'!X10/'BIFUbC-natural-gas'!$B$10)</f>
        <v>43.43733847649812</v>
      </c>
      <c r="Y79">
        <f>$B$79*('BIFUbC-natural-gas'!Y10/'BIFUbC-natural-gas'!$B$10)</f>
        <v>43.353188620419118</v>
      </c>
      <c r="Z79">
        <f>$B$79*('BIFUbC-natural-gas'!Z10/'BIFUbC-natural-gas'!$B$10)</f>
        <v>43.705941762741112</v>
      </c>
      <c r="AA79">
        <f>$B$79*('BIFUbC-natural-gas'!AA10/'BIFUbC-natural-gas'!$B$10)</f>
        <v>43.948684134185825</v>
      </c>
      <c r="AB79">
        <f>$B$79*('BIFUbC-natural-gas'!AB10/'BIFUbC-natural-gas'!$B$10)</f>
        <v>43.849530006283032</v>
      </c>
      <c r="AC79">
        <f>$B$79*('BIFUbC-natural-gas'!AC10/'BIFUbC-natural-gas'!$B$10)</f>
        <v>44.240697570563491</v>
      </c>
      <c r="AD79">
        <f>$B$79*('BIFUbC-natural-gas'!AD10/'BIFUbC-natural-gas'!$B$10)</f>
        <v>44.809602297530965</v>
      </c>
      <c r="AE79">
        <f>$B$79*('BIFUbC-natural-gas'!AE10/'BIFUbC-natural-gas'!$B$10)</f>
        <v>45.025313332086498</v>
      </c>
      <c r="AF79">
        <f>$B$79*('BIFUbC-natural-gas'!AF10/'BIFUbC-natural-gas'!$B$10)</f>
        <v>45.665560484658094</v>
      </c>
    </row>
    <row r="80" spans="1:32" ht="14.5" customHeight="1" x14ac:dyDescent="0.15">
      <c r="A80" s="15"/>
    </row>
    <row r="81" spans="1:32" ht="14.5" customHeight="1" x14ac:dyDescent="0.15">
      <c r="A81" s="15" t="s">
        <v>137</v>
      </c>
    </row>
    <row r="82" spans="1:32" x14ac:dyDescent="0.15">
      <c r="A82" s="48" t="s">
        <v>135</v>
      </c>
      <c r="B82">
        <f>B9*G39</f>
        <v>0.98262777851496597</v>
      </c>
      <c r="C82">
        <f t="shared" ref="C82:AF82" si="4">B82*1</f>
        <v>0.98262777851496597</v>
      </c>
      <c r="D82">
        <f t="shared" si="4"/>
        <v>0.98262777851496597</v>
      </c>
      <c r="E82">
        <f t="shared" si="4"/>
        <v>0.98262777851496597</v>
      </c>
      <c r="F82">
        <f t="shared" si="4"/>
        <v>0.98262777851496597</v>
      </c>
      <c r="G82">
        <f t="shared" si="4"/>
        <v>0.98262777851496597</v>
      </c>
      <c r="H82">
        <f t="shared" si="4"/>
        <v>0.98262777851496597</v>
      </c>
      <c r="I82">
        <f t="shared" si="4"/>
        <v>0.98262777851496597</v>
      </c>
      <c r="J82">
        <f t="shared" si="4"/>
        <v>0.98262777851496597</v>
      </c>
      <c r="K82">
        <f t="shared" si="4"/>
        <v>0.98262777851496597</v>
      </c>
      <c r="L82">
        <f t="shared" si="4"/>
        <v>0.98262777851496597</v>
      </c>
      <c r="M82">
        <f t="shared" si="4"/>
        <v>0.98262777851496597</v>
      </c>
      <c r="N82">
        <f t="shared" si="4"/>
        <v>0.98262777851496597</v>
      </c>
      <c r="O82">
        <f t="shared" si="4"/>
        <v>0.98262777851496597</v>
      </c>
      <c r="P82">
        <f t="shared" si="4"/>
        <v>0.98262777851496597</v>
      </c>
      <c r="Q82">
        <f t="shared" si="4"/>
        <v>0.98262777851496597</v>
      </c>
      <c r="R82">
        <f t="shared" si="4"/>
        <v>0.98262777851496597</v>
      </c>
      <c r="S82">
        <f t="shared" si="4"/>
        <v>0.98262777851496597</v>
      </c>
      <c r="T82">
        <f t="shared" si="4"/>
        <v>0.98262777851496597</v>
      </c>
      <c r="U82">
        <f t="shared" si="4"/>
        <v>0.98262777851496597</v>
      </c>
      <c r="V82">
        <f t="shared" si="4"/>
        <v>0.98262777851496597</v>
      </c>
      <c r="W82">
        <f t="shared" si="4"/>
        <v>0.98262777851496597</v>
      </c>
      <c r="X82">
        <f t="shared" si="4"/>
        <v>0.98262777851496597</v>
      </c>
      <c r="Y82">
        <f t="shared" si="4"/>
        <v>0.98262777851496597</v>
      </c>
      <c r="Z82">
        <f t="shared" si="4"/>
        <v>0.98262777851496597</v>
      </c>
      <c r="AA82">
        <f t="shared" si="4"/>
        <v>0.98262777851496597</v>
      </c>
      <c r="AB82">
        <f t="shared" si="4"/>
        <v>0.98262777851496597</v>
      </c>
      <c r="AC82">
        <f t="shared" si="4"/>
        <v>0.98262777851496597</v>
      </c>
      <c r="AD82">
        <f t="shared" si="4"/>
        <v>0.98262777851496597</v>
      </c>
      <c r="AE82">
        <f t="shared" si="4"/>
        <v>0.98262777851496597</v>
      </c>
      <c r="AF82">
        <f t="shared" si="4"/>
        <v>0.98262777851496597</v>
      </c>
    </row>
    <row r="83" spans="1:32" x14ac:dyDescent="0.15">
      <c r="A83" s="48" t="s">
        <v>136</v>
      </c>
      <c r="B83">
        <f>B10*G39</f>
        <v>0.98262777851496597</v>
      </c>
      <c r="C83">
        <f t="shared" ref="C83:AF83" si="5">B83*1</f>
        <v>0.98262777851496597</v>
      </c>
      <c r="D83">
        <f t="shared" si="5"/>
        <v>0.98262777851496597</v>
      </c>
      <c r="E83">
        <f t="shared" si="5"/>
        <v>0.98262777851496597</v>
      </c>
      <c r="F83">
        <f t="shared" si="5"/>
        <v>0.98262777851496597</v>
      </c>
      <c r="G83">
        <f t="shared" si="5"/>
        <v>0.98262777851496597</v>
      </c>
      <c r="H83">
        <f t="shared" si="5"/>
        <v>0.98262777851496597</v>
      </c>
      <c r="I83">
        <f t="shared" si="5"/>
        <v>0.98262777851496597</v>
      </c>
      <c r="J83">
        <f t="shared" si="5"/>
        <v>0.98262777851496597</v>
      </c>
      <c r="K83">
        <f t="shared" si="5"/>
        <v>0.98262777851496597</v>
      </c>
      <c r="L83">
        <f t="shared" si="5"/>
        <v>0.98262777851496597</v>
      </c>
      <c r="M83">
        <f t="shared" si="5"/>
        <v>0.98262777851496597</v>
      </c>
      <c r="N83">
        <f t="shared" si="5"/>
        <v>0.98262777851496597</v>
      </c>
      <c r="O83">
        <f t="shared" si="5"/>
        <v>0.98262777851496597</v>
      </c>
      <c r="P83">
        <f t="shared" si="5"/>
        <v>0.98262777851496597</v>
      </c>
      <c r="Q83">
        <f t="shared" si="5"/>
        <v>0.98262777851496597</v>
      </c>
      <c r="R83">
        <f t="shared" si="5"/>
        <v>0.98262777851496597</v>
      </c>
      <c r="S83">
        <f t="shared" si="5"/>
        <v>0.98262777851496597</v>
      </c>
      <c r="T83">
        <f t="shared" si="5"/>
        <v>0.98262777851496597</v>
      </c>
      <c r="U83">
        <f t="shared" si="5"/>
        <v>0.98262777851496597</v>
      </c>
      <c r="V83">
        <f t="shared" si="5"/>
        <v>0.98262777851496597</v>
      </c>
      <c r="W83">
        <f t="shared" si="5"/>
        <v>0.98262777851496597</v>
      </c>
      <c r="X83">
        <f t="shared" si="5"/>
        <v>0.98262777851496597</v>
      </c>
      <c r="Y83">
        <f t="shared" si="5"/>
        <v>0.98262777851496597</v>
      </c>
      <c r="Z83">
        <f t="shared" si="5"/>
        <v>0.98262777851496597</v>
      </c>
      <c r="AA83">
        <f t="shared" si="5"/>
        <v>0.98262777851496597</v>
      </c>
      <c r="AB83">
        <f t="shared" si="5"/>
        <v>0.98262777851496597</v>
      </c>
      <c r="AC83">
        <f t="shared" si="5"/>
        <v>0.98262777851496597</v>
      </c>
      <c r="AD83">
        <f t="shared" si="5"/>
        <v>0.98262777851496597</v>
      </c>
      <c r="AE83">
        <f t="shared" si="5"/>
        <v>0.98262777851496597</v>
      </c>
      <c r="AF83">
        <f t="shared" si="5"/>
        <v>0.98262777851496597</v>
      </c>
    </row>
    <row r="92" spans="1:32" x14ac:dyDescent="0.15">
      <c r="Y92" s="14" t="s">
        <v>176</v>
      </c>
    </row>
  </sheetData>
  <conditionalFormatting sqref="E14:AK63">
    <cfRule type="colorScale" priority="2">
      <colorScale>
        <cfvo type="min"/>
        <cfvo type="max"/>
        <color rgb="FFFCFCFF"/>
        <color rgb="FFF8696B"/>
      </colorScale>
    </cfRule>
  </conditionalFormatting>
  <conditionalFormatting sqref="AL14:AL63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workbookViewId="0">
      <selection activeCell="C27" sqref="C27"/>
    </sheetView>
  </sheetViews>
  <sheetFormatPr baseColWidth="10" defaultColWidth="8.83203125" defaultRowHeight="14" x14ac:dyDescent="0.15"/>
  <cols>
    <col min="1" max="1" width="39.83203125" style="48" customWidth="1"/>
    <col min="2" max="2" width="17.83203125" style="30" customWidth="1"/>
    <col min="3" max="3" width="9.5" style="48" customWidth="1"/>
    <col min="4" max="35" width="9.5" style="48" bestFit="1" customWidth="1"/>
    <col min="36" max="41" width="8.83203125" style="48" customWidth="1"/>
    <col min="42" max="16384" width="8.83203125" style="48"/>
  </cols>
  <sheetData>
    <row r="1" spans="1:35" ht="14.5" customHeight="1" x14ac:dyDescent="0.2">
      <c r="A1" s="28" t="s">
        <v>177</v>
      </c>
      <c r="B1" s="29">
        <v>2020</v>
      </c>
      <c r="C1" s="29">
        <v>2021</v>
      </c>
      <c r="D1" s="29">
        <v>2022</v>
      </c>
      <c r="E1" s="29">
        <v>2023</v>
      </c>
      <c r="F1" s="29">
        <v>2024</v>
      </c>
      <c r="G1" s="29">
        <v>2025</v>
      </c>
      <c r="H1" s="29">
        <v>2026</v>
      </c>
      <c r="I1" s="29">
        <v>2027</v>
      </c>
      <c r="J1" s="29">
        <v>2028</v>
      </c>
      <c r="K1" s="29">
        <v>2029</v>
      </c>
      <c r="L1" s="29">
        <v>2030</v>
      </c>
      <c r="M1" s="29">
        <v>2031</v>
      </c>
      <c r="N1" s="29">
        <v>2032</v>
      </c>
      <c r="O1" s="29">
        <v>2033</v>
      </c>
      <c r="P1" s="29">
        <v>2034</v>
      </c>
      <c r="Q1" s="29">
        <v>2035</v>
      </c>
      <c r="R1" s="29">
        <v>2036</v>
      </c>
      <c r="S1" s="29">
        <v>2037</v>
      </c>
      <c r="T1" s="29">
        <v>2038</v>
      </c>
      <c r="U1" s="29">
        <v>2039</v>
      </c>
      <c r="V1" s="29">
        <v>2040</v>
      </c>
      <c r="W1" s="29">
        <v>2041</v>
      </c>
      <c r="X1" s="29">
        <v>2042</v>
      </c>
      <c r="Y1" s="29">
        <v>2043</v>
      </c>
      <c r="Z1" s="29">
        <v>2044</v>
      </c>
      <c r="AA1" s="29">
        <v>2045</v>
      </c>
      <c r="AB1" s="29">
        <v>2046</v>
      </c>
      <c r="AC1" s="29">
        <v>2047</v>
      </c>
      <c r="AD1" s="29">
        <v>2048</v>
      </c>
      <c r="AE1" s="29">
        <v>2049</v>
      </c>
      <c r="AF1" s="29">
        <v>2050</v>
      </c>
      <c r="AH1" s="29"/>
      <c r="AI1" s="29"/>
    </row>
    <row r="2" spans="1:35" ht="14" customHeight="1" x14ac:dyDescent="0.15">
      <c r="A2" s="48" t="s">
        <v>178</v>
      </c>
      <c r="B2">
        <f>'BIFUbC-natural-gas'!B2</f>
        <v>88277407642.814514</v>
      </c>
      <c r="C2">
        <f>'BIFUbC-natural-gas'!C2</f>
        <v>88885031309.570679</v>
      </c>
      <c r="D2">
        <f>'BIFUbC-natural-gas'!D2</f>
        <v>89492654976.326813</v>
      </c>
      <c r="E2">
        <f>'BIFUbC-natural-gas'!E2</f>
        <v>90368370844.865616</v>
      </c>
      <c r="F2">
        <f>'BIFUbC-natural-gas'!F2</f>
        <v>91066095637.158005</v>
      </c>
      <c r="G2">
        <f>'BIFUbC-natural-gas'!G2</f>
        <v>91754888869.307373</v>
      </c>
      <c r="H2">
        <f>'BIFUbC-natural-gas'!H2</f>
        <v>92557845567.564438</v>
      </c>
      <c r="I2">
        <f>'BIFUbC-natural-gas'!I2</f>
        <v>93181190101.967743</v>
      </c>
      <c r="J2">
        <f>'BIFUbC-natural-gas'!J2</f>
        <v>93571820287.666718</v>
      </c>
      <c r="K2">
        <f>'BIFUbC-natural-gas'!K2</f>
        <v>94033149531.149292</v>
      </c>
      <c r="L2">
        <f>'BIFUbC-natural-gas'!L2</f>
        <v>94391768665.405273</v>
      </c>
      <c r="M2">
        <f>'BIFUbC-natural-gas'!M2</f>
        <v>93965735134.860138</v>
      </c>
      <c r="N2">
        <f>'BIFUbC-natural-gas'!N2</f>
        <v>94088160766.169983</v>
      </c>
      <c r="O2">
        <f>'BIFUbC-natural-gas'!O2</f>
        <v>93592226919.900558</v>
      </c>
      <c r="P2">
        <f>'BIFUbC-natural-gas'!P2</f>
        <v>93245824007.282104</v>
      </c>
      <c r="Q2">
        <f>'BIFUbC-natural-gas'!Q2</f>
        <v>92959813925.119431</v>
      </c>
      <c r="R2">
        <f>'BIFUbC-natural-gas'!R2</f>
        <v>92729116258.493896</v>
      </c>
      <c r="S2">
        <f>'BIFUbC-natural-gas'!S2</f>
        <v>92715163764.223907</v>
      </c>
      <c r="T2">
        <f>'BIFUbC-natural-gas'!T2</f>
        <v>92748254911.312073</v>
      </c>
      <c r="U2">
        <f>'BIFUbC-natural-gas'!U2</f>
        <v>92790933795.530609</v>
      </c>
      <c r="V2">
        <f>'BIFUbC-natural-gas'!V2</f>
        <v>92768417011.402466</v>
      </c>
      <c r="W2">
        <f>'BIFUbC-natural-gas'!W2</f>
        <v>92649095710.933044</v>
      </c>
      <c r="X2">
        <f>'BIFUbC-natural-gas'!X2</f>
        <v>92635654940.299179</v>
      </c>
      <c r="Y2">
        <f>'BIFUbC-natural-gas'!Y2</f>
        <v>92671202738.49649</v>
      </c>
      <c r="Z2">
        <f>'BIFUbC-natural-gas'!Z2</f>
        <v>92760133130.990707</v>
      </c>
      <c r="AA2">
        <f>'BIFUbC-natural-gas'!AA2</f>
        <v>92895135645.246216</v>
      </c>
      <c r="AB2">
        <f>'BIFUbC-natural-gas'!AB2</f>
        <v>93052332047.903717</v>
      </c>
      <c r="AC2">
        <f>'BIFUbC-natural-gas'!AC2</f>
        <v>93222399905.046448</v>
      </c>
      <c r="AD2">
        <f>'BIFUbC-natural-gas'!AD2</f>
        <v>93416857719.18454</v>
      </c>
      <c r="AE2">
        <f>'BIFUbC-natural-gas'!AE2</f>
        <v>93656435962.417435</v>
      </c>
      <c r="AF2">
        <f>'BIFUbC-natural-gas'!AF2</f>
        <v>93915471033.496887</v>
      </c>
      <c r="AG2" s="57"/>
    </row>
    <row r="3" spans="1:35" ht="14" customHeight="1" x14ac:dyDescent="0.15">
      <c r="A3" s="48" t="s">
        <v>179</v>
      </c>
      <c r="B3">
        <f>'BIFUbC-natural-gas'!B3</f>
        <v>43966959599.018715</v>
      </c>
      <c r="C3">
        <f>'BIFUbC-natural-gas'!C3</f>
        <v>44761641386.572472</v>
      </c>
      <c r="D3">
        <f>'BIFUbC-natural-gas'!D3</f>
        <v>45556323174.126205</v>
      </c>
      <c r="E3">
        <f>'BIFUbC-natural-gas'!E3</f>
        <v>45950652203.341003</v>
      </c>
      <c r="F3">
        <f>'BIFUbC-natural-gas'!F3</f>
        <v>46592138325.187843</v>
      </c>
      <c r="G3">
        <f>'BIFUbC-natural-gas'!G3</f>
        <v>47267841216.541412</v>
      </c>
      <c r="H3">
        <f>'BIFUbC-natural-gas'!H3</f>
        <v>47457261885.713257</v>
      </c>
      <c r="I3">
        <f>'BIFUbC-natural-gas'!I3</f>
        <v>47577169171.194061</v>
      </c>
      <c r="J3">
        <f>'BIFUbC-natural-gas'!J3</f>
        <v>48372413593.889999</v>
      </c>
      <c r="K3">
        <f>'BIFUbC-natural-gas'!K3</f>
        <v>48660608491.733002</v>
      </c>
      <c r="L3">
        <f>'BIFUbC-natural-gas'!L3</f>
        <v>49083231635.599754</v>
      </c>
      <c r="M3">
        <f>'BIFUbC-natural-gas'!M3</f>
        <v>49447693759.647522</v>
      </c>
      <c r="N3">
        <f>'BIFUbC-natural-gas'!N3</f>
        <v>50006930662.662346</v>
      </c>
      <c r="O3">
        <f>'BIFUbC-natural-gas'!O3</f>
        <v>50297248413.822983</v>
      </c>
      <c r="P3">
        <f>'BIFUbC-natural-gas'!P3</f>
        <v>50295280172.752571</v>
      </c>
      <c r="Q3">
        <f>'BIFUbC-natural-gas'!Q3</f>
        <v>50235799534.467133</v>
      </c>
      <c r="R3">
        <f>'BIFUbC-natural-gas'!R3</f>
        <v>50178862381.441528</v>
      </c>
      <c r="S3">
        <f>'BIFUbC-natural-gas'!S3</f>
        <v>50155728028.402756</v>
      </c>
      <c r="T3">
        <f>'BIFUbC-natural-gas'!T3</f>
        <v>50414231336.39035</v>
      </c>
      <c r="U3">
        <f>'BIFUbC-natural-gas'!U3</f>
        <v>50638712296.468384</v>
      </c>
      <c r="V3">
        <f>'BIFUbC-natural-gas'!V3</f>
        <v>51038552819.146469</v>
      </c>
      <c r="W3">
        <f>'BIFUbC-natural-gas'!W3</f>
        <v>51270230663.646454</v>
      </c>
      <c r="X3">
        <f>'BIFUbC-natural-gas'!X3</f>
        <v>51738082918.753876</v>
      </c>
      <c r="Y3">
        <f>'BIFUbC-natural-gas'!Y3</f>
        <v>51946698081.728065</v>
      </c>
      <c r="Z3">
        <f>'BIFUbC-natural-gas'!Z3</f>
        <v>52438672159.974396</v>
      </c>
      <c r="AA3">
        <f>'BIFUbC-natural-gas'!AA3</f>
        <v>52789837208.626366</v>
      </c>
      <c r="AB3">
        <f>'BIFUbC-natural-gas'!AB3</f>
        <v>53182467411.915169</v>
      </c>
      <c r="AC3">
        <f>'BIFUbC-natural-gas'!AC3</f>
        <v>53308826087.960274</v>
      </c>
      <c r="AD3">
        <f>'BIFUbC-natural-gas'!AD3</f>
        <v>53741359851.177017</v>
      </c>
      <c r="AE3">
        <f>'BIFUbC-natural-gas'!AE3</f>
        <v>54084623395.41864</v>
      </c>
      <c r="AF3">
        <f>'BIFUbC-natural-gas'!AF3</f>
        <v>54485619435.41143</v>
      </c>
    </row>
    <row r="4" spans="1:35" ht="14" customHeight="1" x14ac:dyDescent="0.15">
      <c r="A4" s="48" t="s">
        <v>135</v>
      </c>
      <c r="B4">
        <f>'BIFUbC-natural-gas'!B4+('E3 Oil + Gas Ext vs. Refi'!B78*1000000000000)</f>
        <v>348858600635670.75</v>
      </c>
      <c r="C4">
        <f>'BIFUbC-natural-gas'!C4+('E3 Oil + Gas Ext vs. Refi'!C78*1000000000000)</f>
        <v>355164053159225.25</v>
      </c>
      <c r="D4">
        <f>'BIFUbC-natural-gas'!D4+('E3 Oil + Gas Ext vs. Refi'!D78*1000000000000)</f>
        <v>361469505682779.75</v>
      </c>
      <c r="E4">
        <f>'BIFUbC-natural-gas'!E4+('E3 Oil + Gas Ext vs. Refi'!E78*1000000000000)</f>
        <v>364598334116142.06</v>
      </c>
      <c r="F4">
        <f>'BIFUbC-natural-gas'!F4+('E3 Oil + Gas Ext vs. Refi'!F78*1000000000000)</f>
        <v>369688246014432.25</v>
      </c>
      <c r="G4">
        <f>'BIFUbC-natural-gas'!G4+('E3 Oil + Gas Ext vs. Refi'!G78*1000000000000)</f>
        <v>375049653018075.56</v>
      </c>
      <c r="H4">
        <f>'BIFUbC-natural-gas'!H4+('E3 Oil + Gas Ext vs. Refi'!H78*1000000000000)</f>
        <v>376552623207086.25</v>
      </c>
      <c r="I4">
        <f>'BIFUbC-natural-gas'!I4+('E3 Oil + Gas Ext vs. Refi'!I78*1000000000000)</f>
        <v>377504035090017.31</v>
      </c>
      <c r="J4">
        <f>'BIFUbC-natural-gas'!J4+('E3 Oil + Gas Ext vs. Refi'!J78*1000000000000)</f>
        <v>383813951877422.62</v>
      </c>
      <c r="K4">
        <f>'BIFUbC-natural-gas'!K4+('E3 Oil + Gas Ext vs. Refi'!K78*1000000000000)</f>
        <v>386100652383638.62</v>
      </c>
      <c r="L4">
        <f>'BIFUbC-natural-gas'!L4+('E3 Oil + Gas Ext vs. Refi'!L78*1000000000000)</f>
        <v>389453982245658.38</v>
      </c>
      <c r="M4">
        <f>'BIFUbC-natural-gas'!M4+('E3 Oil + Gas Ext vs. Refi'!M78*1000000000000)</f>
        <v>392345829845301</v>
      </c>
      <c r="N4">
        <f>'BIFUbC-natural-gas'!N4+('E3 Oil + Gas Ext vs. Refi'!N78*1000000000000)</f>
        <v>396783130154188.69</v>
      </c>
      <c r="O4">
        <f>'BIFUbC-natural-gas'!O4+('E3 Oil + Gas Ext vs. Refi'!O78*1000000000000)</f>
        <v>399086674573299.5</v>
      </c>
      <c r="P4">
        <f>'BIFUbC-natural-gas'!P4+('E3 Oil + Gas Ext vs. Refi'!P78*1000000000000)</f>
        <v>399071057440984.94</v>
      </c>
      <c r="Q4">
        <f>'BIFUbC-natural-gas'!Q4+('E3 Oil + Gas Ext vs. Refi'!Q78*1000000000000)</f>
        <v>398599104583056.56</v>
      </c>
      <c r="R4">
        <f>'BIFUbC-natural-gas'!R4+('E3 Oil + Gas Ext vs. Refi'!R78*1000000000000)</f>
        <v>398147333168570.81</v>
      </c>
      <c r="S4">
        <f>'BIFUbC-natural-gas'!S4+('E3 Oil + Gas Ext vs. Refi'!S78*1000000000000)</f>
        <v>397963772192298.44</v>
      </c>
      <c r="T4">
        <f>'BIFUbC-natural-gas'!T4+('E3 Oil + Gas Ext vs. Refi'!T78*1000000000000)</f>
        <v>400014882915139.19</v>
      </c>
      <c r="U4">
        <f>'BIFUbC-natural-gas'!U4+('E3 Oil + Gas Ext vs. Refi'!U78*1000000000000)</f>
        <v>401796041182992.56</v>
      </c>
      <c r="V4">
        <f>'BIFUbC-natural-gas'!V4+('E3 Oil + Gas Ext vs. Refi'!V78*1000000000000)</f>
        <v>404968600907181.81</v>
      </c>
      <c r="W4">
        <f>'BIFUbC-natural-gas'!W4+('E3 Oil + Gas Ext vs. Refi'!W78*1000000000000)</f>
        <v>406806863306212.12</v>
      </c>
      <c r="X4">
        <f>'BIFUbC-natural-gas'!X4+('E3 Oil + Gas Ext vs. Refi'!X78*1000000000000)</f>
        <v>410519066390290.44</v>
      </c>
      <c r="Y4">
        <f>'BIFUbC-natural-gas'!Y4+('E3 Oil + Gas Ext vs. Refi'!Y78*1000000000000)</f>
        <v>412174336495166.62</v>
      </c>
      <c r="Z4">
        <f>'BIFUbC-natural-gas'!Z4+('E3 Oil + Gas Ext vs. Refi'!Z78*1000000000000)</f>
        <v>416077935699007.56</v>
      </c>
      <c r="AA4">
        <f>'BIFUbC-natural-gas'!AA4+('E3 Oil + Gas Ext vs. Refi'!AA78*1000000000000)</f>
        <v>418864276819297.56</v>
      </c>
      <c r="AB4">
        <f>'BIFUbC-natural-gas'!AB4+('E3 Oil + Gas Ext vs. Refi'!AB78*1000000000000)</f>
        <v>421979625811719.25</v>
      </c>
      <c r="AC4">
        <f>'BIFUbC-natural-gas'!AC4+('E3 Oil + Gas Ext vs. Refi'!AC78*1000000000000)</f>
        <v>422982226658020.12</v>
      </c>
      <c r="AD4">
        <f>'BIFUbC-natural-gas'!AD4+('E3 Oil + Gas Ext vs. Refi'!AD78*1000000000000)</f>
        <v>426414192951337.75</v>
      </c>
      <c r="AE4">
        <f>'BIFUbC-natural-gas'!AE4+('E3 Oil + Gas Ext vs. Refi'!AE78*1000000000000)</f>
        <v>429137839088926.12</v>
      </c>
      <c r="AF4">
        <f>'BIFUbC-natural-gas'!AF4+('E3 Oil + Gas Ext vs. Refi'!AF78*1000000000000)</f>
        <v>432319567337777.75</v>
      </c>
    </row>
    <row r="5" spans="1:35" ht="14" customHeight="1" x14ac:dyDescent="0.15">
      <c r="A5" s="48" t="s">
        <v>180</v>
      </c>
      <c r="B5">
        <f>'BIFUbC-natural-gas'!B5</f>
        <v>115952563824.92911</v>
      </c>
      <c r="C5">
        <f>'BIFUbC-natural-gas'!C5</f>
        <v>118048351014.49612</v>
      </c>
      <c r="D5">
        <f>'BIFUbC-natural-gas'!D5</f>
        <v>120144138204.06317</v>
      </c>
      <c r="E5">
        <f>'BIFUbC-natural-gas'!E5</f>
        <v>121184088711.10419</v>
      </c>
      <c r="F5">
        <f>'BIFUbC-natural-gas'!F5</f>
        <v>122875858193.56601</v>
      </c>
      <c r="G5">
        <f>'BIFUbC-natural-gas'!G5</f>
        <v>124657866395.88237</v>
      </c>
      <c r="H5">
        <f>'BIFUbC-natural-gas'!H5</f>
        <v>125157419069.80435</v>
      </c>
      <c r="I5">
        <f>'BIFUbC-natural-gas'!I5</f>
        <v>125473646466.45828</v>
      </c>
      <c r="J5">
        <f>'BIFUbC-natural-gas'!J5</f>
        <v>127570917474.50693</v>
      </c>
      <c r="K5">
        <f>'BIFUbC-natural-gas'!K5</f>
        <v>128330964054.73273</v>
      </c>
      <c r="L5">
        <f>'BIFUbC-natural-gas'!L5</f>
        <v>129445533665.86858</v>
      </c>
      <c r="M5">
        <f>'BIFUbC-natural-gas'!M5</f>
        <v>130406717202.00191</v>
      </c>
      <c r="N5">
        <f>'BIFUbC-natural-gas'!N5</f>
        <v>131881573623.31177</v>
      </c>
      <c r="O5">
        <f>'BIFUbC-natural-gas'!O5</f>
        <v>132647218732.22926</v>
      </c>
      <c r="P5">
        <f>'BIFUbC-natural-gas'!P5</f>
        <v>132642027957.14677</v>
      </c>
      <c r="Q5">
        <f>'BIFUbC-natural-gas'!Q5</f>
        <v>132485161697.34534</v>
      </c>
      <c r="R5">
        <f>'BIFUbC-natural-gas'!R5</f>
        <v>132335003284.51846</v>
      </c>
      <c r="S5">
        <f>'BIFUbC-natural-gas'!S5</f>
        <v>132273991843.84253</v>
      </c>
      <c r="T5">
        <f>'BIFUbC-natural-gas'!T5</f>
        <v>132955733806.25598</v>
      </c>
      <c r="U5">
        <f>'BIFUbC-natural-gas'!U5</f>
        <v>133547749790.26572</v>
      </c>
      <c r="V5">
        <f>'BIFUbC-natural-gas'!V5</f>
        <v>134602235571.1442</v>
      </c>
      <c r="W5">
        <f>'BIFUbC-natural-gas'!W5</f>
        <v>135213231653.11588</v>
      </c>
      <c r="X5">
        <f>'BIFUbC-natural-gas'!X5</f>
        <v>136447082457.57748</v>
      </c>
      <c r="Y5">
        <f>'BIFUbC-natural-gas'!Y5</f>
        <v>136997256115.71124</v>
      </c>
      <c r="Z5">
        <f>'BIFUbC-natural-gas'!Z5</f>
        <v>138294722582.08344</v>
      </c>
      <c r="AA5">
        <f>'BIFUbC-natural-gas'!AA5</f>
        <v>139220838194.5401</v>
      </c>
      <c r="AB5">
        <f>'BIFUbC-natural-gas'!AB5</f>
        <v>140256308445.87531</v>
      </c>
      <c r="AC5">
        <f>'BIFUbC-natural-gas'!AC5</f>
        <v>140589549874.95242</v>
      </c>
      <c r="AD5">
        <f>'BIFUbC-natural-gas'!AD5</f>
        <v>141730256424.67126</v>
      </c>
      <c r="AE5">
        <f>'BIFUbC-natural-gas'!AE5</f>
        <v>142635533668.8894</v>
      </c>
      <c r="AF5">
        <f>'BIFUbC-natural-gas'!AF5</f>
        <v>143693066856.19321</v>
      </c>
    </row>
    <row r="6" spans="1:35" ht="14" customHeight="1" x14ac:dyDescent="0.15">
      <c r="A6" s="48" t="s">
        <v>181</v>
      </c>
      <c r="B6">
        <f>'BIFUbC-natural-gas'!B6</f>
        <v>237240063218.10333</v>
      </c>
      <c r="C6">
        <f>'BIFUbC-natural-gas'!C6</f>
        <v>239915353475.39801</v>
      </c>
      <c r="D6">
        <f>'BIFUbC-natural-gas'!D6</f>
        <v>242590643732.69281</v>
      </c>
      <c r="E6">
        <f>'BIFUbC-natural-gas'!E6</f>
        <v>243399589265.23108</v>
      </c>
      <c r="F6">
        <f>'BIFUbC-natural-gas'!F6</f>
        <v>243824779907.43317</v>
      </c>
      <c r="G6">
        <f>'BIFUbC-natural-gas'!G6</f>
        <v>243422105129.68591</v>
      </c>
      <c r="H6">
        <f>'BIFUbC-natural-gas'!H6</f>
        <v>241550938709.21634</v>
      </c>
      <c r="I6">
        <f>'BIFUbC-natural-gas'!I6</f>
        <v>237953019061.05847</v>
      </c>
      <c r="J6">
        <f>'BIFUbC-natural-gas'!J6</f>
        <v>234047086337.31036</v>
      </c>
      <c r="K6">
        <f>'BIFUbC-natural-gas'!K6</f>
        <v>230101658792.14706</v>
      </c>
      <c r="L6">
        <f>'BIFUbC-natural-gas'!L6</f>
        <v>226110197585.53912</v>
      </c>
      <c r="M6">
        <f>'BIFUbC-natural-gas'!M6</f>
        <v>221706131656.38275</v>
      </c>
      <c r="N6">
        <f>'BIFUbC-natural-gas'!N6</f>
        <v>218226779157.84827</v>
      </c>
      <c r="O6">
        <f>'BIFUbC-natural-gas'!O6</f>
        <v>214535730332.47357</v>
      </c>
      <c r="P6">
        <f>'BIFUbC-natural-gas'!P6</f>
        <v>211321892299.06036</v>
      </c>
      <c r="Q6">
        <f>'BIFUbC-natural-gas'!Q6</f>
        <v>208499001110.07147</v>
      </c>
      <c r="R6">
        <f>'BIFUbC-natural-gas'!R6</f>
        <v>206084219504.94641</v>
      </c>
      <c r="S6">
        <f>'BIFUbC-natural-gas'!S6</f>
        <v>203919669295.12708</v>
      </c>
      <c r="T6">
        <f>'BIFUbC-natural-gas'!T6</f>
        <v>201981689741.69464</v>
      </c>
      <c r="U6">
        <f>'BIFUbC-natural-gas'!U6</f>
        <v>201736934327.81567</v>
      </c>
      <c r="V6">
        <f>'BIFUbC-natural-gas'!V6</f>
        <v>201774284016.02496</v>
      </c>
      <c r="W6">
        <f>'BIFUbC-natural-gas'!W6</f>
        <v>201961727750.71466</v>
      </c>
      <c r="X6">
        <f>'BIFUbC-natural-gas'!X6</f>
        <v>202428027755.13269</v>
      </c>
      <c r="Y6">
        <f>'BIFUbC-natural-gas'!Y6</f>
        <v>202820813428.62982</v>
      </c>
      <c r="Z6">
        <f>'BIFUbC-natural-gas'!Z6</f>
        <v>203389743729.27966</v>
      </c>
      <c r="AA6">
        <f>'BIFUbC-natural-gas'!AA6</f>
        <v>203882421708.29541</v>
      </c>
      <c r="AB6">
        <f>'BIFUbC-natural-gas'!AB6</f>
        <v>204325817528.26508</v>
      </c>
      <c r="AC6">
        <f>'BIFUbC-natural-gas'!AC6</f>
        <v>204786457768.77673</v>
      </c>
      <c r="AD6">
        <f>'BIFUbC-natural-gas'!AD6</f>
        <v>205266386131.17596</v>
      </c>
      <c r="AE6">
        <f>'BIFUbC-natural-gas'!AE6</f>
        <v>205841159978.21185</v>
      </c>
      <c r="AF6">
        <f>'BIFUbC-natural-gas'!AF6</f>
        <v>206315530678.08252</v>
      </c>
    </row>
    <row r="7" spans="1:35" ht="14" customHeight="1" x14ac:dyDescent="0.15">
      <c r="A7" s="48" t="s">
        <v>182</v>
      </c>
      <c r="B7">
        <f>'BIFUbC-natural-gas'!B7</f>
        <v>276481188.55263078</v>
      </c>
      <c r="C7">
        <f>'BIFUbC-natural-gas'!C7</f>
        <v>278793466.88235688</v>
      </c>
      <c r="D7">
        <f>'BIFUbC-natural-gas'!D7</f>
        <v>281105745.21208298</v>
      </c>
      <c r="E7">
        <f>'BIFUbC-natural-gas'!E7</f>
        <v>285454363.08053648</v>
      </c>
      <c r="F7">
        <f>'BIFUbC-natural-gas'!F7</f>
        <v>292864511.39112037</v>
      </c>
      <c r="G7">
        <f>'BIFUbC-natural-gas'!G7</f>
        <v>296478800.87154555</v>
      </c>
      <c r="H7">
        <f>'BIFUbC-natural-gas'!H7</f>
        <v>299176172.74113339</v>
      </c>
      <c r="I7">
        <f>'BIFUbC-natural-gas'!I7</f>
        <v>301471438.54603523</v>
      </c>
      <c r="J7">
        <f>'BIFUbC-natural-gas'!J7</f>
        <v>302595501.80905604</v>
      </c>
      <c r="K7">
        <f>'BIFUbC-natural-gas'!K7</f>
        <v>304689331.65387946</v>
      </c>
      <c r="L7">
        <f>'BIFUbC-natural-gas'!L7</f>
        <v>307082123.86733651</v>
      </c>
      <c r="M7">
        <f>'BIFUbC-natural-gas'!M7</f>
        <v>308522743.26020396</v>
      </c>
      <c r="N7">
        <f>'BIFUbC-natural-gas'!N7</f>
        <v>311471312.30193526</v>
      </c>
      <c r="O7">
        <f>'BIFUbC-natural-gas'!O7</f>
        <v>314073292.57558727</v>
      </c>
      <c r="P7">
        <f>'BIFUbC-natural-gas'!P7</f>
        <v>317286752.92413282</v>
      </c>
      <c r="Q7">
        <f>'BIFUbC-natural-gas'!Q7</f>
        <v>320575411.9901492</v>
      </c>
      <c r="R7">
        <f>'BIFUbC-natural-gas'!R7</f>
        <v>323752897.28564233</v>
      </c>
      <c r="S7">
        <f>'BIFUbC-natural-gas'!S7</f>
        <v>327358297.67098618</v>
      </c>
      <c r="T7">
        <f>'BIFUbC-natural-gas'!T7</f>
        <v>331470967.02886176</v>
      </c>
      <c r="U7">
        <f>'BIFUbC-natural-gas'!U7</f>
        <v>335472856.95192575</v>
      </c>
      <c r="V7">
        <f>'BIFUbC-natural-gas'!V7</f>
        <v>339987353.63960123</v>
      </c>
      <c r="W7">
        <f>'BIFUbC-natural-gas'!W7</f>
        <v>344511366.48078489</v>
      </c>
      <c r="X7">
        <f>'BIFUbC-natural-gas'!X7</f>
        <v>349828729.1566366</v>
      </c>
      <c r="Y7">
        <f>'BIFUbC-natural-gas'!Y7</f>
        <v>355157464.82426119</v>
      </c>
      <c r="Z7">
        <f>'BIFUbC-natural-gas'!Z7</f>
        <v>360883641.07455814</v>
      </c>
      <c r="AA7">
        <f>'BIFUbC-natural-gas'!AA7</f>
        <v>366356322.58629817</v>
      </c>
      <c r="AB7">
        <f>'BIFUbC-natural-gas'!AB7</f>
        <v>372288925.02574402</v>
      </c>
      <c r="AC7">
        <f>'BIFUbC-natural-gas'!AC7</f>
        <v>377827266.28549409</v>
      </c>
      <c r="AD7">
        <f>'BIFUbC-natural-gas'!AD7</f>
        <v>382389922.88563704</v>
      </c>
      <c r="AE7">
        <f>'BIFUbC-natural-gas'!AE7</f>
        <v>387057324.48142993</v>
      </c>
      <c r="AF7">
        <f>'BIFUbC-natural-gas'!AF7</f>
        <v>391892067.3989979</v>
      </c>
    </row>
    <row r="8" spans="1:35" ht="14" customHeight="1" x14ac:dyDescent="0.15">
      <c r="A8" s="48" t="s">
        <v>183</v>
      </c>
      <c r="B8">
        <f>'BIFUbC-natural-gas'!B8</f>
        <v>11858990953.311237</v>
      </c>
      <c r="C8">
        <f>'BIFUbC-natural-gas'!C8</f>
        <v>11738346002.355911</v>
      </c>
      <c r="D8">
        <f>'BIFUbC-natural-gas'!D8</f>
        <v>11617701051.400585</v>
      </c>
      <c r="E8">
        <f>'BIFUbC-natural-gas'!E8</f>
        <v>11036329628.904327</v>
      </c>
      <c r="F8">
        <f>'BIFUbC-natural-gas'!F8</f>
        <v>11176931428.979477</v>
      </c>
      <c r="G8">
        <f>'BIFUbC-natural-gas'!G8</f>
        <v>11416302502.7052</v>
      </c>
      <c r="H8">
        <f>'BIFUbC-natural-gas'!H8</f>
        <v>11300842511.52186</v>
      </c>
      <c r="I8">
        <f>'BIFUbC-natural-gas'!I8</f>
        <v>11103525586.235294</v>
      </c>
      <c r="J8">
        <f>'BIFUbC-natural-gas'!J8</f>
        <v>10961368572.46294</v>
      </c>
      <c r="K8">
        <f>'BIFUbC-natural-gas'!K8</f>
        <v>11006104530.101486</v>
      </c>
      <c r="L8">
        <f>'BIFUbC-natural-gas'!L8</f>
        <v>11071537465.008469</v>
      </c>
      <c r="M8">
        <f>'BIFUbC-natural-gas'!M8</f>
        <v>11044469311.878075</v>
      </c>
      <c r="N8">
        <f>'BIFUbC-natural-gas'!N8</f>
        <v>11043945422.624535</v>
      </c>
      <c r="O8">
        <f>'BIFUbC-natural-gas'!O8</f>
        <v>11012082230.397678</v>
      </c>
      <c r="P8">
        <f>'BIFUbC-natural-gas'!P8</f>
        <v>10990893256.319601</v>
      </c>
      <c r="Q8">
        <f>'BIFUbC-natural-gas'!Q8</f>
        <v>10985685037.408596</v>
      </c>
      <c r="R8">
        <f>'BIFUbC-natural-gas'!R8</f>
        <v>11003396922.555763</v>
      </c>
      <c r="S8">
        <f>'BIFUbC-natural-gas'!S8</f>
        <v>11055304820.475597</v>
      </c>
      <c r="T8">
        <f>'BIFUbC-natural-gas'!T8</f>
        <v>11125801747.318005</v>
      </c>
      <c r="U8">
        <f>'BIFUbC-natural-gas'!U8</f>
        <v>11174291465.916666</v>
      </c>
      <c r="V8">
        <f>'BIFUbC-natural-gas'!V8</f>
        <v>11204954324.060871</v>
      </c>
      <c r="W8">
        <f>'BIFUbC-natural-gas'!W8</f>
        <v>11281590038.511629</v>
      </c>
      <c r="X8">
        <f>'BIFUbC-natural-gas'!X8</f>
        <v>11365544764.131447</v>
      </c>
      <c r="Y8">
        <f>'BIFUbC-natural-gas'!Y8</f>
        <v>11414293278.739807</v>
      </c>
      <c r="Z8">
        <f>'BIFUbC-natural-gas'!Z8</f>
        <v>11486404328.889164</v>
      </c>
      <c r="AA8">
        <f>'BIFUbC-natural-gas'!AA8</f>
        <v>11540852246.671825</v>
      </c>
      <c r="AB8">
        <f>'BIFUbC-natural-gas'!AB8</f>
        <v>11623594246.877289</v>
      </c>
      <c r="AC8">
        <f>'BIFUbC-natural-gas'!AC8</f>
        <v>11684028193.556145</v>
      </c>
      <c r="AD8">
        <f>'BIFUbC-natural-gas'!AD8</f>
        <v>11704416809.488064</v>
      </c>
      <c r="AE8">
        <f>'BIFUbC-natural-gas'!AE8</f>
        <v>11764436154.396284</v>
      </c>
      <c r="AF8">
        <f>'BIFUbC-natural-gas'!AF8</f>
        <v>11891601891.308655</v>
      </c>
    </row>
    <row r="9" spans="1:35" ht="14" customHeight="1" x14ac:dyDescent="0.15">
      <c r="A9" s="48" t="s">
        <v>184</v>
      </c>
      <c r="B9">
        <f>'BIFUbC-natural-gas'!B9</f>
        <v>55153444523.881454</v>
      </c>
      <c r="C9">
        <f>'BIFUbC-natural-gas'!C9</f>
        <v>55947535491.255432</v>
      </c>
      <c r="D9">
        <f>'BIFUbC-natural-gas'!D9</f>
        <v>56741626458.629433</v>
      </c>
      <c r="E9">
        <f>'BIFUbC-natural-gas'!E9</f>
        <v>57099448143.992981</v>
      </c>
      <c r="F9">
        <f>'BIFUbC-natural-gas'!F9</f>
        <v>57116078968.229729</v>
      </c>
      <c r="G9">
        <f>'BIFUbC-natural-gas'!G9</f>
        <v>55747680095.86628</v>
      </c>
      <c r="H9">
        <f>'BIFUbC-natural-gas'!H9</f>
        <v>55065646444.401123</v>
      </c>
      <c r="I9">
        <f>'BIFUbC-natural-gas'!I9</f>
        <v>54126758373.084167</v>
      </c>
      <c r="J9">
        <f>'BIFUbC-natural-gas'!J9</f>
        <v>53300404507.094269</v>
      </c>
      <c r="K9">
        <f>'BIFUbC-natural-gas'!K9</f>
        <v>52522263507.612503</v>
      </c>
      <c r="L9">
        <f>'BIFUbC-natural-gas'!L9</f>
        <v>51675739032.81601</v>
      </c>
      <c r="M9">
        <f>'BIFUbC-natural-gas'!M9</f>
        <v>50968447198.470123</v>
      </c>
      <c r="N9">
        <f>'BIFUbC-natural-gas'!N9</f>
        <v>50271816494.19223</v>
      </c>
      <c r="O9">
        <f>'BIFUbC-natural-gas'!O9</f>
        <v>49442354958.62426</v>
      </c>
      <c r="P9">
        <f>'BIFUbC-natural-gas'!P9</f>
        <v>48741488623.091614</v>
      </c>
      <c r="Q9">
        <f>'BIFUbC-natural-gas'!Q9</f>
        <v>48105009878.767441</v>
      </c>
      <c r="R9">
        <f>'BIFUbC-natural-gas'!R9</f>
        <v>47480011474.325058</v>
      </c>
      <c r="S9">
        <f>'BIFUbC-natural-gas'!S9</f>
        <v>46924662221.410812</v>
      </c>
      <c r="T9">
        <f>'BIFUbC-natural-gas'!T9</f>
        <v>46478094575.56926</v>
      </c>
      <c r="U9">
        <f>'BIFUbC-natural-gas'!U9</f>
        <v>46011074305.927597</v>
      </c>
      <c r="V9">
        <f>'BIFUbC-natural-gas'!V9</f>
        <v>45567704468.300919</v>
      </c>
      <c r="W9">
        <f>'BIFUbC-natural-gas'!W9</f>
        <v>45314377742.449394</v>
      </c>
      <c r="X9">
        <f>'BIFUbC-natural-gas'!X9</f>
        <v>45172169445.713226</v>
      </c>
      <c r="Y9">
        <f>'BIFUbC-natural-gas'!Y9</f>
        <v>45027480223.072235</v>
      </c>
      <c r="Z9">
        <f>'BIFUbC-natural-gas'!Z9</f>
        <v>44837068201.478134</v>
      </c>
      <c r="AA9">
        <f>'BIFUbC-natural-gas'!AA9</f>
        <v>44584812326.563911</v>
      </c>
      <c r="AB9">
        <f>'BIFUbC-natural-gas'!AB9</f>
        <v>44480776415.507706</v>
      </c>
      <c r="AC9">
        <f>'BIFUbC-natural-gas'!AC9</f>
        <v>44297308902.54406</v>
      </c>
      <c r="AD9">
        <f>'BIFUbC-natural-gas'!AD9</f>
        <v>44040538428.598312</v>
      </c>
      <c r="AE9">
        <f>'BIFUbC-natural-gas'!AE9</f>
        <v>43926408169.785889</v>
      </c>
      <c r="AF9">
        <f>'BIFUbC-natural-gas'!AF9</f>
        <v>43950868473.369888</v>
      </c>
      <c r="AG9" s="57"/>
    </row>
    <row r="10" spans="1:35" ht="14" customHeight="1" x14ac:dyDescent="0.15">
      <c r="A10" s="48" t="s">
        <v>136</v>
      </c>
      <c r="B10">
        <f>'BIFUbC-natural-gas'!B10+('E3 Oil + Gas Ext vs. Refi'!B79*1000000000000)</f>
        <v>45856596001301.141</v>
      </c>
      <c r="C10">
        <f>'BIFUbC-natural-gas'!C10+('E3 Oil + Gas Ext vs. Refi'!C79*1000000000000)</f>
        <v>45988259838530.352</v>
      </c>
      <c r="D10">
        <f>'BIFUbC-natural-gas'!D10+('E3 Oil + Gas Ext vs. Refi'!D79*1000000000000)</f>
        <v>46119923675759.547</v>
      </c>
      <c r="E10">
        <f>'BIFUbC-natural-gas'!E10+('E3 Oil + Gas Ext vs. Refi'!E79*1000000000000)</f>
        <v>41670090225982.945</v>
      </c>
      <c r="F10">
        <f>'BIFUbC-natural-gas'!F10+('E3 Oil + Gas Ext vs. Refi'!F79*1000000000000)</f>
        <v>40227349981962.641</v>
      </c>
      <c r="G10">
        <f>'BIFUbC-natural-gas'!G10+('E3 Oil + Gas Ext vs. Refi'!G79*1000000000000)</f>
        <v>40550687306599.969</v>
      </c>
      <c r="H10">
        <f>'BIFUbC-natural-gas'!H10+('E3 Oil + Gas Ext vs. Refi'!H79*1000000000000)</f>
        <v>41834518672886.922</v>
      </c>
      <c r="I10">
        <f>'BIFUbC-natural-gas'!I10+('E3 Oil + Gas Ext vs. Refi'!I79*1000000000000)</f>
        <v>41970074282572.078</v>
      </c>
      <c r="J10">
        <f>'BIFUbC-natural-gas'!J10+('E3 Oil + Gas Ext vs. Refi'!J79*1000000000000)</f>
        <v>42113469234133.867</v>
      </c>
      <c r="K10">
        <f>'BIFUbC-natural-gas'!K10+('E3 Oil + Gas Ext vs. Refi'!K79*1000000000000)</f>
        <v>42418946058624.789</v>
      </c>
      <c r="L10">
        <f>'BIFUbC-natural-gas'!L10+('E3 Oil + Gas Ext vs. Refi'!L79*1000000000000)</f>
        <v>43086879673304.633</v>
      </c>
      <c r="M10">
        <f>'BIFUbC-natural-gas'!M10+('E3 Oil + Gas Ext vs. Refi'!M79*1000000000000)</f>
        <v>42101070223989.281</v>
      </c>
      <c r="N10">
        <f>'BIFUbC-natural-gas'!N10+('E3 Oil + Gas Ext vs. Refi'!N79*1000000000000)</f>
        <v>42522158476402.789</v>
      </c>
      <c r="O10">
        <f>'BIFUbC-natural-gas'!O10+('E3 Oil + Gas Ext vs. Refi'!O79*1000000000000)</f>
        <v>42673516008863.406</v>
      </c>
      <c r="P10">
        <f>'BIFUbC-natural-gas'!P10+('E3 Oil + Gas Ext vs. Refi'!P79*1000000000000)</f>
        <v>43161091157843.07</v>
      </c>
      <c r="Q10">
        <f>'BIFUbC-natural-gas'!Q10+('E3 Oil + Gas Ext vs. Refi'!Q79*1000000000000)</f>
        <v>43668433647025.391</v>
      </c>
      <c r="R10">
        <f>'BIFUbC-natural-gas'!R10+('E3 Oil + Gas Ext vs. Refi'!R79*1000000000000)</f>
        <v>44038276644537.969</v>
      </c>
      <c r="S10">
        <f>'BIFUbC-natural-gas'!S10+('E3 Oil + Gas Ext vs. Refi'!S79*1000000000000)</f>
        <v>44206789739404.664</v>
      </c>
      <c r="T10">
        <f>'BIFUbC-natural-gas'!T10+('E3 Oil + Gas Ext vs. Refi'!T79*1000000000000)</f>
        <v>44576911341373.414</v>
      </c>
      <c r="U10">
        <f>'BIFUbC-natural-gas'!U10+('E3 Oil + Gas Ext vs. Refi'!U79*1000000000000)</f>
        <v>44639825652210.43</v>
      </c>
      <c r="V10">
        <f>'BIFUbC-natural-gas'!V10+('E3 Oil + Gas Ext vs. Refi'!V79*1000000000000)</f>
        <v>44885567393232.898</v>
      </c>
      <c r="W10">
        <f>'BIFUbC-natural-gas'!W10+('E3 Oil + Gas Ext vs. Refi'!W79*1000000000000)</f>
        <v>45133818183607.828</v>
      </c>
      <c r="X10">
        <f>'BIFUbC-natural-gas'!X10+('E3 Oil + Gas Ext vs. Refi'!X79*1000000000000)</f>
        <v>45382051594120.617</v>
      </c>
      <c r="Y10">
        <f>'BIFUbC-natural-gas'!Y10+('E3 Oil + Gas Ext vs. Refi'!Y79*1000000000000)</f>
        <v>45294134303509.422</v>
      </c>
      <c r="Z10">
        <f>'BIFUbC-natural-gas'!Z10+('E3 Oil + Gas Ext vs. Refi'!Z79*1000000000000)</f>
        <v>45662680394644.961</v>
      </c>
      <c r="AA10">
        <f>'BIFUbC-natural-gas'!AA10+('E3 Oil + Gas Ext vs. Refi'!AA79*1000000000000)</f>
        <v>45916290473239.992</v>
      </c>
      <c r="AB10">
        <f>'BIFUbC-natural-gas'!AB10+('E3 Oil + Gas Ext vs. Refi'!AB79*1000000000000)</f>
        <v>45812697161446.969</v>
      </c>
      <c r="AC10">
        <f>'BIFUbC-natural-gas'!AC10+('E3 Oil + Gas Ext vs. Refi'!AC79*1000000000000)</f>
        <v>46221377508971.648</v>
      </c>
      <c r="AD10">
        <f>'BIFUbC-natural-gas'!AD10+('E3 Oil + Gas Ext vs. Refi'!AD79*1000000000000)</f>
        <v>46815752408008.016</v>
      </c>
      <c r="AE10">
        <f>'BIFUbC-natural-gas'!AE10+('E3 Oil + Gas Ext vs. Refi'!AE79*1000000000000)</f>
        <v>47041120942153.289</v>
      </c>
      <c r="AF10">
        <f>'BIFUbC-natural-gas'!AF10+('E3 Oil + Gas Ext vs. Refi'!AF79*1000000000000)</f>
        <v>47710032305742.32</v>
      </c>
    </row>
    <row r="11" spans="1:35" ht="14" customHeight="1" x14ac:dyDescent="0.15">
      <c r="A11" s="48" t="s">
        <v>185</v>
      </c>
      <c r="B11">
        <f>'BIFUbC-natural-gas'!B11</f>
        <v>68682469536.471283</v>
      </c>
      <c r="C11">
        <f>'BIFUbC-natural-gas'!C11</f>
        <v>69775233839.761139</v>
      </c>
      <c r="D11">
        <f>'BIFUbC-natural-gas'!D11</f>
        <v>70867998143.050995</v>
      </c>
      <c r="E11">
        <f>'BIFUbC-natural-gas'!E11</f>
        <v>72913802731.765228</v>
      </c>
      <c r="F11">
        <f>'BIFUbC-natural-gas'!F11</f>
        <v>75214088572.148499</v>
      </c>
      <c r="G11">
        <f>'BIFUbC-natural-gas'!G11</f>
        <v>77339756054.728226</v>
      </c>
      <c r="H11">
        <f>'BIFUbC-natural-gas'!H11</f>
        <v>79463348850.693634</v>
      </c>
      <c r="I11">
        <f>'BIFUbC-natural-gas'!I11</f>
        <v>80901223595.460495</v>
      </c>
      <c r="J11">
        <f>'BIFUbC-natural-gas'!J11</f>
        <v>81868323012.323547</v>
      </c>
      <c r="K11">
        <f>'BIFUbC-natural-gas'!K11</f>
        <v>82863608697.413284</v>
      </c>
      <c r="L11">
        <f>'BIFUbC-natural-gas'!L11</f>
        <v>83771023697.264847</v>
      </c>
      <c r="M11">
        <f>'BIFUbC-natural-gas'!M11</f>
        <v>84879902795.820786</v>
      </c>
      <c r="N11">
        <f>'BIFUbC-natural-gas'!N11</f>
        <v>86372418023.33963</v>
      </c>
      <c r="O11">
        <f>'BIFUbC-natural-gas'!O11</f>
        <v>87498413910.161118</v>
      </c>
      <c r="P11">
        <f>'BIFUbC-natural-gas'!P11</f>
        <v>88599693093.515686</v>
      </c>
      <c r="Q11">
        <f>'BIFUbC-natural-gas'!Q11</f>
        <v>89697320525.490143</v>
      </c>
      <c r="R11">
        <f>'BIFUbC-natural-gas'!R11</f>
        <v>90783905675.188171</v>
      </c>
      <c r="S11">
        <f>'BIFUbC-natural-gas'!S11</f>
        <v>92081792644.689941</v>
      </c>
      <c r="T11">
        <f>'BIFUbC-natural-gas'!T11</f>
        <v>93417627445.54538</v>
      </c>
      <c r="U11">
        <f>'BIFUbC-natural-gas'!U11</f>
        <v>94366769886.206406</v>
      </c>
      <c r="V11">
        <f>'BIFUbC-natural-gas'!V11</f>
        <v>95565012468.721054</v>
      </c>
      <c r="W11">
        <f>'BIFUbC-natural-gas'!W11</f>
        <v>97042374086.308685</v>
      </c>
      <c r="X11">
        <f>'BIFUbC-natural-gas'!X11</f>
        <v>98471487879.902557</v>
      </c>
      <c r="Y11">
        <f>'BIFUbC-natural-gas'!Y11</f>
        <v>99972032616.846985</v>
      </c>
      <c r="Z11">
        <f>'BIFUbC-natural-gas'!Z11</f>
        <v>101240849604.97998</v>
      </c>
      <c r="AA11">
        <f>'BIFUbC-natural-gas'!AA11</f>
        <v>102420311284.05215</v>
      </c>
      <c r="AB11">
        <f>'BIFUbC-natural-gas'!AB11</f>
        <v>103796660811.91704</v>
      </c>
      <c r="AC11">
        <f>'BIFUbC-natural-gas'!AC11</f>
        <v>104675544237.63794</v>
      </c>
      <c r="AD11">
        <f>'BIFUbC-natural-gas'!AD11</f>
        <v>105001540698.70293</v>
      </c>
      <c r="AE11">
        <f>'BIFUbC-natural-gas'!AE11</f>
        <v>106289013494.29358</v>
      </c>
      <c r="AF11">
        <f>'BIFUbC-natural-gas'!AF11</f>
        <v>108395992558.92389</v>
      </c>
    </row>
    <row r="12" spans="1:35" ht="14" customHeight="1" x14ac:dyDescent="0.15">
      <c r="A12" s="48" t="s">
        <v>186</v>
      </c>
      <c r="B12">
        <f>'BIFUbC-natural-gas'!B12</f>
        <v>0</v>
      </c>
      <c r="C12">
        <f>'BIFUbC-natural-gas'!C12</f>
        <v>0</v>
      </c>
      <c r="D12">
        <f>'BIFUbC-natural-gas'!D12</f>
        <v>0</v>
      </c>
      <c r="E12">
        <f>'BIFUbC-natural-gas'!E12</f>
        <v>0</v>
      </c>
      <c r="F12">
        <f>'BIFUbC-natural-gas'!F12</f>
        <v>0</v>
      </c>
      <c r="G12">
        <f>'BIFUbC-natural-gas'!G12</f>
        <v>0</v>
      </c>
      <c r="H12">
        <f>'BIFUbC-natural-gas'!H12</f>
        <v>0</v>
      </c>
      <c r="I12">
        <f>'BIFUbC-natural-gas'!I12</f>
        <v>0</v>
      </c>
      <c r="J12">
        <f>'BIFUbC-natural-gas'!J12</f>
        <v>0</v>
      </c>
      <c r="K12">
        <f>'BIFUbC-natural-gas'!K12</f>
        <v>0</v>
      </c>
      <c r="L12">
        <f>'BIFUbC-natural-gas'!L12</f>
        <v>0</v>
      </c>
      <c r="M12">
        <f>'BIFUbC-natural-gas'!M12</f>
        <v>0</v>
      </c>
      <c r="N12">
        <f>'BIFUbC-natural-gas'!N12</f>
        <v>0</v>
      </c>
      <c r="O12">
        <f>'BIFUbC-natural-gas'!O12</f>
        <v>0</v>
      </c>
      <c r="P12">
        <f>'BIFUbC-natural-gas'!P12</f>
        <v>0</v>
      </c>
      <c r="Q12">
        <f>'BIFUbC-natural-gas'!Q12</f>
        <v>0</v>
      </c>
      <c r="R12">
        <f>'BIFUbC-natural-gas'!R12</f>
        <v>0</v>
      </c>
      <c r="S12">
        <f>'BIFUbC-natural-gas'!S12</f>
        <v>0</v>
      </c>
      <c r="T12">
        <f>'BIFUbC-natural-gas'!T12</f>
        <v>0</v>
      </c>
      <c r="U12">
        <f>'BIFUbC-natural-gas'!U12</f>
        <v>0</v>
      </c>
      <c r="V12">
        <f>'BIFUbC-natural-gas'!V12</f>
        <v>0</v>
      </c>
      <c r="W12">
        <f>'BIFUbC-natural-gas'!W12</f>
        <v>0</v>
      </c>
      <c r="X12">
        <f>'BIFUbC-natural-gas'!X12</f>
        <v>0</v>
      </c>
      <c r="Y12">
        <f>'BIFUbC-natural-gas'!Y12</f>
        <v>0</v>
      </c>
      <c r="Z12">
        <f>'BIFUbC-natural-gas'!Z12</f>
        <v>0</v>
      </c>
      <c r="AA12">
        <f>'BIFUbC-natural-gas'!AA12</f>
        <v>0</v>
      </c>
      <c r="AB12">
        <f>'BIFUbC-natural-gas'!AB12</f>
        <v>0</v>
      </c>
      <c r="AC12">
        <f>'BIFUbC-natural-gas'!AC12</f>
        <v>0</v>
      </c>
      <c r="AD12">
        <f>'BIFUbC-natural-gas'!AD12</f>
        <v>0</v>
      </c>
      <c r="AE12">
        <f>'BIFUbC-natural-gas'!AE12</f>
        <v>0</v>
      </c>
      <c r="AF12">
        <f>'BIFUbC-natural-gas'!AF12</f>
        <v>0</v>
      </c>
    </row>
    <row r="13" spans="1:35" ht="14" customHeight="1" x14ac:dyDescent="0.15">
      <c r="A13" s="48" t="s">
        <v>187</v>
      </c>
      <c r="B13">
        <f>'BIFUbC-natural-gas'!B13</f>
        <v>0</v>
      </c>
      <c r="C13">
        <f>'BIFUbC-natural-gas'!C13</f>
        <v>0</v>
      </c>
      <c r="D13">
        <f>'BIFUbC-natural-gas'!D13</f>
        <v>0</v>
      </c>
      <c r="E13">
        <f>'BIFUbC-natural-gas'!E13</f>
        <v>0</v>
      </c>
      <c r="F13">
        <f>'BIFUbC-natural-gas'!F13</f>
        <v>0</v>
      </c>
      <c r="G13">
        <f>'BIFUbC-natural-gas'!G13</f>
        <v>0</v>
      </c>
      <c r="H13">
        <f>'BIFUbC-natural-gas'!H13</f>
        <v>0</v>
      </c>
      <c r="I13">
        <f>'BIFUbC-natural-gas'!I13</f>
        <v>0</v>
      </c>
      <c r="J13">
        <f>'BIFUbC-natural-gas'!J13</f>
        <v>0</v>
      </c>
      <c r="K13">
        <f>'BIFUbC-natural-gas'!K13</f>
        <v>0</v>
      </c>
      <c r="L13">
        <f>'BIFUbC-natural-gas'!L13</f>
        <v>0</v>
      </c>
      <c r="M13">
        <f>'BIFUbC-natural-gas'!M13</f>
        <v>0</v>
      </c>
      <c r="N13">
        <f>'BIFUbC-natural-gas'!N13</f>
        <v>0</v>
      </c>
      <c r="O13">
        <f>'BIFUbC-natural-gas'!O13</f>
        <v>0</v>
      </c>
      <c r="P13">
        <f>'BIFUbC-natural-gas'!P13</f>
        <v>0</v>
      </c>
      <c r="Q13">
        <f>'BIFUbC-natural-gas'!Q13</f>
        <v>0</v>
      </c>
      <c r="R13">
        <f>'BIFUbC-natural-gas'!R13</f>
        <v>0</v>
      </c>
      <c r="S13">
        <f>'BIFUbC-natural-gas'!S13</f>
        <v>0</v>
      </c>
      <c r="T13">
        <f>'BIFUbC-natural-gas'!T13</f>
        <v>0</v>
      </c>
      <c r="U13">
        <f>'BIFUbC-natural-gas'!U13</f>
        <v>0</v>
      </c>
      <c r="V13">
        <f>'BIFUbC-natural-gas'!V13</f>
        <v>0</v>
      </c>
      <c r="W13">
        <f>'BIFUbC-natural-gas'!W13</f>
        <v>0</v>
      </c>
      <c r="X13">
        <f>'BIFUbC-natural-gas'!X13</f>
        <v>0</v>
      </c>
      <c r="Y13">
        <f>'BIFUbC-natural-gas'!Y13</f>
        <v>0</v>
      </c>
      <c r="Z13">
        <f>'BIFUbC-natural-gas'!Z13</f>
        <v>0</v>
      </c>
      <c r="AA13">
        <f>'BIFUbC-natural-gas'!AA13</f>
        <v>0</v>
      </c>
      <c r="AB13">
        <f>'BIFUbC-natural-gas'!AB13</f>
        <v>0</v>
      </c>
      <c r="AC13">
        <f>'BIFUbC-natural-gas'!AC13</f>
        <v>0</v>
      </c>
      <c r="AD13">
        <f>'BIFUbC-natural-gas'!AD13</f>
        <v>0</v>
      </c>
      <c r="AE13">
        <f>'BIFUbC-natural-gas'!AE13</f>
        <v>0</v>
      </c>
      <c r="AF13">
        <f>'BIFUbC-natural-gas'!AF13</f>
        <v>0</v>
      </c>
    </row>
    <row r="14" spans="1:35" ht="14" customHeight="1" x14ac:dyDescent="0.15">
      <c r="A14" s="48" t="s">
        <v>188</v>
      </c>
      <c r="B14">
        <f>'BIFUbC-natural-gas'!B14</f>
        <v>74103804065.192612</v>
      </c>
      <c r="C14">
        <f>'BIFUbC-natural-gas'!C14</f>
        <v>77546708457.734009</v>
      </c>
      <c r="D14">
        <f>'BIFUbC-natural-gas'!D14</f>
        <v>80989612850.275406</v>
      </c>
      <c r="E14">
        <f>'BIFUbC-natural-gas'!E14</f>
        <v>84844880589.786713</v>
      </c>
      <c r="F14">
        <f>'BIFUbC-natural-gas'!F14</f>
        <v>89581165617.242676</v>
      </c>
      <c r="G14">
        <f>'BIFUbC-natural-gas'!G14</f>
        <v>92138434706.649597</v>
      </c>
      <c r="H14">
        <f>'BIFUbC-natural-gas'!H14</f>
        <v>93042300635.24762</v>
      </c>
      <c r="I14">
        <f>'BIFUbC-natural-gas'!I14</f>
        <v>92921232137.550949</v>
      </c>
      <c r="J14">
        <f>'BIFUbC-natural-gas'!J14</f>
        <v>91614595167.668106</v>
      </c>
      <c r="K14">
        <f>'BIFUbC-natural-gas'!K14</f>
        <v>90117727982.486343</v>
      </c>
      <c r="L14">
        <f>'BIFUbC-natural-gas'!L14</f>
        <v>88381634589.241653</v>
      </c>
      <c r="M14">
        <f>'BIFUbC-natural-gas'!M14</f>
        <v>86295649910.006134</v>
      </c>
      <c r="N14">
        <f>'BIFUbC-natural-gas'!N14</f>
        <v>84015323381.426636</v>
      </c>
      <c r="O14">
        <f>'BIFUbC-natural-gas'!O14</f>
        <v>81264174515.470367</v>
      </c>
      <c r="P14">
        <f>'BIFUbC-natural-gas'!P14</f>
        <v>78471246492.314972</v>
      </c>
      <c r="Q14">
        <f>'BIFUbC-natural-gas'!Q14</f>
        <v>76002221551.39949</v>
      </c>
      <c r="R14">
        <f>'BIFUbC-natural-gas'!R14</f>
        <v>73494638399.066406</v>
      </c>
      <c r="S14">
        <f>'BIFUbC-natural-gas'!S14</f>
        <v>71162791206.015381</v>
      </c>
      <c r="T14">
        <f>'BIFUbC-natural-gas'!T14</f>
        <v>69012984417.498734</v>
      </c>
      <c r="U14">
        <f>'BIFUbC-natural-gas'!U14</f>
        <v>66741351368.072372</v>
      </c>
      <c r="V14">
        <f>'BIFUbC-natural-gas'!V14</f>
        <v>64865831352.129272</v>
      </c>
      <c r="W14">
        <f>'BIFUbC-natural-gas'!W14</f>
        <v>63027710296.483093</v>
      </c>
      <c r="X14">
        <f>'BIFUbC-natural-gas'!X14</f>
        <v>61191789286.060471</v>
      </c>
      <c r="Y14">
        <f>'BIFUbC-natural-gas'!Y14</f>
        <v>59432805656.568359</v>
      </c>
      <c r="Z14">
        <f>'BIFUbC-natural-gas'!Z14</f>
        <v>57949833208.298126</v>
      </c>
      <c r="AA14">
        <f>'BIFUbC-natural-gas'!AA14</f>
        <v>56576642383.708557</v>
      </c>
      <c r="AB14">
        <f>'BIFUbC-natural-gas'!AB14</f>
        <v>55324282238.528023</v>
      </c>
      <c r="AC14">
        <f>'BIFUbC-natural-gas'!AC14</f>
        <v>54070100929.730408</v>
      </c>
      <c r="AD14">
        <f>'BIFUbC-natural-gas'!AD14</f>
        <v>52784664149.024315</v>
      </c>
      <c r="AE14">
        <f>'BIFUbC-natural-gas'!AE14</f>
        <v>51629961416.115532</v>
      </c>
      <c r="AF14">
        <f>'BIFUbC-natural-gas'!AF14</f>
        <v>50582188295.939964</v>
      </c>
    </row>
    <row r="15" spans="1:35" ht="14" customHeight="1" x14ac:dyDescent="0.15">
      <c r="A15" s="48" t="s">
        <v>189</v>
      </c>
      <c r="B15">
        <f>'BIFUbC-natural-gas'!B15</f>
        <v>8930640516.4316578</v>
      </c>
      <c r="C15">
        <f>'BIFUbC-natural-gas'!C15</f>
        <v>9033710936.5609436</v>
      </c>
      <c r="D15">
        <f>'BIFUbC-natural-gas'!D15</f>
        <v>9136781356.6902275</v>
      </c>
      <c r="E15">
        <f>'BIFUbC-natural-gas'!E15</f>
        <v>9210713939.4074993</v>
      </c>
      <c r="F15">
        <f>'BIFUbC-natural-gas'!F15</f>
        <v>9309357116.1006584</v>
      </c>
      <c r="G15">
        <f>'BIFUbC-natural-gas'!G15</f>
        <v>9403234710.7908707</v>
      </c>
      <c r="H15">
        <f>'BIFUbC-natural-gas'!H15</f>
        <v>9248918230.6573944</v>
      </c>
      <c r="I15">
        <f>'BIFUbC-natural-gas'!I15</f>
        <v>9046844260.8178596</v>
      </c>
      <c r="J15">
        <f>'BIFUbC-natural-gas'!J15</f>
        <v>8832693494.9927483</v>
      </c>
      <c r="K15">
        <f>'BIFUbC-natural-gas'!K15</f>
        <v>8769065421.5770073</v>
      </c>
      <c r="L15">
        <f>'BIFUbC-natural-gas'!L15</f>
        <v>8679532809.3015194</v>
      </c>
      <c r="M15">
        <f>'BIFUbC-natural-gas'!M15</f>
        <v>8543391666.3589821</v>
      </c>
      <c r="N15">
        <f>'BIFUbC-natural-gas'!N15</f>
        <v>8479656727.248827</v>
      </c>
      <c r="O15">
        <f>'BIFUbC-natural-gas'!O15</f>
        <v>8369234428.0449352</v>
      </c>
      <c r="P15">
        <f>'BIFUbC-natural-gas'!P15</f>
        <v>8316439135.0129395</v>
      </c>
      <c r="Q15">
        <f>'BIFUbC-natural-gas'!Q15</f>
        <v>8310974841.4260683</v>
      </c>
      <c r="R15">
        <f>'BIFUbC-natural-gas'!R15</f>
        <v>8318735441.4918308</v>
      </c>
      <c r="S15">
        <f>'BIFUbC-natural-gas'!S15</f>
        <v>8368994466.4908619</v>
      </c>
      <c r="T15">
        <f>'BIFUbC-natural-gas'!T15</f>
        <v>8405845431.2596188</v>
      </c>
      <c r="U15">
        <f>'BIFUbC-natural-gas'!U15</f>
        <v>8388165299.5824223</v>
      </c>
      <c r="V15">
        <f>'BIFUbC-natural-gas'!V15</f>
        <v>8344851127.6245527</v>
      </c>
      <c r="W15">
        <f>'BIFUbC-natural-gas'!W15</f>
        <v>8369491366.9623156</v>
      </c>
      <c r="X15">
        <f>'BIFUbC-natural-gas'!X15</f>
        <v>8404573462.7486401</v>
      </c>
      <c r="Y15">
        <f>'BIFUbC-natural-gas'!Y15</f>
        <v>8408289254.631815</v>
      </c>
      <c r="Z15">
        <f>'BIFUbC-natural-gas'!Z15</f>
        <v>8385266949.6815643</v>
      </c>
      <c r="AA15">
        <f>'BIFUbC-natural-gas'!AA15</f>
        <v>8332143501.7221031</v>
      </c>
      <c r="AB15">
        <f>'BIFUbC-natural-gas'!AB15</f>
        <v>8308062931.863512</v>
      </c>
      <c r="AC15">
        <f>'BIFUbC-natural-gas'!AC15</f>
        <v>8258710375.805953</v>
      </c>
      <c r="AD15">
        <f>'BIFUbC-natural-gas'!AD15</f>
        <v>8130188234.4947739</v>
      </c>
      <c r="AE15">
        <f>'BIFUbC-natural-gas'!AE15</f>
        <v>8097249787.8485184</v>
      </c>
      <c r="AF15">
        <f>'BIFUbC-natural-gas'!AF15</f>
        <v>8151248334.1386852</v>
      </c>
      <c r="AG15" s="57"/>
    </row>
    <row r="16" spans="1:35" ht="14" customHeight="1" x14ac:dyDescent="0.15">
      <c r="A16" s="48" t="s">
        <v>190</v>
      </c>
      <c r="B16">
        <f>'BIFUbC-natural-gas'!B16</f>
        <v>8099988981.9531593</v>
      </c>
      <c r="C16">
        <f>'BIFUbC-natural-gas'!C16</f>
        <v>8347052620.5878229</v>
      </c>
      <c r="D16">
        <f>'BIFUbC-natural-gas'!D16</f>
        <v>8594116259.2224903</v>
      </c>
      <c r="E16">
        <f>'BIFUbC-natural-gas'!E16</f>
        <v>8778040532.0183163</v>
      </c>
      <c r="F16">
        <f>'BIFUbC-natural-gas'!F16</f>
        <v>8881254108.5369797</v>
      </c>
      <c r="G16">
        <f>'BIFUbC-natural-gas'!G16</f>
        <v>9016082768.6838226</v>
      </c>
      <c r="H16">
        <f>'BIFUbC-natural-gas'!H16</f>
        <v>9130894122.7458286</v>
      </c>
      <c r="I16">
        <f>'BIFUbC-natural-gas'!I16</f>
        <v>9188680112.9604053</v>
      </c>
      <c r="J16">
        <f>'BIFUbC-natural-gas'!J16</f>
        <v>9236564162.7339268</v>
      </c>
      <c r="K16">
        <f>'BIFUbC-natural-gas'!K16</f>
        <v>9276071273.3001366</v>
      </c>
      <c r="L16">
        <f>'BIFUbC-natural-gas'!L16</f>
        <v>9293737392.9213715</v>
      </c>
      <c r="M16">
        <f>'BIFUbC-natural-gas'!M16</f>
        <v>9290041452.2188663</v>
      </c>
      <c r="N16">
        <f>'BIFUbC-natural-gas'!N16</f>
        <v>9269990648.9048996</v>
      </c>
      <c r="O16">
        <f>'BIFUbC-natural-gas'!O16</f>
        <v>9229991368.336422</v>
      </c>
      <c r="P16">
        <f>'BIFUbC-natural-gas'!P16</f>
        <v>9239234210.9167137</v>
      </c>
      <c r="Q16">
        <f>'BIFUbC-natural-gas'!Q16</f>
        <v>9268517568.3763123</v>
      </c>
      <c r="R16">
        <f>'BIFUbC-natural-gas'!R16</f>
        <v>9279418523.7984715</v>
      </c>
      <c r="S16">
        <f>'BIFUbC-natural-gas'!S16</f>
        <v>9308833318.0047455</v>
      </c>
      <c r="T16">
        <f>'BIFUbC-natural-gas'!T16</f>
        <v>9364784058.8396072</v>
      </c>
      <c r="U16">
        <f>'BIFUbC-natural-gas'!U16</f>
        <v>9414890330.7445889</v>
      </c>
      <c r="V16">
        <f>'BIFUbC-natural-gas'!V16</f>
        <v>9432491370.0349445</v>
      </c>
      <c r="W16">
        <f>'BIFUbC-natural-gas'!W16</f>
        <v>9492245800.9926739</v>
      </c>
      <c r="X16">
        <f>'BIFUbC-natural-gas'!X16</f>
        <v>9587246096.1949043</v>
      </c>
      <c r="Y16">
        <f>'BIFUbC-natural-gas'!Y16</f>
        <v>9640784797.2665787</v>
      </c>
      <c r="Z16">
        <f>'BIFUbC-natural-gas'!Z16</f>
        <v>9664992207.9388771</v>
      </c>
      <c r="AA16">
        <f>'BIFUbC-natural-gas'!AA16</f>
        <v>9701879755.4319153</v>
      </c>
      <c r="AB16">
        <f>'BIFUbC-natural-gas'!AB16</f>
        <v>9737167012.6809845</v>
      </c>
      <c r="AC16">
        <f>'BIFUbC-natural-gas'!AC16</f>
        <v>9753735380.2504883</v>
      </c>
      <c r="AD16">
        <f>'BIFUbC-natural-gas'!AD16</f>
        <v>9726019533.6034946</v>
      </c>
      <c r="AE16">
        <f>'BIFUbC-natural-gas'!AE16</f>
        <v>9730745673.6123238</v>
      </c>
      <c r="AF16">
        <f>'BIFUbC-natural-gas'!AF16</f>
        <v>9795816992.1411552</v>
      </c>
    </row>
    <row r="17" spans="1:33" ht="14" customHeight="1" x14ac:dyDescent="0.15">
      <c r="A17" s="48" t="s">
        <v>191</v>
      </c>
      <c r="B17">
        <f>'BIFUbC-natural-gas'!B17</f>
        <v>9039187333.9141369</v>
      </c>
      <c r="C17">
        <f>'BIFUbC-natural-gas'!C17</f>
        <v>9157678042.3464508</v>
      </c>
      <c r="D17">
        <f>'BIFUbC-natural-gas'!D17</f>
        <v>9276168750.7787647</v>
      </c>
      <c r="E17">
        <f>'BIFUbC-natural-gas'!E17</f>
        <v>9498163378.2833977</v>
      </c>
      <c r="F17">
        <f>'BIFUbC-natural-gas'!F17</f>
        <v>9759203740.6406021</v>
      </c>
      <c r="G17">
        <f>'BIFUbC-natural-gas'!G17</f>
        <v>9929809611.4634724</v>
      </c>
      <c r="H17">
        <f>'BIFUbC-natural-gas'!H17</f>
        <v>10045174457.899971</v>
      </c>
      <c r="I17">
        <f>'BIFUbC-natural-gas'!I17</f>
        <v>10103264392.92565</v>
      </c>
      <c r="J17">
        <f>'BIFUbC-natural-gas'!J17</f>
        <v>10106817921.998501</v>
      </c>
      <c r="K17">
        <f>'BIFUbC-natural-gas'!K17</f>
        <v>10168294595.120981</v>
      </c>
      <c r="L17">
        <f>'BIFUbC-natural-gas'!L17</f>
        <v>10231087317.588713</v>
      </c>
      <c r="M17">
        <f>'BIFUbC-natural-gas'!M17</f>
        <v>10256647789.867123</v>
      </c>
      <c r="N17">
        <f>'BIFUbC-natural-gas'!N17</f>
        <v>10370355987.382042</v>
      </c>
      <c r="O17">
        <f>'BIFUbC-natural-gas'!O17</f>
        <v>10447884170.341751</v>
      </c>
      <c r="P17">
        <f>'BIFUbC-natural-gas'!P17</f>
        <v>10565661447.510082</v>
      </c>
      <c r="Q17">
        <f>'BIFUbC-natural-gas'!Q17</f>
        <v>10687501521.110126</v>
      </c>
      <c r="R17">
        <f>'BIFUbC-natural-gas'!R17</f>
        <v>10814810200.79714</v>
      </c>
      <c r="S17">
        <f>'BIFUbC-natural-gas'!S17</f>
        <v>10967049969.788855</v>
      </c>
      <c r="T17">
        <f>'BIFUbC-natural-gas'!T17</f>
        <v>11112437844.716133</v>
      </c>
      <c r="U17">
        <f>'BIFUbC-natural-gas'!U17</f>
        <v>11231722931.891998</v>
      </c>
      <c r="V17">
        <f>'BIFUbC-natural-gas'!V17</f>
        <v>11322600676.157196</v>
      </c>
      <c r="W17">
        <f>'BIFUbC-natural-gas'!W17</f>
        <v>11444245317.082273</v>
      </c>
      <c r="X17">
        <f>'BIFUbC-natural-gas'!X17</f>
        <v>11606987613.546652</v>
      </c>
      <c r="Y17">
        <f>'BIFUbC-natural-gas'!Y17</f>
        <v>11779404602.624598</v>
      </c>
      <c r="Z17">
        <f>'BIFUbC-natural-gas'!Z17</f>
        <v>11933722485.993515</v>
      </c>
      <c r="AA17">
        <f>'BIFUbC-natural-gas'!AA17</f>
        <v>12063058198.281305</v>
      </c>
      <c r="AB17">
        <f>'BIFUbC-natural-gas'!AB17</f>
        <v>12202734706.283188</v>
      </c>
      <c r="AC17">
        <f>'BIFUbC-natural-gas'!AC17</f>
        <v>12306200518.023895</v>
      </c>
      <c r="AD17">
        <f>'BIFUbC-natural-gas'!AD17</f>
        <v>12362902105.854626</v>
      </c>
      <c r="AE17">
        <f>'BIFUbC-natural-gas'!AE17</f>
        <v>12455088473.83943</v>
      </c>
      <c r="AF17">
        <f>'BIFUbC-natural-gas'!AF17</f>
        <v>12643287283.823174</v>
      </c>
    </row>
    <row r="18" spans="1:33" ht="14" customHeight="1" x14ac:dyDescent="0.15">
      <c r="A18" s="48" t="s">
        <v>192</v>
      </c>
      <c r="B18">
        <f>'BIFUbC-natural-gas'!B18</f>
        <v>7276535536.1780672</v>
      </c>
      <c r="C18">
        <f>'BIFUbC-natural-gas'!C18</f>
        <v>7367087255.7543173</v>
      </c>
      <c r="D18">
        <f>'BIFUbC-natural-gas'!D18</f>
        <v>7457638975.3305683</v>
      </c>
      <c r="E18">
        <f>'BIFUbC-natural-gas'!E18</f>
        <v>7638985131.2098408</v>
      </c>
      <c r="F18">
        <f>'BIFUbC-natural-gas'!F18</f>
        <v>7882871846.8646297</v>
      </c>
      <c r="G18">
        <f>'BIFUbC-natural-gas'!G18</f>
        <v>8051179872.8646679</v>
      </c>
      <c r="H18">
        <f>'BIFUbC-natural-gas'!H18</f>
        <v>8123568369.2698545</v>
      </c>
      <c r="I18">
        <f>'BIFUbC-natural-gas'!I18</f>
        <v>8135250820.188776</v>
      </c>
      <c r="J18">
        <f>'BIFUbC-natural-gas'!J18</f>
        <v>8103018981.4625759</v>
      </c>
      <c r="K18">
        <f>'BIFUbC-natural-gas'!K18</f>
        <v>8081100482.7984543</v>
      </c>
      <c r="L18">
        <f>'BIFUbC-natural-gas'!L18</f>
        <v>8079319931.7426319</v>
      </c>
      <c r="M18">
        <f>'BIFUbC-natural-gas'!M18</f>
        <v>8034999386.1393013</v>
      </c>
      <c r="N18">
        <f>'BIFUbC-natural-gas'!N18</f>
        <v>8102096657.9008389</v>
      </c>
      <c r="O18">
        <f>'BIFUbC-natural-gas'!O18</f>
        <v>8132331150.0482769</v>
      </c>
      <c r="P18">
        <f>'BIFUbC-natural-gas'!P18</f>
        <v>8215160707.3562298</v>
      </c>
      <c r="Q18">
        <f>'BIFUbC-natural-gas'!Q18</f>
        <v>8309785826.2907276</v>
      </c>
      <c r="R18">
        <f>'BIFUbC-natural-gas'!R18</f>
        <v>8405448264.6730471</v>
      </c>
      <c r="S18">
        <f>'BIFUbC-natural-gas'!S18</f>
        <v>8507298094.4096107</v>
      </c>
      <c r="T18">
        <f>'BIFUbC-natural-gas'!T18</f>
        <v>8619833351.3068657</v>
      </c>
      <c r="U18">
        <f>'BIFUbC-natural-gas'!U18</f>
        <v>8739895183.2071552</v>
      </c>
      <c r="V18">
        <f>'BIFUbC-natural-gas'!V18</f>
        <v>8854300301.4897938</v>
      </c>
      <c r="W18">
        <f>'BIFUbC-natural-gas'!W18</f>
        <v>8983731705.9854374</v>
      </c>
      <c r="X18">
        <f>'BIFUbC-natural-gas'!X18</f>
        <v>9127685347.1032429</v>
      </c>
      <c r="Y18">
        <f>'BIFUbC-natural-gas'!Y18</f>
        <v>9268343460.6250134</v>
      </c>
      <c r="Z18">
        <f>'BIFUbC-natural-gas'!Z18</f>
        <v>9438319869.5624809</v>
      </c>
      <c r="AA18">
        <f>'BIFUbC-natural-gas'!AA18</f>
        <v>9590975965.7479763</v>
      </c>
      <c r="AB18">
        <f>'BIFUbC-natural-gas'!AB18</f>
        <v>9735607328.5222874</v>
      </c>
      <c r="AC18">
        <f>'BIFUbC-natural-gas'!AC18</f>
        <v>9879194066.7822437</v>
      </c>
      <c r="AD18">
        <f>'BIFUbC-natural-gas'!AD18</f>
        <v>10017158967.226065</v>
      </c>
      <c r="AE18">
        <f>'BIFUbC-natural-gas'!AE18</f>
        <v>10159798403.309687</v>
      </c>
      <c r="AF18">
        <f>'BIFUbC-natural-gas'!AF18</f>
        <v>10294189947.981876</v>
      </c>
      <c r="AG18" s="30"/>
    </row>
    <row r="19" spans="1:33" ht="14" customHeight="1" x14ac:dyDescent="0.15">
      <c r="A19" s="48" t="s">
        <v>193</v>
      </c>
      <c r="B19">
        <f>'BIFUbC-natural-gas'!B19</f>
        <v>0</v>
      </c>
      <c r="C19">
        <f>'BIFUbC-natural-gas'!C19</f>
        <v>0</v>
      </c>
      <c r="D19">
        <f>'BIFUbC-natural-gas'!D19</f>
        <v>0</v>
      </c>
      <c r="E19">
        <f>'BIFUbC-natural-gas'!E19</f>
        <v>0</v>
      </c>
      <c r="F19">
        <f>'BIFUbC-natural-gas'!F19</f>
        <v>0</v>
      </c>
      <c r="G19">
        <f>'BIFUbC-natural-gas'!G19</f>
        <v>0</v>
      </c>
      <c r="H19">
        <f>'BIFUbC-natural-gas'!H19</f>
        <v>0</v>
      </c>
      <c r="I19">
        <f>'BIFUbC-natural-gas'!I19</f>
        <v>0</v>
      </c>
      <c r="J19">
        <f>'BIFUbC-natural-gas'!J19</f>
        <v>0</v>
      </c>
      <c r="K19">
        <f>'BIFUbC-natural-gas'!K19</f>
        <v>0</v>
      </c>
      <c r="L19">
        <f>'BIFUbC-natural-gas'!L19</f>
        <v>0</v>
      </c>
      <c r="M19">
        <f>'BIFUbC-natural-gas'!M19</f>
        <v>0</v>
      </c>
      <c r="N19">
        <f>'BIFUbC-natural-gas'!N19</f>
        <v>0</v>
      </c>
      <c r="O19">
        <f>'BIFUbC-natural-gas'!O19</f>
        <v>0</v>
      </c>
      <c r="P19">
        <f>'BIFUbC-natural-gas'!P19</f>
        <v>0</v>
      </c>
      <c r="Q19">
        <f>'BIFUbC-natural-gas'!Q19</f>
        <v>0</v>
      </c>
      <c r="R19">
        <f>'BIFUbC-natural-gas'!R19</f>
        <v>0</v>
      </c>
      <c r="S19">
        <f>'BIFUbC-natural-gas'!S19</f>
        <v>0</v>
      </c>
      <c r="T19">
        <f>'BIFUbC-natural-gas'!T19</f>
        <v>0</v>
      </c>
      <c r="U19">
        <f>'BIFUbC-natural-gas'!U19</f>
        <v>0</v>
      </c>
      <c r="V19">
        <f>'BIFUbC-natural-gas'!V19</f>
        <v>0</v>
      </c>
      <c r="W19">
        <f>'BIFUbC-natural-gas'!W19</f>
        <v>0</v>
      </c>
      <c r="X19">
        <f>'BIFUbC-natural-gas'!X19</f>
        <v>0</v>
      </c>
      <c r="Y19">
        <f>'BIFUbC-natural-gas'!Y19</f>
        <v>0</v>
      </c>
      <c r="Z19">
        <f>'BIFUbC-natural-gas'!Z19</f>
        <v>0</v>
      </c>
      <c r="AA19">
        <f>'BIFUbC-natural-gas'!AA19</f>
        <v>0</v>
      </c>
      <c r="AB19">
        <f>'BIFUbC-natural-gas'!AB19</f>
        <v>0</v>
      </c>
      <c r="AC19">
        <f>'BIFUbC-natural-gas'!AC19</f>
        <v>0</v>
      </c>
      <c r="AD19">
        <f>'BIFUbC-natural-gas'!AD19</f>
        <v>0</v>
      </c>
      <c r="AE19">
        <f>'BIFUbC-natural-gas'!AE19</f>
        <v>0</v>
      </c>
      <c r="AF19">
        <f>'BIFUbC-natural-gas'!AF19</f>
        <v>0</v>
      </c>
    </row>
    <row r="20" spans="1:33" ht="14" customHeight="1" x14ac:dyDescent="0.15">
      <c r="A20" s="48" t="s">
        <v>194</v>
      </c>
      <c r="B20">
        <f>'BIFUbC-natural-gas'!B20</f>
        <v>2750735781.3975782</v>
      </c>
      <c r="C20">
        <f>'BIFUbC-natural-gas'!C20</f>
        <v>2823251702.7241883</v>
      </c>
      <c r="D20">
        <f>'BIFUbC-natural-gas'!D20</f>
        <v>2895767624.0507994</v>
      </c>
      <c r="E20">
        <f>'BIFUbC-natural-gas'!E20</f>
        <v>2954228287.8051291</v>
      </c>
      <c r="F20">
        <f>'BIFUbC-natural-gas'!F20</f>
        <v>3020606039.4633636</v>
      </c>
      <c r="G20">
        <f>'BIFUbC-natural-gas'!G20</f>
        <v>3069273610.1404486</v>
      </c>
      <c r="H20">
        <f>'BIFUbC-natural-gas'!H20</f>
        <v>3106067264.1894627</v>
      </c>
      <c r="I20">
        <f>'BIFUbC-natural-gas'!I20</f>
        <v>3136451767.8029375</v>
      </c>
      <c r="J20">
        <f>'BIFUbC-natural-gas'!J20</f>
        <v>3144234563.4603233</v>
      </c>
      <c r="K20">
        <f>'BIFUbC-natural-gas'!K20</f>
        <v>3173910476.2042818</v>
      </c>
      <c r="L20">
        <f>'BIFUbC-natural-gas'!L20</f>
        <v>3203115659.8151455</v>
      </c>
      <c r="M20">
        <f>'BIFUbC-natural-gas'!M20</f>
        <v>3212124540.6564064</v>
      </c>
      <c r="N20">
        <f>'BIFUbC-natural-gas'!N20</f>
        <v>3253149056.2932606</v>
      </c>
      <c r="O20">
        <f>'BIFUbC-natural-gas'!O20</f>
        <v>3280602235.6105576</v>
      </c>
      <c r="P20">
        <f>'BIFUbC-natural-gas'!P20</f>
        <v>3328791964.0039997</v>
      </c>
      <c r="Q20">
        <f>'BIFUbC-natural-gas'!Q20</f>
        <v>3378674470.8843122</v>
      </c>
      <c r="R20">
        <f>'BIFUbC-natural-gas'!R20</f>
        <v>3430533323.7637806</v>
      </c>
      <c r="S20">
        <f>'BIFUbC-natural-gas'!S20</f>
        <v>3485709174.9531956</v>
      </c>
      <c r="T20">
        <f>'BIFUbC-natural-gas'!T20</f>
        <v>3537358669.1463127</v>
      </c>
      <c r="U20">
        <f>'BIFUbC-natural-gas'!U20</f>
        <v>3588349213.1801243</v>
      </c>
      <c r="V20">
        <f>'BIFUbC-natural-gas'!V20</f>
        <v>3633255087.518302</v>
      </c>
      <c r="W20">
        <f>'BIFUbC-natural-gas'!W20</f>
        <v>3687626496.8733664</v>
      </c>
      <c r="X20">
        <f>'BIFUbC-natural-gas'!X20</f>
        <v>3755504770.1621642</v>
      </c>
      <c r="Y20">
        <f>'BIFUbC-natural-gas'!Y20</f>
        <v>3816752931.3175373</v>
      </c>
      <c r="Z20">
        <f>'BIFUbC-natural-gas'!Z20</f>
        <v>3881832305.985261</v>
      </c>
      <c r="AA20">
        <f>'BIFUbC-natural-gas'!AA20</f>
        <v>3940088353.1536045</v>
      </c>
      <c r="AB20">
        <f>'BIFUbC-natural-gas'!AB20</f>
        <v>4004377159.1529408</v>
      </c>
      <c r="AC20">
        <f>'BIFUbC-natural-gas'!AC20</f>
        <v>4060933566.923244</v>
      </c>
      <c r="AD20">
        <f>'BIFUbC-natural-gas'!AD20</f>
        <v>4111173597.9023924</v>
      </c>
      <c r="AE20">
        <f>'BIFUbC-natural-gas'!AE20</f>
        <v>4169762601.0538473</v>
      </c>
      <c r="AF20">
        <f>'BIFUbC-natural-gas'!AF20</f>
        <v>4240077204.077261</v>
      </c>
      <c r="AG20" s="57"/>
    </row>
    <row r="21" spans="1:33" ht="14" customHeight="1" x14ac:dyDescent="0.15">
      <c r="A21" s="48" t="s">
        <v>195</v>
      </c>
      <c r="B21">
        <f>'BIFUbC-natural-gas'!B21</f>
        <v>269538300.41866326</v>
      </c>
      <c r="C21">
        <f>'BIFUbC-natural-gas'!C21</f>
        <v>282745474.48366201</v>
      </c>
      <c r="D21">
        <f>'BIFUbC-natural-gas'!D21</f>
        <v>295952648.54866064</v>
      </c>
      <c r="E21">
        <f>'BIFUbC-natural-gas'!E21</f>
        <v>320272381.6264168</v>
      </c>
      <c r="F21">
        <f>'BIFUbC-natural-gas'!F21</f>
        <v>323108967.30071342</v>
      </c>
      <c r="G21">
        <f>'BIFUbC-natural-gas'!G21</f>
        <v>324392708.03836983</v>
      </c>
      <c r="H21">
        <f>'BIFUbC-natural-gas'!H21</f>
        <v>324016638.61967945</v>
      </c>
      <c r="I21">
        <f>'BIFUbC-natural-gas'!I21</f>
        <v>322609214.7946673</v>
      </c>
      <c r="J21">
        <f>'BIFUbC-natural-gas'!J21</f>
        <v>322198450.16047746</v>
      </c>
      <c r="K21">
        <f>'BIFUbC-natural-gas'!K21</f>
        <v>321217078.82099855</v>
      </c>
      <c r="L21">
        <f>'BIFUbC-natural-gas'!L21</f>
        <v>321209733.33351266</v>
      </c>
      <c r="M21">
        <f>'BIFUbC-natural-gas'!M21</f>
        <v>320781648.62604845</v>
      </c>
      <c r="N21">
        <f>'BIFUbC-natural-gas'!N21</f>
        <v>323056463.49705267</v>
      </c>
      <c r="O21">
        <f>'BIFUbC-natural-gas'!O21</f>
        <v>325083802.05544341</v>
      </c>
      <c r="P21">
        <f>'BIFUbC-natural-gas'!P21</f>
        <v>328470693.5327338</v>
      </c>
      <c r="Q21">
        <f>'BIFUbC-natural-gas'!Q21</f>
        <v>332277350.75306338</v>
      </c>
      <c r="R21">
        <f>'BIFUbC-natural-gas'!R21</f>
        <v>336245097.08976793</v>
      </c>
      <c r="S21">
        <f>'BIFUbC-natural-gas'!S21</f>
        <v>340544322.98267496</v>
      </c>
      <c r="T21">
        <f>'BIFUbC-natural-gas'!T21</f>
        <v>345034618.59469026</v>
      </c>
      <c r="U21">
        <f>'BIFUbC-natural-gas'!U21</f>
        <v>349527001.4975872</v>
      </c>
      <c r="V21">
        <f>'BIFUbC-natural-gas'!V21</f>
        <v>353457180.15125537</v>
      </c>
      <c r="W21">
        <f>'BIFUbC-natural-gas'!W21</f>
        <v>357616267.99898732</v>
      </c>
      <c r="X21">
        <f>'BIFUbC-natural-gas'!X21</f>
        <v>362471844.84456527</v>
      </c>
      <c r="Y21">
        <f>'BIFUbC-natural-gas'!Y21</f>
        <v>366965826.52345681</v>
      </c>
      <c r="Z21">
        <f>'BIFUbC-natural-gas'!Z21</f>
        <v>371765835.24471784</v>
      </c>
      <c r="AA21">
        <f>'BIFUbC-natural-gas'!AA21</f>
        <v>376291343.00980401</v>
      </c>
      <c r="AB21">
        <f>'BIFUbC-natural-gas'!AB21</f>
        <v>381198935.14415568</v>
      </c>
      <c r="AC21">
        <f>'BIFUbC-natural-gas'!AC21</f>
        <v>386128727.17140055</v>
      </c>
      <c r="AD21">
        <f>'BIFUbC-natural-gas'!AD21</f>
        <v>390338856.83096695</v>
      </c>
      <c r="AE21">
        <f>'BIFUbC-natural-gas'!AE21</f>
        <v>395150655.63697875</v>
      </c>
      <c r="AF21">
        <f>'BIFUbC-natural-gas'!AF21</f>
        <v>400614517.00878406</v>
      </c>
    </row>
    <row r="22" spans="1:33" ht="14" customHeight="1" x14ac:dyDescent="0.15">
      <c r="A22" s="48" t="s">
        <v>196</v>
      </c>
      <c r="B22">
        <f>'BIFUbC-natural-gas'!B22</f>
        <v>1802884511.0257444</v>
      </c>
      <c r="C22">
        <f>'BIFUbC-natural-gas'!C22</f>
        <v>1891224496.5462527</v>
      </c>
      <c r="D22">
        <f>'BIFUbC-natural-gas'!D22</f>
        <v>1979564482.0667615</v>
      </c>
      <c r="E22">
        <f>'BIFUbC-natural-gas'!E22</f>
        <v>2142234017.3797891</v>
      </c>
      <c r="F22">
        <f>'BIFUbC-natural-gas'!F22</f>
        <v>2161207337.1953526</v>
      </c>
      <c r="G22">
        <f>'BIFUbC-natural-gas'!G22</f>
        <v>2169794006.6538239</v>
      </c>
      <c r="H22">
        <f>'BIFUbC-natural-gas'!H22</f>
        <v>2167278558.0924358</v>
      </c>
      <c r="I22">
        <f>'BIFUbC-natural-gas'!I22</f>
        <v>2157864598.7010555</v>
      </c>
      <c r="J22">
        <f>'BIFUbC-natural-gas'!J22</f>
        <v>2155117081.2035136</v>
      </c>
      <c r="K22">
        <f>'BIFUbC-natural-gas'!K22</f>
        <v>2148552896.5041103</v>
      </c>
      <c r="L22">
        <f>'BIFUbC-natural-gas'!L22</f>
        <v>2148503764.0966063</v>
      </c>
      <c r="M22">
        <f>'BIFUbC-natural-gas'!M22</f>
        <v>2145640396.3032515</v>
      </c>
      <c r="N22">
        <f>'BIFUbC-natural-gas'!N22</f>
        <v>2160856150.3909431</v>
      </c>
      <c r="O22">
        <f>'BIFUbC-natural-gas'!O22</f>
        <v>2174416587.9237556</v>
      </c>
      <c r="P22">
        <f>'BIFUbC-natural-gas'!P22</f>
        <v>2197070786.5124073</v>
      </c>
      <c r="Q22">
        <f>'BIFUbC-natural-gas'!Q22</f>
        <v>2222532709.1061788</v>
      </c>
      <c r="R22">
        <f>'BIFUbC-natural-gas'!R22</f>
        <v>2249072122.6255665</v>
      </c>
      <c r="S22">
        <f>'BIFUbC-natural-gas'!S22</f>
        <v>2277828732.5755568</v>
      </c>
      <c r="T22">
        <f>'BIFUbC-natural-gas'!T22</f>
        <v>2307863367.3426924</v>
      </c>
      <c r="U22">
        <f>'BIFUbC-natural-gas'!U22</f>
        <v>2337911963.5557337</v>
      </c>
      <c r="V22">
        <f>'BIFUbC-natural-gas'!V22</f>
        <v>2364200094.8129864</v>
      </c>
      <c r="W22">
        <f>'BIFUbC-natural-gas'!W22</f>
        <v>2392019351.1080074</v>
      </c>
      <c r="X22">
        <f>'BIFUbC-natural-gas'!X22</f>
        <v>2424497274.5548429</v>
      </c>
      <c r="Y22">
        <f>'BIFUbC-natural-gas'!Y22</f>
        <v>2454556564.641345</v>
      </c>
      <c r="Z22">
        <f>'BIFUbC-natural-gas'!Z22</f>
        <v>2486662804.6929741</v>
      </c>
      <c r="AA22">
        <f>'BIFUbC-natural-gas'!AA22</f>
        <v>2516932966.082015</v>
      </c>
      <c r="AB22">
        <f>'BIFUbC-natural-gas'!AB22</f>
        <v>2549758808.7608156</v>
      </c>
      <c r="AC22">
        <f>'BIFUbC-natural-gas'!AC22</f>
        <v>2582733141.8136435</v>
      </c>
      <c r="AD22">
        <f>'BIFUbC-natural-gas'!AD22</f>
        <v>2610893805.9598989</v>
      </c>
      <c r="AE22">
        <f>'BIFUbC-natural-gas'!AE22</f>
        <v>2643078907.3872509</v>
      </c>
      <c r="AF22">
        <f>'BIFUbC-natural-gas'!AF22</f>
        <v>2679625516.9871445</v>
      </c>
    </row>
    <row r="23" spans="1:33" ht="14" customHeight="1" x14ac:dyDescent="0.15">
      <c r="A23" s="48" t="s">
        <v>197</v>
      </c>
      <c r="B23">
        <f>'BIFUbC-natural-gas'!B23</f>
        <v>3627884323.0759048</v>
      </c>
      <c r="C23">
        <f>'BIFUbC-natural-gas'!C23</f>
        <v>3658225187.6638937</v>
      </c>
      <c r="D23">
        <f>'BIFUbC-natural-gas'!D23</f>
        <v>3688566052.2518835</v>
      </c>
      <c r="E23">
        <f>'BIFUbC-natural-gas'!E23</f>
        <v>3745627014.2457104</v>
      </c>
      <c r="F23">
        <f>'BIFUbC-natural-gas'!F23</f>
        <v>3842860251.0831518</v>
      </c>
      <c r="G23">
        <f>'BIFUbC-natural-gas'!G23</f>
        <v>3890285626.435935</v>
      </c>
      <c r="H23">
        <f>'BIFUbC-natural-gas'!H23</f>
        <v>3925679546.61695</v>
      </c>
      <c r="I23">
        <f>'BIFUbC-natural-gas'!I23</f>
        <v>3955797179.1202211</v>
      </c>
      <c r="J23">
        <f>'BIFUbC-natural-gas'!J23</f>
        <v>3970546723.2443857</v>
      </c>
      <c r="K23">
        <f>'BIFUbC-natural-gas'!K23</f>
        <v>3998021187.2720785</v>
      </c>
      <c r="L23">
        <f>'BIFUbC-natural-gas'!L23</f>
        <v>4029418525.3876381</v>
      </c>
      <c r="M23">
        <f>'BIFUbC-natural-gas'!M23</f>
        <v>4048321802.4542027</v>
      </c>
      <c r="N23">
        <f>'BIFUbC-natural-gas'!N23</f>
        <v>4087011839.4075403</v>
      </c>
      <c r="O23">
        <f>'BIFUbC-natural-gas'!O23</f>
        <v>4121154066.2011662</v>
      </c>
      <c r="P23">
        <f>'BIFUbC-natural-gas'!P23</f>
        <v>4163319909.3181763</v>
      </c>
      <c r="Q23">
        <f>'BIFUbC-natural-gas'!Q23</f>
        <v>4206472482.3087626</v>
      </c>
      <c r="R23">
        <f>'BIFUbC-natural-gas'!R23</f>
        <v>4248166274.029891</v>
      </c>
      <c r="S23">
        <f>'BIFUbC-natural-gas'!S23</f>
        <v>4295475009.9510384</v>
      </c>
      <c r="T23">
        <f>'BIFUbC-natural-gas'!T23</f>
        <v>4349439942.4932432</v>
      </c>
      <c r="U23">
        <f>'BIFUbC-natural-gas'!U23</f>
        <v>4401951268.093956</v>
      </c>
      <c r="V23">
        <f>'BIFUbC-natural-gas'!V23</f>
        <v>4461188830.8573933</v>
      </c>
      <c r="W23">
        <f>'BIFUbC-natural-gas'!W23</f>
        <v>4520551261.0821896</v>
      </c>
      <c r="X23">
        <f>'BIFUbC-natural-gas'!X23</f>
        <v>4590323735.6321478</v>
      </c>
      <c r="Y23">
        <f>'BIFUbC-natural-gas'!Y23</f>
        <v>4660245442.3912735</v>
      </c>
      <c r="Z23">
        <f>'BIFUbC-natural-gas'!Z23</f>
        <v>4735382218.0915384</v>
      </c>
      <c r="AA23">
        <f>'BIFUbC-natural-gas'!AA23</f>
        <v>4807192729.1992397</v>
      </c>
      <c r="AB23">
        <f>'BIFUbC-natural-gas'!AB23</f>
        <v>4885038153.3229513</v>
      </c>
      <c r="AC23">
        <f>'BIFUbC-natural-gas'!AC23</f>
        <v>4957710227.4603443</v>
      </c>
      <c r="AD23">
        <f>'BIFUbC-natural-gas'!AD23</f>
        <v>5017579726.8569984</v>
      </c>
      <c r="AE23">
        <f>'BIFUbC-natural-gas'!AE23</f>
        <v>5078823651.5070591</v>
      </c>
      <c r="AF23">
        <f>'BIFUbC-natural-gas'!AF23</f>
        <v>5142263367.3465614</v>
      </c>
    </row>
    <row r="24" spans="1:33" ht="14" customHeight="1" x14ac:dyDescent="0.15">
      <c r="A24" s="48" t="s">
        <v>198</v>
      </c>
      <c r="B24">
        <f>'BIFUbC-natural-gas'!B24</f>
        <v>11837457104737.807</v>
      </c>
      <c r="C24">
        <f>'BIFUbC-natural-gas'!C24</f>
        <v>11792185203556.371</v>
      </c>
      <c r="D24">
        <f>'BIFUbC-natural-gas'!D24</f>
        <v>11746913302374.938</v>
      </c>
      <c r="E24">
        <f>'BIFUbC-natural-gas'!E24</f>
        <v>11615396637404.77</v>
      </c>
      <c r="F24">
        <f>'BIFUbC-natural-gas'!F24</f>
        <v>11668822493188.633</v>
      </c>
      <c r="G24">
        <f>'BIFUbC-natural-gas'!G24</f>
        <v>11723230042668.07</v>
      </c>
      <c r="H24">
        <f>'BIFUbC-natural-gas'!H24</f>
        <v>11752833325136.762</v>
      </c>
      <c r="I24">
        <f>'BIFUbC-natural-gas'!I24</f>
        <v>11673514848343.523</v>
      </c>
      <c r="J24">
        <f>'BIFUbC-natural-gas'!J24</f>
        <v>11590146502400.109</v>
      </c>
      <c r="K24">
        <f>'BIFUbC-natural-gas'!K24</f>
        <v>11576687218136.826</v>
      </c>
      <c r="L24">
        <f>'BIFUbC-natural-gas'!L24</f>
        <v>11583470136713.898</v>
      </c>
      <c r="M24">
        <f>'BIFUbC-natural-gas'!M24</f>
        <v>11406988849980.164</v>
      </c>
      <c r="N24">
        <f>'BIFUbC-natural-gas'!N24</f>
        <v>11267865683478.625</v>
      </c>
      <c r="O24">
        <f>'BIFUbC-natural-gas'!O24</f>
        <v>11145593717030.701</v>
      </c>
      <c r="P24">
        <f>'BIFUbC-natural-gas'!P24</f>
        <v>11033263769031.898</v>
      </c>
      <c r="Q24">
        <f>'BIFUbC-natural-gas'!Q24</f>
        <v>10942387257415.562</v>
      </c>
      <c r="R24">
        <f>'BIFUbC-natural-gas'!R24</f>
        <v>10869609162478.062</v>
      </c>
      <c r="S24">
        <f>'BIFUbC-natural-gas'!S24</f>
        <v>10834492358674.418</v>
      </c>
      <c r="T24">
        <f>'BIFUbC-natural-gas'!T24</f>
        <v>10822613859587.328</v>
      </c>
      <c r="U24">
        <f>'BIFUbC-natural-gas'!U24</f>
        <v>10813529795992.789</v>
      </c>
      <c r="V24">
        <f>'BIFUbC-natural-gas'!V24</f>
        <v>10804129457209.6</v>
      </c>
      <c r="W24">
        <f>'BIFUbC-natural-gas'!W24</f>
        <v>10799646824352.496</v>
      </c>
      <c r="X24">
        <f>'BIFUbC-natural-gas'!X24</f>
        <v>10799293653077.146</v>
      </c>
      <c r="Y24">
        <f>'BIFUbC-natural-gas'!Y24</f>
        <v>10820315185050.191</v>
      </c>
      <c r="Z24">
        <f>'BIFUbC-natural-gas'!Z24</f>
        <v>10854578867547.73</v>
      </c>
      <c r="AA24">
        <f>'BIFUbC-natural-gas'!AA24</f>
        <v>10898945257128.188</v>
      </c>
      <c r="AB24">
        <f>'BIFUbC-natural-gas'!AB24</f>
        <v>10952120305452.215</v>
      </c>
      <c r="AC24">
        <f>'BIFUbC-natural-gas'!AC24</f>
        <v>10992718675464.773</v>
      </c>
      <c r="AD24">
        <f>'BIFUbC-natural-gas'!AD24</f>
        <v>11033984075167.086</v>
      </c>
      <c r="AE24">
        <f>'BIFUbC-natural-gas'!AE24</f>
        <v>11090946853195.582</v>
      </c>
      <c r="AF24">
        <f>'BIFUbC-natural-gas'!AF24</f>
        <v>11175274014038.449</v>
      </c>
    </row>
    <row r="25" spans="1:33" ht="14" customHeight="1" x14ac:dyDescent="0.15">
      <c r="A25" s="48" t="s">
        <v>199</v>
      </c>
      <c r="B25">
        <f>'BIFUbC-natural-gas'!B25</f>
        <v>0</v>
      </c>
      <c r="C25">
        <f>'BIFUbC-natural-gas'!C25</f>
        <v>0</v>
      </c>
      <c r="D25">
        <f>'BIFUbC-natural-gas'!D25</f>
        <v>0</v>
      </c>
      <c r="E25">
        <f>'BIFUbC-natural-gas'!E25</f>
        <v>0</v>
      </c>
      <c r="F25">
        <f>'BIFUbC-natural-gas'!F25</f>
        <v>0</v>
      </c>
      <c r="G25">
        <f>'BIFUbC-natural-gas'!G25</f>
        <v>0</v>
      </c>
      <c r="H25">
        <f>'BIFUbC-natural-gas'!H25</f>
        <v>0</v>
      </c>
      <c r="I25">
        <f>'BIFUbC-natural-gas'!I25</f>
        <v>0</v>
      </c>
      <c r="J25">
        <f>'BIFUbC-natural-gas'!J25</f>
        <v>0</v>
      </c>
      <c r="K25">
        <f>'BIFUbC-natural-gas'!K25</f>
        <v>0</v>
      </c>
      <c r="L25">
        <f>'BIFUbC-natural-gas'!L25</f>
        <v>0</v>
      </c>
      <c r="M25">
        <f>'BIFUbC-natural-gas'!M25</f>
        <v>0</v>
      </c>
      <c r="N25">
        <f>'BIFUbC-natural-gas'!N25</f>
        <v>0</v>
      </c>
      <c r="O25">
        <f>'BIFUbC-natural-gas'!O25</f>
        <v>0</v>
      </c>
      <c r="P25">
        <f>'BIFUbC-natural-gas'!P25</f>
        <v>0</v>
      </c>
      <c r="Q25">
        <f>'BIFUbC-natural-gas'!Q25</f>
        <v>0</v>
      </c>
      <c r="R25">
        <f>'BIFUbC-natural-gas'!R25</f>
        <v>0</v>
      </c>
      <c r="S25">
        <f>'BIFUbC-natural-gas'!S25</f>
        <v>0</v>
      </c>
      <c r="T25">
        <f>'BIFUbC-natural-gas'!T25</f>
        <v>0</v>
      </c>
      <c r="U25">
        <f>'BIFUbC-natural-gas'!U25</f>
        <v>0</v>
      </c>
      <c r="V25">
        <f>'BIFUbC-natural-gas'!V25</f>
        <v>0</v>
      </c>
      <c r="W25">
        <f>'BIFUbC-natural-gas'!W25</f>
        <v>0</v>
      </c>
      <c r="X25">
        <f>'BIFUbC-natural-gas'!X25</f>
        <v>0</v>
      </c>
      <c r="Y25">
        <f>'BIFUbC-natural-gas'!Y25</f>
        <v>0</v>
      </c>
      <c r="Z25">
        <f>'BIFUbC-natural-gas'!Z25</f>
        <v>0</v>
      </c>
      <c r="AA25">
        <f>'BIFUbC-natural-gas'!AA25</f>
        <v>0</v>
      </c>
      <c r="AB25">
        <f>'BIFUbC-natural-gas'!AB25</f>
        <v>0</v>
      </c>
      <c r="AC25">
        <f>'BIFUbC-natural-gas'!AC25</f>
        <v>0</v>
      </c>
      <c r="AD25">
        <f>'BIFUbC-natural-gas'!AD25</f>
        <v>0</v>
      </c>
      <c r="AE25">
        <f>'BIFUbC-natural-gas'!AE25</f>
        <v>0</v>
      </c>
      <c r="AF25">
        <f>'BIFUbC-natural-gas'!AF25</f>
        <v>0</v>
      </c>
    </row>
    <row r="26" spans="1:33" ht="14" customHeight="1" x14ac:dyDescent="0.15">
      <c r="A26" s="48" t="s">
        <v>200</v>
      </c>
      <c r="B26">
        <f>'BIFUbC-natural-gas'!B26</f>
        <v>5885161004.305582</v>
      </c>
      <c r="C26">
        <f>'BIFUbC-natural-gas'!C26</f>
        <v>5862653431.5163956</v>
      </c>
      <c r="D26">
        <f>'BIFUbC-natural-gas'!D26</f>
        <v>5840145858.7272081</v>
      </c>
      <c r="E26">
        <f>'BIFUbC-natural-gas'!E26</f>
        <v>5774760468.8372669</v>
      </c>
      <c r="F26">
        <f>'BIFUbC-natural-gas'!F26</f>
        <v>5801321896.7097282</v>
      </c>
      <c r="G26">
        <f>'BIFUbC-natural-gas'!G26</f>
        <v>5828371387.6352806</v>
      </c>
      <c r="H26">
        <f>'BIFUbC-natural-gas'!H26</f>
        <v>5843089082.6640949</v>
      </c>
      <c r="I26">
        <f>'BIFUbC-natural-gas'!I26</f>
        <v>5803654768.1475353</v>
      </c>
      <c r="J26">
        <f>'BIFUbC-natural-gas'!J26</f>
        <v>5762207003.2941151</v>
      </c>
      <c r="K26">
        <f>'BIFUbC-natural-gas'!K26</f>
        <v>5755515527.7355309</v>
      </c>
      <c r="L26">
        <f>'BIFUbC-natural-gas'!L26</f>
        <v>5758887752.6612015</v>
      </c>
      <c r="M26">
        <f>'BIFUbC-natural-gas'!M26</f>
        <v>5671147558.3369198</v>
      </c>
      <c r="N26">
        <f>'BIFUbC-natural-gas'!N26</f>
        <v>5601980487.4832764</v>
      </c>
      <c r="O26">
        <f>'BIFUbC-natural-gas'!O26</f>
        <v>5541191231.6074467</v>
      </c>
      <c r="P26">
        <f>'BIFUbC-natural-gas'!P26</f>
        <v>5485344792.314868</v>
      </c>
      <c r="Q26">
        <f>'BIFUbC-natural-gas'!Q26</f>
        <v>5440164235.575388</v>
      </c>
      <c r="R26">
        <f>'BIFUbC-natural-gas'!R26</f>
        <v>5403981565.3866673</v>
      </c>
      <c r="S26">
        <f>'BIFUbC-natural-gas'!S26</f>
        <v>5386522744.4158754</v>
      </c>
      <c r="T26">
        <f>'BIFUbC-natural-gas'!T26</f>
        <v>5380617178.8033905</v>
      </c>
      <c r="U26">
        <f>'BIFUbC-natural-gas'!U26</f>
        <v>5376100906.7397022</v>
      </c>
      <c r="V26">
        <f>'BIFUbC-natural-gas'!V26</f>
        <v>5371427393.9451399</v>
      </c>
      <c r="W26">
        <f>'BIFUbC-natural-gas'!W26</f>
        <v>5369198788.9454479</v>
      </c>
      <c r="X26">
        <f>'BIFUbC-natural-gas'!X26</f>
        <v>5369023204.7976761</v>
      </c>
      <c r="Y26">
        <f>'BIFUbC-natural-gas'!Y26</f>
        <v>5379474359.8999834</v>
      </c>
      <c r="Z26">
        <f>'BIFUbC-natural-gas'!Z26</f>
        <v>5396509039.4189262</v>
      </c>
      <c r="AA26">
        <f>'BIFUbC-natural-gas'!AA26</f>
        <v>5418566424.1722965</v>
      </c>
      <c r="AB26">
        <f>'BIFUbC-natural-gas'!AB26</f>
        <v>5445003159.5310593</v>
      </c>
      <c r="AC26">
        <f>'BIFUbC-natural-gas'!AC26</f>
        <v>5465187219.4961529</v>
      </c>
      <c r="AD26">
        <f>'BIFUbC-natural-gas'!AD26</f>
        <v>5485702902.8060379</v>
      </c>
      <c r="AE26">
        <f>'BIFUbC-natural-gas'!AE26</f>
        <v>5514022762.1292057</v>
      </c>
      <c r="AF26">
        <f>'BIFUbC-natural-gas'!AF26</f>
        <v>5555947215.5151958</v>
      </c>
    </row>
    <row r="27" spans="1:33" ht="14" customHeight="1" x14ac:dyDescent="0.15"/>
    <row r="28" spans="1:33" ht="14.5" customHeight="1" x14ac:dyDescent="0.2">
      <c r="A28" s="29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</row>
    <row r="29" spans="1:33" ht="14" customHeight="1" x14ac:dyDescent="0.15">
      <c r="C29" s="30"/>
      <c r="D29" s="30"/>
      <c r="E29" s="30"/>
      <c r="F29" s="30"/>
      <c r="G29" s="30"/>
      <c r="H29" s="30"/>
    </row>
    <row r="30" spans="1:33" ht="14.5" customHeight="1" x14ac:dyDescent="0.2">
      <c r="A30" s="29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 spans="1:33" ht="14" customHeight="1" x14ac:dyDescent="0.15"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 spans="1:33" ht="14" customHeight="1" x14ac:dyDescent="0.15"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 spans="1:35" ht="14.5" customHeight="1" x14ac:dyDescent="0.2">
      <c r="A33" s="29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 spans="1:35" ht="14" customHeight="1" x14ac:dyDescent="0.15">
      <c r="A34" s="31"/>
      <c r="B34" s="32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</row>
    <row r="35" spans="1:35" ht="14" customHeight="1" x14ac:dyDescent="0.15">
      <c r="A35" s="31"/>
      <c r="B35" s="32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58"/>
    </row>
    <row r="36" spans="1:35" ht="14" customHeight="1" x14ac:dyDescent="0.15">
      <c r="A36" s="31"/>
      <c r="B36" s="32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</row>
    <row r="37" spans="1:35" ht="14" customHeight="1" x14ac:dyDescent="0.15">
      <c r="A37" s="31"/>
      <c r="B37" s="32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</row>
    <row r="38" spans="1:35" ht="14" customHeight="1" x14ac:dyDescent="0.15">
      <c r="A38" s="31"/>
      <c r="B38" s="32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</row>
    <row r="39" spans="1:35" ht="14" customHeight="1" x14ac:dyDescent="0.15">
      <c r="A39" s="31"/>
      <c r="B39" s="32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</row>
    <row r="40" spans="1:35" ht="14" customHeight="1" x14ac:dyDescent="0.15">
      <c r="A40" s="31"/>
      <c r="B40" s="32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</row>
    <row r="41" spans="1:35" ht="14" customHeight="1" x14ac:dyDescent="0.15">
      <c r="A41" s="31"/>
      <c r="B41" s="32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</row>
    <row r="42" spans="1:35" ht="14" customHeight="1" x14ac:dyDescent="0.15">
      <c r="A42" s="31"/>
      <c r="B42" s="32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58"/>
      <c r="AG42" s="58"/>
      <c r="AH42" s="58"/>
      <c r="AI42" s="58"/>
    </row>
    <row r="43" spans="1:35" ht="14" customHeight="1" x14ac:dyDescent="0.15">
      <c r="A43" s="31"/>
      <c r="B43" s="32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  <c r="AD43" s="58"/>
      <c r="AE43" s="58"/>
      <c r="AF43" s="58"/>
      <c r="AG43" s="58"/>
      <c r="AH43" s="58"/>
      <c r="AI43" s="58"/>
    </row>
    <row r="44" spans="1:35" ht="14" customHeight="1" x14ac:dyDescent="0.15">
      <c r="A44" s="31"/>
      <c r="B44" s="32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</row>
    <row r="45" spans="1:35" ht="14" customHeight="1" x14ac:dyDescent="0.15">
      <c r="A45" s="31"/>
      <c r="B45" s="32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</row>
    <row r="46" spans="1:35" ht="14" customHeight="1" x14ac:dyDescent="0.15">
      <c r="A46" s="33"/>
      <c r="B46" s="34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</row>
    <row r="47" spans="1:35" ht="14.5" customHeight="1" x14ac:dyDescent="0.2">
      <c r="A47" s="29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 spans="1:35" ht="14" customHeight="1" x14ac:dyDescent="0.15">
      <c r="A48" s="31"/>
      <c r="B48" s="32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  <c r="AD48" s="58"/>
      <c r="AE48" s="58"/>
      <c r="AF48" s="58"/>
      <c r="AG48" s="58"/>
      <c r="AH48" s="58"/>
      <c r="AI48" s="58"/>
    </row>
    <row r="49" spans="1:35" ht="14" customHeight="1" x14ac:dyDescent="0.15">
      <c r="A49" s="31"/>
      <c r="B49" s="32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  <c r="AC49" s="58"/>
      <c r="AD49" s="58"/>
      <c r="AE49" s="58"/>
      <c r="AF49" s="58"/>
      <c r="AG49" s="58"/>
      <c r="AH49" s="58"/>
      <c r="AI49" s="58"/>
    </row>
    <row r="50" spans="1:35" ht="14.5" customHeight="1" x14ac:dyDescent="0.2">
      <c r="A50" s="35"/>
      <c r="B50" s="32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  <c r="AD50" s="58"/>
      <c r="AE50" s="58"/>
      <c r="AF50" s="58"/>
      <c r="AG50" s="58"/>
      <c r="AH50" s="58"/>
      <c r="AI50" s="58"/>
    </row>
    <row r="51" spans="1:35" ht="14" customHeight="1" x14ac:dyDescent="0.15">
      <c r="A51" s="31"/>
      <c r="B51" s="32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  <c r="AD51" s="58"/>
      <c r="AE51" s="58"/>
      <c r="AF51" s="58"/>
      <c r="AG51" s="58"/>
      <c r="AH51" s="58"/>
      <c r="AI51" s="58"/>
    </row>
    <row r="52" spans="1:35" ht="14" customHeight="1" x14ac:dyDescent="0.15">
      <c r="A52" s="31"/>
      <c r="B52" s="32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</row>
    <row r="53" spans="1:35" ht="14" customHeight="1" x14ac:dyDescent="0.15">
      <c r="A53" s="31"/>
      <c r="B53" s="32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</row>
    <row r="54" spans="1:35" ht="14" customHeight="1" x14ac:dyDescent="0.15">
      <c r="A54" s="31"/>
      <c r="B54" s="32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</row>
    <row r="55" spans="1:35" ht="14" customHeight="1" x14ac:dyDescent="0.15">
      <c r="A55" s="31"/>
      <c r="B55" s="32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  <c r="AB55" s="58"/>
      <c r="AC55" s="58"/>
      <c r="AD55" s="58"/>
      <c r="AE55" s="58"/>
      <c r="AF55" s="58"/>
      <c r="AG55" s="58"/>
      <c r="AH55" s="58"/>
      <c r="AI55" s="58"/>
    </row>
    <row r="56" spans="1:35" ht="14" customHeight="1" x14ac:dyDescent="0.15">
      <c r="A56" s="31"/>
      <c r="B56" s="36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  <c r="AD56" s="58"/>
      <c r="AE56" s="58"/>
      <c r="AF56" s="58"/>
      <c r="AG56" s="58"/>
      <c r="AH56" s="58"/>
      <c r="AI56" s="58"/>
    </row>
    <row r="57" spans="1:35" ht="14" customHeight="1" x14ac:dyDescent="0.15">
      <c r="A57" s="31"/>
      <c r="B57" s="36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  <c r="AI57" s="58"/>
    </row>
    <row r="58" spans="1:35" ht="14" customHeight="1" x14ac:dyDescent="0.15">
      <c r="A58" s="31"/>
      <c r="B58" s="36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</row>
    <row r="59" spans="1:35" ht="14" customHeight="1" x14ac:dyDescent="0.15">
      <c r="A59" s="31"/>
      <c r="B59" s="36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</row>
    <row r="60" spans="1:35" ht="14" customHeight="1" x14ac:dyDescent="0.15">
      <c r="A60" s="31"/>
      <c r="B60" s="36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  <c r="AB60" s="58"/>
      <c r="AC60" s="58"/>
      <c r="AD60" s="58"/>
      <c r="AE60" s="58"/>
      <c r="AF60" s="58"/>
      <c r="AG60" s="58"/>
      <c r="AH60" s="58"/>
      <c r="AI60" s="58"/>
    </row>
    <row r="61" spans="1:35" ht="14" customHeight="1" x14ac:dyDescent="0.15">
      <c r="A61" s="31"/>
      <c r="B61" s="3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</row>
    <row r="62" spans="1:35" ht="14" customHeight="1" x14ac:dyDescent="0.15">
      <c r="A62" s="33"/>
      <c r="B62" s="36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</row>
    <row r="63" spans="1:35" ht="14.5" customHeight="1" x14ac:dyDescent="0.2">
      <c r="A63" s="37"/>
      <c r="B63" s="36"/>
    </row>
    <row r="64" spans="1:35" ht="14" customHeight="1" x14ac:dyDescent="0.15">
      <c r="A64" s="31"/>
      <c r="B64" s="36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</row>
    <row r="65" spans="1:35" ht="14" customHeight="1" x14ac:dyDescent="0.15">
      <c r="A65" s="31"/>
      <c r="B65" s="36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</row>
    <row r="66" spans="1:35" ht="14" customHeight="1" x14ac:dyDescent="0.15">
      <c r="A66" s="31"/>
      <c r="B66" s="36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  <c r="AD66" s="58"/>
      <c r="AE66" s="58"/>
      <c r="AF66" s="58"/>
      <c r="AG66" s="58"/>
      <c r="AH66" s="58"/>
      <c r="AI66" s="58"/>
    </row>
    <row r="67" spans="1:35" ht="14" customHeight="1" x14ac:dyDescent="0.15">
      <c r="A67" s="31"/>
      <c r="B67" s="36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  <c r="AG67" s="58"/>
      <c r="AH67" s="58"/>
      <c r="AI67" s="58"/>
    </row>
    <row r="68" spans="1:35" ht="14" customHeight="1" x14ac:dyDescent="0.15">
      <c r="A68" s="31"/>
      <c r="B68" s="36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</row>
    <row r="69" spans="1:35" ht="14" customHeight="1" x14ac:dyDescent="0.15">
      <c r="A69" s="31"/>
      <c r="B69" s="36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</row>
    <row r="70" spans="1:35" ht="14" customHeight="1" x14ac:dyDescent="0.15">
      <c r="A70" s="31"/>
      <c r="B70" s="36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</row>
    <row r="71" spans="1:35" ht="14" customHeight="1" x14ac:dyDescent="0.15">
      <c r="A71" s="31"/>
      <c r="B71" s="36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</row>
    <row r="72" spans="1:35" ht="14" customHeight="1" x14ac:dyDescent="0.15">
      <c r="A72" s="31"/>
      <c r="B72" s="36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</row>
    <row r="73" spans="1:35" ht="14" customHeight="1" x14ac:dyDescent="0.15">
      <c r="A73" s="31"/>
      <c r="B73" s="36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  <c r="AD73" s="58"/>
      <c r="AE73" s="58"/>
      <c r="AF73" s="58"/>
      <c r="AG73" s="58"/>
      <c r="AH73" s="58"/>
      <c r="AI73" s="58"/>
    </row>
    <row r="74" spans="1:35" ht="14" customHeight="1" x14ac:dyDescent="0.15">
      <c r="A74" s="31"/>
      <c r="B74" s="36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  <c r="AD74" s="58"/>
      <c r="AE74" s="58"/>
      <c r="AF74" s="58"/>
      <c r="AG74" s="58"/>
      <c r="AH74" s="58"/>
      <c r="AI74" s="58"/>
    </row>
    <row r="75" spans="1:35" ht="14" customHeight="1" x14ac:dyDescent="0.15">
      <c r="A75" s="31"/>
      <c r="B75" s="36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</row>
    <row r="76" spans="1:35" ht="14" customHeight="1" x14ac:dyDescent="0.15">
      <c r="A76" s="33"/>
      <c r="B76" s="36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</row>
    <row r="77" spans="1:35" ht="14.5" customHeight="1" x14ac:dyDescent="0.2">
      <c r="A77" s="37"/>
      <c r="B77" s="36"/>
    </row>
    <row r="78" spans="1:35" ht="14.5" customHeight="1" x14ac:dyDescent="0.2">
      <c r="A78" s="37"/>
      <c r="B78" s="36"/>
    </row>
    <row r="79" spans="1:35" ht="14" customHeight="1" x14ac:dyDescent="0.15">
      <c r="A79" s="31"/>
      <c r="B79" s="36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  <c r="AB79" s="58"/>
      <c r="AC79" s="58"/>
      <c r="AD79" s="58"/>
      <c r="AE79" s="58"/>
      <c r="AF79" s="58"/>
      <c r="AG79" s="58"/>
      <c r="AH79" s="58"/>
      <c r="AI79" s="58"/>
    </row>
    <row r="80" spans="1:35" ht="14" customHeight="1" x14ac:dyDescent="0.15">
      <c r="A80" s="31"/>
      <c r="B80" s="36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</row>
    <row r="81" spans="1:35" ht="14" customHeight="1" x14ac:dyDescent="0.15">
      <c r="A81" s="31"/>
      <c r="B81" s="36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</row>
    <row r="82" spans="1:35" ht="14" customHeight="1" x14ac:dyDescent="0.15">
      <c r="A82" s="31"/>
      <c r="B82" s="32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  <c r="AD82" s="58"/>
      <c r="AE82" s="58"/>
      <c r="AF82" s="58"/>
      <c r="AG82" s="58"/>
      <c r="AH82" s="58"/>
      <c r="AI82" s="58"/>
    </row>
    <row r="83" spans="1:35" ht="14" customHeight="1" x14ac:dyDescent="0.15">
      <c r="A83" s="31"/>
      <c r="B83" s="32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  <c r="AB83" s="58"/>
      <c r="AC83" s="58"/>
      <c r="AD83" s="58"/>
      <c r="AE83" s="58"/>
      <c r="AF83" s="58"/>
      <c r="AG83" s="58"/>
      <c r="AH83" s="58"/>
      <c r="AI83" s="58"/>
    </row>
    <row r="84" spans="1:35" ht="14" customHeight="1" x14ac:dyDescent="0.15">
      <c r="A84" s="31"/>
      <c r="B84" s="32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</row>
    <row r="85" spans="1:35" ht="14" customHeight="1" x14ac:dyDescent="0.15">
      <c r="A85" s="31"/>
      <c r="B85" s="32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  <c r="AC85" s="58"/>
      <c r="AD85" s="58"/>
      <c r="AE85" s="58"/>
      <c r="AF85" s="58"/>
      <c r="AG85" s="58"/>
      <c r="AH85" s="58"/>
      <c r="AI85" s="58"/>
    </row>
    <row r="86" spans="1:35" ht="14" customHeight="1" x14ac:dyDescent="0.15">
      <c r="A86" s="31"/>
      <c r="B86" s="32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</row>
    <row r="87" spans="1:35" ht="14" customHeight="1" x14ac:dyDescent="0.15">
      <c r="A87" s="31"/>
      <c r="B87" s="32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  <c r="AC87" s="58"/>
      <c r="AD87" s="58"/>
      <c r="AE87" s="58"/>
      <c r="AF87" s="58"/>
      <c r="AG87" s="58"/>
      <c r="AH87" s="58"/>
      <c r="AI87" s="58"/>
    </row>
    <row r="88" spans="1:35" ht="14" customHeight="1" x14ac:dyDescent="0.15">
      <c r="A88" s="31"/>
      <c r="B88" s="32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  <c r="AB88" s="58"/>
      <c r="AC88" s="58"/>
      <c r="AD88" s="58"/>
      <c r="AE88" s="58"/>
      <c r="AF88" s="58"/>
      <c r="AG88" s="58"/>
      <c r="AH88" s="58"/>
      <c r="AI88" s="58"/>
    </row>
    <row r="89" spans="1:35" ht="14" customHeight="1" x14ac:dyDescent="0.15">
      <c r="A89" s="31"/>
      <c r="B89" s="32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  <c r="AD89" s="58"/>
      <c r="AE89" s="58"/>
      <c r="AF89" s="58"/>
      <c r="AG89" s="58"/>
      <c r="AH89" s="58"/>
      <c r="AI89" s="58"/>
    </row>
    <row r="90" spans="1:35" ht="14.5" customHeight="1" x14ac:dyDescent="0.2">
      <c r="A90" s="38"/>
      <c r="B90" s="32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  <c r="AB90" s="58"/>
      <c r="AC90" s="58"/>
      <c r="AD90" s="58"/>
      <c r="AE90" s="58"/>
      <c r="AF90" s="58"/>
      <c r="AG90" s="58"/>
      <c r="AH90" s="58"/>
      <c r="AI90" s="58"/>
    </row>
    <row r="91" spans="1:35" ht="14.5" customHeight="1" x14ac:dyDescent="0.2">
      <c r="A91" s="35"/>
      <c r="B91" s="32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</row>
    <row r="92" spans="1:35" ht="14" customHeight="1" x14ac:dyDescent="0.15">
      <c r="A92" s="31"/>
      <c r="B92" s="32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</row>
    <row r="93" spans="1:35" ht="14" customHeight="1" x14ac:dyDescent="0.15">
      <c r="A93" s="31"/>
      <c r="B93" s="32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  <c r="AB93" s="58"/>
      <c r="AC93" s="58"/>
      <c r="AD93" s="58"/>
      <c r="AE93" s="58"/>
      <c r="AF93" s="58"/>
      <c r="AG93" s="58"/>
      <c r="AH93" s="58"/>
      <c r="AI93" s="58"/>
    </row>
    <row r="94" spans="1:35" ht="14" customHeight="1" x14ac:dyDescent="0.15">
      <c r="A94" s="31"/>
      <c r="B94" s="32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  <c r="AB94" s="58"/>
      <c r="AC94" s="58"/>
      <c r="AD94" s="58"/>
      <c r="AE94" s="58"/>
      <c r="AF94" s="58"/>
      <c r="AG94" s="58"/>
      <c r="AH94" s="58"/>
      <c r="AI94" s="58"/>
    </row>
    <row r="95" spans="1:35" ht="14.5" customHeight="1" x14ac:dyDescent="0.2">
      <c r="A95" s="37"/>
    </row>
    <row r="96" spans="1:35" ht="14" customHeight="1" x14ac:dyDescent="0.15">
      <c r="A96" s="31"/>
      <c r="B96" s="32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  <c r="AB96" s="58"/>
      <c r="AC96" s="58"/>
      <c r="AD96" s="58"/>
      <c r="AE96" s="58"/>
      <c r="AF96" s="58"/>
      <c r="AG96" s="58"/>
      <c r="AH96" s="58"/>
      <c r="AI96" s="58"/>
    </row>
    <row r="97" spans="1:35" ht="14" customHeight="1" x14ac:dyDescent="0.15">
      <c r="A97" s="31"/>
      <c r="B97" s="32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  <c r="AA97" s="58"/>
      <c r="AB97" s="58"/>
      <c r="AC97" s="58"/>
      <c r="AD97" s="58"/>
      <c r="AE97" s="58"/>
      <c r="AF97" s="58"/>
      <c r="AG97" s="58"/>
      <c r="AH97" s="58"/>
      <c r="AI97" s="58"/>
    </row>
    <row r="98" spans="1:35" ht="14" customHeight="1" x14ac:dyDescent="0.15">
      <c r="A98" s="31"/>
      <c r="B98" s="32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  <c r="AA98" s="58"/>
      <c r="AB98" s="58"/>
      <c r="AC98" s="58"/>
      <c r="AD98" s="58"/>
      <c r="AE98" s="58"/>
      <c r="AF98" s="58"/>
      <c r="AG98" s="58"/>
      <c r="AH98" s="58"/>
      <c r="AI98" s="58"/>
    </row>
    <row r="99" spans="1:35" ht="14" customHeight="1" x14ac:dyDescent="0.15">
      <c r="A99" s="31"/>
      <c r="B99" s="32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  <c r="AA99" s="58"/>
      <c r="AB99" s="58"/>
      <c r="AC99" s="58"/>
      <c r="AD99" s="58"/>
      <c r="AE99" s="58"/>
      <c r="AF99" s="58"/>
      <c r="AG99" s="58"/>
      <c r="AH99" s="58"/>
      <c r="AI99" s="58"/>
    </row>
    <row r="100" spans="1:35" ht="14" customHeight="1" x14ac:dyDescent="0.15">
      <c r="A100" s="31"/>
      <c r="B100" s="32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  <c r="AB100" s="58"/>
      <c r="AC100" s="58"/>
      <c r="AD100" s="58"/>
      <c r="AE100" s="58"/>
      <c r="AF100" s="58"/>
      <c r="AG100" s="58"/>
      <c r="AH100" s="58"/>
      <c r="AI100" s="58"/>
    </row>
    <row r="101" spans="1:35" ht="14" customHeight="1" x14ac:dyDescent="0.15">
      <c r="A101" s="31"/>
      <c r="B101" s="32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  <c r="AA101" s="58"/>
      <c r="AB101" s="58"/>
      <c r="AC101" s="58"/>
      <c r="AD101" s="58"/>
      <c r="AE101" s="58"/>
      <c r="AF101" s="58"/>
      <c r="AG101" s="58"/>
      <c r="AH101" s="58"/>
      <c r="AI101" s="58"/>
    </row>
    <row r="102" spans="1:35" ht="14" customHeight="1" x14ac:dyDescent="0.15">
      <c r="A102" s="31"/>
      <c r="B102" s="32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</row>
    <row r="103" spans="1:35" ht="14" customHeight="1" x14ac:dyDescent="0.15">
      <c r="A103" s="31"/>
      <c r="B103" s="32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  <c r="AA103" s="58"/>
      <c r="AB103" s="58"/>
      <c r="AC103" s="58"/>
      <c r="AD103" s="58"/>
      <c r="AE103" s="58"/>
      <c r="AF103" s="58"/>
      <c r="AG103" s="58"/>
      <c r="AH103" s="58"/>
      <c r="AI103" s="58"/>
    </row>
    <row r="104" spans="1:35" ht="14" customHeight="1" x14ac:dyDescent="0.15">
      <c r="A104" s="31"/>
      <c r="B104" s="32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</row>
    <row r="105" spans="1:35" ht="14" customHeight="1" x14ac:dyDescent="0.15">
      <c r="A105" s="31"/>
      <c r="B105" s="32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  <c r="AH105" s="58"/>
      <c r="AI105" s="58"/>
    </row>
    <row r="106" spans="1:35" ht="14" customHeight="1" x14ac:dyDescent="0.15">
      <c r="A106" s="31"/>
      <c r="B106" s="32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</row>
    <row r="107" spans="1:35" ht="14" customHeight="1" x14ac:dyDescent="0.15">
      <c r="A107" s="33"/>
      <c r="B107" s="34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</row>
    <row r="108" spans="1:35" ht="14.5" customHeight="1" x14ac:dyDescent="0.2">
      <c r="A108" s="29"/>
    </row>
    <row r="109" spans="1:35" ht="14" customHeight="1" x14ac:dyDescent="0.15">
      <c r="A109" s="39"/>
      <c r="B109" s="40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</row>
    <row r="110" spans="1:35" ht="14" customHeight="1" x14ac:dyDescent="0.15">
      <c r="A110" s="39"/>
      <c r="B110" s="40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</row>
    <row r="111" spans="1:35" ht="14" customHeight="1" x14ac:dyDescent="0.15">
      <c r="A111" s="39"/>
      <c r="B111" s="43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</row>
    <row r="112" spans="1:35" ht="14" customHeight="1" x14ac:dyDescent="0.15">
      <c r="A112" s="39"/>
      <c r="B112" s="43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</row>
    <row r="113" spans="1:35" ht="14.5" customHeight="1" x14ac:dyDescent="0.2">
      <c r="A113" s="29"/>
    </row>
    <row r="114" spans="1:35" ht="14" customHeight="1" x14ac:dyDescent="0.15">
      <c r="A114" s="31"/>
      <c r="B114" s="32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</row>
    <row r="115" spans="1:35" ht="14" customHeight="1" x14ac:dyDescent="0.15">
      <c r="A115" s="31"/>
      <c r="B115" s="32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</row>
    <row r="116" spans="1:35" ht="14" customHeight="1" x14ac:dyDescent="0.15">
      <c r="A116" s="31"/>
      <c r="B116" s="32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</row>
    <row r="117" spans="1:35" ht="14" customHeight="1" x14ac:dyDescent="0.15">
      <c r="A117" s="31"/>
      <c r="B117" s="32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</row>
    <row r="118" spans="1:35" ht="14" customHeight="1" x14ac:dyDescent="0.15">
      <c r="A118" s="31"/>
      <c r="B118" s="32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  <c r="AA118" s="58"/>
      <c r="AB118" s="58"/>
      <c r="AC118" s="58"/>
      <c r="AD118" s="58"/>
      <c r="AE118" s="58"/>
      <c r="AF118" s="58"/>
      <c r="AG118" s="58"/>
      <c r="AH118" s="58"/>
      <c r="AI118" s="58"/>
    </row>
    <row r="119" spans="1:35" ht="14" customHeight="1" x14ac:dyDescent="0.15">
      <c r="A119" s="31"/>
      <c r="B119" s="32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  <c r="AA119" s="58"/>
      <c r="AB119" s="58"/>
      <c r="AC119" s="58"/>
      <c r="AD119" s="58"/>
      <c r="AE119" s="58"/>
      <c r="AF119" s="58"/>
      <c r="AG119" s="58"/>
      <c r="AH119" s="58"/>
      <c r="AI119" s="58"/>
    </row>
    <row r="120" spans="1:35" ht="14" customHeight="1" x14ac:dyDescent="0.15">
      <c r="A120" s="31"/>
      <c r="B120" s="32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  <c r="AA120" s="58"/>
      <c r="AB120" s="58"/>
      <c r="AC120" s="58"/>
      <c r="AD120" s="58"/>
      <c r="AE120" s="58"/>
      <c r="AF120" s="58"/>
      <c r="AG120" s="58"/>
      <c r="AH120" s="58"/>
      <c r="AI120" s="58"/>
    </row>
    <row r="121" spans="1:35" ht="14" customHeight="1" x14ac:dyDescent="0.15">
      <c r="A121" s="31"/>
      <c r="B121" s="32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</row>
    <row r="122" spans="1:35" ht="14" customHeight="1" x14ac:dyDescent="0.15">
      <c r="A122" s="31"/>
      <c r="B122" s="32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</row>
    <row r="123" spans="1:35" ht="14" customHeight="1" x14ac:dyDescent="0.15">
      <c r="A123" s="31"/>
      <c r="B123" s="32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</row>
    <row r="124" spans="1:35" ht="14" customHeight="1" x14ac:dyDescent="0.15">
      <c r="A124" s="33"/>
      <c r="B124" s="34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</row>
    <row r="125" spans="1:35" ht="14.5" customHeight="1" x14ac:dyDescent="0.2">
      <c r="A125" s="29"/>
    </row>
    <row r="126" spans="1:35" ht="14.5" customHeight="1" x14ac:dyDescent="0.2">
      <c r="A126" s="35"/>
      <c r="B126" s="32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</row>
    <row r="127" spans="1:35" ht="14" customHeight="1" x14ac:dyDescent="0.15">
      <c r="A127" s="31"/>
      <c r="B127" s="32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</row>
    <row r="128" spans="1:35" ht="14" customHeight="1" x14ac:dyDescent="0.15">
      <c r="A128" s="31"/>
      <c r="B128" s="32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</row>
    <row r="129" spans="1:35" ht="14" customHeight="1" x14ac:dyDescent="0.15">
      <c r="A129" s="31"/>
      <c r="B129" s="32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</row>
    <row r="130" spans="1:35" ht="14" customHeight="1" x14ac:dyDescent="0.15">
      <c r="A130" s="31"/>
      <c r="B130" s="32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</row>
    <row r="131" spans="1:35" ht="14" customHeight="1" x14ac:dyDescent="0.15">
      <c r="A131" s="31"/>
      <c r="B131" s="32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</row>
    <row r="132" spans="1:35" ht="14" customHeight="1" x14ac:dyDescent="0.15">
      <c r="A132" s="31"/>
      <c r="B132" s="32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</row>
    <row r="133" spans="1:35" ht="14" customHeight="1" x14ac:dyDescent="0.15">
      <c r="A133" s="31"/>
      <c r="B133" s="32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</row>
    <row r="134" spans="1:35" ht="14" customHeight="1" x14ac:dyDescent="0.15">
      <c r="A134" s="31"/>
      <c r="B134" s="32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</row>
    <row r="135" spans="1:35" ht="14" customHeight="1" x14ac:dyDescent="0.15">
      <c r="A135" s="31"/>
      <c r="B135" s="32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</row>
    <row r="136" spans="1:35" ht="14" customHeight="1" x14ac:dyDescent="0.15">
      <c r="A136" s="31"/>
      <c r="B136" s="32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</row>
    <row r="137" spans="1:35" ht="14" customHeight="1" x14ac:dyDescent="0.15">
      <c r="A137" s="31"/>
      <c r="B137" s="32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</row>
    <row r="138" spans="1:35" ht="14" customHeight="1" x14ac:dyDescent="0.15">
      <c r="A138" s="31"/>
      <c r="B138" s="32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</row>
    <row r="139" spans="1:35" ht="14" customHeight="1" x14ac:dyDescent="0.15">
      <c r="A139" s="31"/>
      <c r="B139" s="32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</row>
    <row r="140" spans="1:35" ht="14" customHeight="1" x14ac:dyDescent="0.15">
      <c r="A140" s="31"/>
      <c r="B140" s="32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</row>
    <row r="141" spans="1:35" ht="14" customHeight="1" x14ac:dyDescent="0.15">
      <c r="A141" s="31"/>
      <c r="B141" s="32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</row>
    <row r="142" spans="1:35" ht="14" customHeight="1" x14ac:dyDescent="0.15">
      <c r="A142" s="31"/>
      <c r="B142" s="32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</row>
    <row r="143" spans="1:35" ht="14" customHeight="1" x14ac:dyDescent="0.15">
      <c r="A143" s="31"/>
      <c r="B143" s="32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</row>
    <row r="144" spans="1:35" ht="14" customHeight="1" x14ac:dyDescent="0.15">
      <c r="A144" s="31"/>
      <c r="B144" s="32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</row>
    <row r="145" spans="1:35" ht="14" customHeight="1" x14ac:dyDescent="0.15">
      <c r="A145" s="31"/>
      <c r="B145" s="32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</row>
    <row r="146" spans="1:35" ht="14" customHeight="1" x14ac:dyDescent="0.15">
      <c r="A146" s="33"/>
      <c r="B146" s="34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</row>
    <row r="147" spans="1:35" ht="14" customHeight="1" x14ac:dyDescent="0.15">
      <c r="A147" s="31"/>
      <c r="B147" s="32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</row>
    <row r="148" spans="1:35" ht="14" customHeight="1" x14ac:dyDescent="0.15">
      <c r="A148" s="33"/>
      <c r="B148" s="34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</row>
    <row r="149" spans="1:35" ht="14" customHeight="1" x14ac:dyDescent="0.15"/>
    <row r="150" spans="1:35" ht="14" customHeight="1" x14ac:dyDescent="0.15">
      <c r="C150" s="60"/>
      <c r="D150" s="60"/>
      <c r="E150" s="60"/>
      <c r="F150" s="60"/>
      <c r="G150" s="60"/>
      <c r="H150" s="60"/>
      <c r="I150" s="60"/>
      <c r="J150" s="60"/>
      <c r="K150" s="60"/>
      <c r="L150" s="60"/>
    </row>
    <row r="151" spans="1:35" ht="14" customHeight="1" x14ac:dyDescent="0.15">
      <c r="C151" s="60"/>
      <c r="D151" s="60"/>
      <c r="E151" s="60"/>
      <c r="F151" s="60"/>
      <c r="G151" s="60"/>
      <c r="H151" s="60"/>
      <c r="I151" s="60"/>
      <c r="J151" s="60"/>
      <c r="K151" s="60"/>
      <c r="L151" s="60"/>
    </row>
    <row r="152" spans="1:35" ht="14" customHeight="1" x14ac:dyDescent="0.15"/>
    <row r="153" spans="1:35" ht="14" customHeight="1" x14ac:dyDescent="0.15"/>
    <row r="154" spans="1:35" ht="14" customHeight="1" x14ac:dyDescent="0.15"/>
    <row r="155" spans="1:35" ht="14" customHeight="1" x14ac:dyDescent="0.15"/>
    <row r="156" spans="1:35" ht="14" customHeight="1" x14ac:dyDescent="0.15"/>
    <row r="157" spans="1:35" ht="14" customHeight="1" x14ac:dyDescent="0.15"/>
    <row r="158" spans="1:35" ht="14" customHeight="1" x14ac:dyDescent="0.15"/>
    <row r="159" spans="1:35" ht="14" customHeight="1" x14ac:dyDescent="0.15"/>
    <row r="160" spans="1:35" ht="14" customHeight="1" x14ac:dyDescent="0.15"/>
    <row r="161" ht="14" customHeight="1" x14ac:dyDescent="0.15"/>
    <row r="162" ht="14" customHeight="1" x14ac:dyDescent="0.15"/>
    <row r="163" ht="14" customHeight="1" x14ac:dyDescent="0.15"/>
    <row r="164" ht="14" customHeight="1" x14ac:dyDescent="0.15"/>
    <row r="165" ht="14" customHeight="1" x14ac:dyDescent="0.15"/>
    <row r="166" ht="14" customHeight="1" x14ac:dyDescent="0.15"/>
    <row r="167" ht="14" customHeight="1" x14ac:dyDescent="0.15"/>
    <row r="168" ht="14" customHeight="1" x14ac:dyDescent="0.15"/>
    <row r="169" ht="14" customHeight="1" x14ac:dyDescent="0.15"/>
    <row r="170" ht="14" customHeight="1" x14ac:dyDescent="0.15"/>
    <row r="171" ht="14" customHeight="1" x14ac:dyDescent="0.15"/>
    <row r="172" ht="14" customHeight="1" x14ac:dyDescent="0.15"/>
    <row r="173" ht="14" customHeight="1" x14ac:dyDescent="0.15"/>
    <row r="174" ht="14" customHeight="1" x14ac:dyDescent="0.15"/>
    <row r="175" ht="14" customHeight="1" x14ac:dyDescent="0.15"/>
    <row r="176" ht="14" customHeight="1" x14ac:dyDescent="0.15"/>
    <row r="177" ht="14" customHeight="1" x14ac:dyDescent="0.15"/>
    <row r="178" ht="14" customHeight="1" x14ac:dyDescent="0.15"/>
    <row r="179" ht="14" customHeight="1" x14ac:dyDescent="0.15"/>
    <row r="180" ht="14" customHeight="1" x14ac:dyDescent="0.15"/>
    <row r="181" ht="14" customHeight="1" x14ac:dyDescent="0.15"/>
    <row r="182" ht="14" customHeight="1" x14ac:dyDescent="0.15"/>
    <row r="183" ht="14" customHeight="1" x14ac:dyDescent="0.15"/>
    <row r="184" ht="14" customHeight="1" x14ac:dyDescent="0.15"/>
    <row r="185" ht="14" customHeight="1" x14ac:dyDescent="0.15"/>
    <row r="186" ht="14" customHeight="1" x14ac:dyDescent="0.15"/>
    <row r="187" ht="14" customHeight="1" x14ac:dyDescent="0.15"/>
    <row r="188" ht="14" customHeight="1" x14ac:dyDescent="0.15"/>
    <row r="189" ht="14" customHeight="1" x14ac:dyDescent="0.15"/>
    <row r="190" ht="14" customHeight="1" x14ac:dyDescent="0.15"/>
    <row r="191" ht="14" customHeight="1" x14ac:dyDescent="0.15"/>
    <row r="192" ht="14" customHeight="1" x14ac:dyDescent="0.15"/>
    <row r="193" ht="14" customHeight="1" x14ac:dyDescent="0.15"/>
    <row r="194" ht="14" customHeight="1" x14ac:dyDescent="0.15"/>
    <row r="195" ht="14" customHeight="1" x14ac:dyDescent="0.15"/>
    <row r="196" ht="14" customHeight="1" x14ac:dyDescent="0.15"/>
    <row r="197" ht="14" customHeight="1" x14ac:dyDescent="0.15"/>
    <row r="198" ht="14" customHeight="1" x14ac:dyDescent="0.15"/>
    <row r="199" ht="14" customHeight="1" x14ac:dyDescent="0.15"/>
    <row r="200" ht="14" customHeight="1" x14ac:dyDescent="0.15"/>
    <row r="201" ht="14" customHeight="1" x14ac:dyDescent="0.15"/>
    <row r="202" ht="14" customHeight="1" x14ac:dyDescent="0.15"/>
    <row r="203" ht="14" customHeight="1" x14ac:dyDescent="0.15"/>
    <row r="204" ht="14" customHeight="1" x14ac:dyDescent="0.15"/>
    <row r="205" ht="14" customHeight="1" x14ac:dyDescent="0.15"/>
    <row r="206" ht="14" customHeight="1" x14ac:dyDescent="0.15"/>
    <row r="207" ht="14" customHeight="1" x14ac:dyDescent="0.15"/>
    <row r="208" ht="14" customHeight="1" x14ac:dyDescent="0.15"/>
    <row r="209" ht="14" customHeight="1" x14ac:dyDescent="0.15"/>
    <row r="210" ht="14" customHeight="1" x14ac:dyDescent="0.15"/>
    <row r="211" ht="14" customHeight="1" x14ac:dyDescent="0.15"/>
    <row r="212" ht="14" customHeight="1" x14ac:dyDescent="0.15"/>
    <row r="213" ht="14" customHeight="1" x14ac:dyDescent="0.15"/>
    <row r="214" ht="14" customHeight="1" x14ac:dyDescent="0.15"/>
    <row r="215" ht="14" customHeight="1" x14ac:dyDescent="0.15"/>
    <row r="216" ht="14" customHeight="1" x14ac:dyDescent="0.15"/>
    <row r="217" ht="14" customHeight="1" x14ac:dyDescent="0.15"/>
    <row r="218" ht="14" customHeight="1" x14ac:dyDescent="0.15"/>
    <row r="219" ht="14" customHeight="1" x14ac:dyDescent="0.15"/>
    <row r="220" ht="14" customHeight="1" x14ac:dyDescent="0.15"/>
    <row r="221" ht="14" customHeight="1" x14ac:dyDescent="0.15"/>
    <row r="222" ht="14" customHeight="1" x14ac:dyDescent="0.15"/>
    <row r="223" ht="14" customHeight="1" x14ac:dyDescent="0.15"/>
    <row r="224" ht="14" customHeight="1" x14ac:dyDescent="0.15"/>
    <row r="225" ht="14" customHeight="1" x14ac:dyDescent="0.15"/>
    <row r="226" ht="14" customHeight="1" x14ac:dyDescent="0.15"/>
    <row r="227" ht="14" customHeight="1" x14ac:dyDescent="0.15"/>
    <row r="228" ht="14" customHeight="1" x14ac:dyDescent="0.15"/>
    <row r="229" ht="14" customHeight="1" x14ac:dyDescent="0.15"/>
    <row r="230" ht="14" customHeight="1" x14ac:dyDescent="0.15"/>
    <row r="231" ht="14" customHeight="1" x14ac:dyDescent="0.15"/>
    <row r="232" ht="14" customHeight="1" x14ac:dyDescent="0.15"/>
    <row r="233" ht="14" customHeight="1" x14ac:dyDescent="0.15"/>
    <row r="234" ht="14" customHeight="1" x14ac:dyDescent="0.15"/>
    <row r="235" ht="14" customHeight="1" x14ac:dyDescent="0.15"/>
    <row r="236" ht="14" customHeight="1" x14ac:dyDescent="0.15"/>
    <row r="237" ht="14" customHeight="1" x14ac:dyDescent="0.15"/>
    <row r="238" ht="14" customHeight="1" x14ac:dyDescent="0.15"/>
    <row r="239" ht="14" customHeight="1" x14ac:dyDescent="0.15"/>
    <row r="240" ht="14" customHeight="1" x14ac:dyDescent="0.15"/>
    <row r="241" ht="14" customHeight="1" x14ac:dyDescent="0.15"/>
    <row r="242" ht="14" customHeight="1" x14ac:dyDescent="0.15"/>
    <row r="243" ht="14" customHeight="1" x14ac:dyDescent="0.15"/>
    <row r="244" ht="14" customHeight="1" x14ac:dyDescent="0.15"/>
    <row r="245" ht="14" customHeight="1" x14ac:dyDescent="0.15"/>
    <row r="246" ht="14" customHeight="1" x14ac:dyDescent="0.15"/>
    <row r="247" ht="14" customHeight="1" x14ac:dyDescent="0.15"/>
    <row r="248" ht="14" customHeight="1" x14ac:dyDescent="0.15"/>
    <row r="249" ht="14" customHeight="1" x14ac:dyDescent="0.15"/>
    <row r="250" ht="14" customHeight="1" x14ac:dyDescent="0.15"/>
    <row r="251" ht="14" customHeight="1" x14ac:dyDescent="0.15"/>
    <row r="252" ht="14" customHeight="1" x14ac:dyDescent="0.15"/>
    <row r="253" ht="14" customHeight="1" x14ac:dyDescent="0.15"/>
    <row r="254" ht="14" customHeight="1" x14ac:dyDescent="0.15"/>
    <row r="255" ht="14" customHeight="1" x14ac:dyDescent="0.15"/>
    <row r="256" ht="14" customHeight="1" x14ac:dyDescent="0.15"/>
    <row r="257" ht="14" customHeight="1" x14ac:dyDescent="0.15"/>
    <row r="258" ht="14" customHeight="1" x14ac:dyDescent="0.15"/>
    <row r="259" ht="14" customHeight="1" x14ac:dyDescent="0.15"/>
    <row r="260" ht="14" customHeight="1" x14ac:dyDescent="0.15"/>
    <row r="261" ht="14" customHeight="1" x14ac:dyDescent="0.15"/>
    <row r="262" ht="14" customHeight="1" x14ac:dyDescent="0.15"/>
    <row r="263" ht="14" customHeight="1" x14ac:dyDescent="0.15"/>
    <row r="264" ht="14" customHeight="1" x14ac:dyDescent="0.15"/>
    <row r="265" ht="14" customHeight="1" x14ac:dyDescent="0.15"/>
    <row r="266" ht="14" customHeight="1" x14ac:dyDescent="0.15"/>
    <row r="267" ht="14" customHeight="1" x14ac:dyDescent="0.15"/>
    <row r="268" ht="14" customHeight="1" x14ac:dyDescent="0.15"/>
    <row r="269" ht="14" customHeight="1" x14ac:dyDescent="0.15"/>
    <row r="270" ht="14" customHeight="1" x14ac:dyDescent="0.15"/>
    <row r="271" ht="14" customHeight="1" x14ac:dyDescent="0.15"/>
    <row r="272" ht="14" customHeight="1" x14ac:dyDescent="0.15"/>
    <row r="273" ht="14" customHeight="1" x14ac:dyDescent="0.15"/>
    <row r="274" ht="14" customHeight="1" x14ac:dyDescent="0.15"/>
    <row r="275" ht="14" customHeight="1" x14ac:dyDescent="0.15"/>
    <row r="276" ht="14" customHeight="1" x14ac:dyDescent="0.15"/>
    <row r="277" ht="14" customHeight="1" x14ac:dyDescent="0.15"/>
    <row r="278" ht="14" customHeight="1" x14ac:dyDescent="0.15"/>
    <row r="279" ht="14" customHeight="1" x14ac:dyDescent="0.15"/>
    <row r="280" ht="14" customHeight="1" x14ac:dyDescent="0.15"/>
    <row r="281" ht="14" customHeight="1" x14ac:dyDescent="0.15"/>
    <row r="282" ht="14" customHeight="1" x14ac:dyDescent="0.15"/>
    <row r="283" ht="14" customHeight="1" x14ac:dyDescent="0.15"/>
    <row r="284" ht="14" customHeight="1" x14ac:dyDescent="0.15"/>
    <row r="285" ht="14" customHeight="1" x14ac:dyDescent="0.15"/>
    <row r="286" ht="14" customHeight="1" x14ac:dyDescent="0.15"/>
    <row r="287" ht="14" customHeight="1" x14ac:dyDescent="0.15"/>
    <row r="288" ht="14" customHeight="1" x14ac:dyDescent="0.15"/>
    <row r="289" ht="14" customHeight="1" x14ac:dyDescent="0.15"/>
    <row r="290" ht="14" customHeight="1" x14ac:dyDescent="0.15"/>
    <row r="291" ht="14" customHeight="1" x14ac:dyDescent="0.15"/>
    <row r="292" ht="14" customHeight="1" x14ac:dyDescent="0.15"/>
    <row r="293" ht="14" customHeight="1" x14ac:dyDescent="0.15"/>
    <row r="294" ht="14" customHeight="1" x14ac:dyDescent="0.15"/>
    <row r="295" ht="14" customHeight="1" x14ac:dyDescent="0.15"/>
    <row r="296" ht="14" customHeight="1" x14ac:dyDescent="0.15"/>
    <row r="297" ht="14" customHeight="1" x14ac:dyDescent="0.15"/>
    <row r="298" ht="14" customHeight="1" x14ac:dyDescent="0.15"/>
    <row r="299" ht="14" customHeight="1" x14ac:dyDescent="0.15"/>
    <row r="300" ht="14" customHeight="1" x14ac:dyDescent="0.15"/>
    <row r="301" ht="14" customHeight="1" x14ac:dyDescent="0.15"/>
    <row r="302" ht="14" customHeight="1" x14ac:dyDescent="0.15"/>
    <row r="303" ht="14" customHeight="1" x14ac:dyDescent="0.15"/>
    <row r="304" ht="14" customHeight="1" x14ac:dyDescent="0.15"/>
    <row r="305" ht="14" customHeight="1" x14ac:dyDescent="0.15"/>
    <row r="306" ht="14" customHeight="1" x14ac:dyDescent="0.15"/>
    <row r="307" ht="14" customHeight="1" x14ac:dyDescent="0.15"/>
    <row r="308" ht="14" customHeight="1" x14ac:dyDescent="0.15"/>
    <row r="309" ht="14" customHeight="1" x14ac:dyDescent="0.15"/>
    <row r="310" ht="14" customHeight="1" x14ac:dyDescent="0.15"/>
    <row r="311" ht="14" customHeight="1" x14ac:dyDescent="0.15"/>
    <row r="312" ht="14" customHeight="1" x14ac:dyDescent="0.15"/>
    <row r="313" ht="14" customHeight="1" x14ac:dyDescent="0.15"/>
    <row r="314" ht="14" customHeight="1" x14ac:dyDescent="0.15"/>
    <row r="315" ht="14" customHeight="1" x14ac:dyDescent="0.15"/>
    <row r="316" ht="14" customHeight="1" x14ac:dyDescent="0.15"/>
    <row r="317" ht="14" customHeight="1" x14ac:dyDescent="0.15"/>
    <row r="318" ht="14" customHeight="1" x14ac:dyDescent="0.15"/>
    <row r="319" ht="14" customHeight="1" x14ac:dyDescent="0.15"/>
    <row r="320" ht="14" customHeight="1" x14ac:dyDescent="0.15"/>
    <row r="321" ht="14" customHeight="1" x14ac:dyDescent="0.15"/>
    <row r="322" ht="14" customHeight="1" x14ac:dyDescent="0.15"/>
    <row r="323" ht="14" customHeight="1" x14ac:dyDescent="0.15"/>
    <row r="324" ht="14" customHeight="1" x14ac:dyDescent="0.15"/>
    <row r="325" ht="14" customHeight="1" x14ac:dyDescent="0.15"/>
    <row r="326" ht="14" customHeight="1" x14ac:dyDescent="0.15"/>
    <row r="327" ht="14" customHeight="1" x14ac:dyDescent="0.15"/>
    <row r="328" ht="14" customHeight="1" x14ac:dyDescent="0.15"/>
    <row r="329" ht="14" customHeight="1" x14ac:dyDescent="0.15"/>
    <row r="330" ht="14" customHeight="1" x14ac:dyDescent="0.15"/>
    <row r="331" ht="14" customHeight="1" x14ac:dyDescent="0.15"/>
    <row r="332" ht="14" customHeight="1" x14ac:dyDescent="0.15"/>
    <row r="333" ht="14" customHeight="1" x14ac:dyDescent="0.15"/>
    <row r="334" ht="14" customHeight="1" x14ac:dyDescent="0.15"/>
    <row r="335" ht="14" customHeight="1" x14ac:dyDescent="0.15"/>
    <row r="336" ht="14" customHeight="1" x14ac:dyDescent="0.15"/>
    <row r="337" ht="14" customHeight="1" x14ac:dyDescent="0.15"/>
    <row r="338" ht="14" customHeight="1" x14ac:dyDescent="0.15"/>
    <row r="339" ht="14" customHeight="1" x14ac:dyDescent="0.15"/>
    <row r="340" ht="14" customHeight="1" x14ac:dyDescent="0.15"/>
    <row r="341" ht="14" customHeight="1" x14ac:dyDescent="0.15"/>
    <row r="342" ht="14" customHeight="1" x14ac:dyDescent="0.15"/>
    <row r="343" ht="14" customHeight="1" x14ac:dyDescent="0.15"/>
    <row r="344" ht="14" customHeight="1" x14ac:dyDescent="0.15"/>
    <row r="345" ht="14" customHeight="1" x14ac:dyDescent="0.15"/>
    <row r="346" ht="14" customHeight="1" x14ac:dyDescent="0.15"/>
    <row r="347" ht="14" customHeight="1" x14ac:dyDescent="0.15"/>
    <row r="348" ht="14" customHeight="1" x14ac:dyDescent="0.15"/>
    <row r="349" ht="14" customHeight="1" x14ac:dyDescent="0.15"/>
    <row r="350" ht="14" customHeight="1" x14ac:dyDescent="0.15"/>
    <row r="351" ht="14" customHeight="1" x14ac:dyDescent="0.15"/>
    <row r="352" ht="14" customHeight="1" x14ac:dyDescent="0.15"/>
    <row r="353" ht="14" customHeight="1" x14ac:dyDescent="0.15"/>
    <row r="354" ht="14" customHeight="1" x14ac:dyDescent="0.15"/>
    <row r="355" ht="14" customHeight="1" x14ac:dyDescent="0.15"/>
    <row r="356" ht="14" customHeight="1" x14ac:dyDescent="0.15"/>
    <row r="357" ht="14" customHeight="1" x14ac:dyDescent="0.15"/>
    <row r="358" ht="14" customHeight="1" x14ac:dyDescent="0.15"/>
    <row r="359" ht="14" customHeight="1" x14ac:dyDescent="0.15"/>
    <row r="360" ht="14" customHeight="1" x14ac:dyDescent="0.15"/>
    <row r="361" ht="14" customHeight="1" x14ac:dyDescent="0.15"/>
    <row r="362" ht="14" customHeight="1" x14ac:dyDescent="0.15"/>
    <row r="363" ht="14" customHeight="1" x14ac:dyDescent="0.15"/>
    <row r="364" ht="14" customHeight="1" x14ac:dyDescent="0.15"/>
    <row r="365" ht="14" customHeight="1" x14ac:dyDescent="0.15"/>
    <row r="366" ht="14" customHeight="1" x14ac:dyDescent="0.15"/>
    <row r="367" ht="14" customHeight="1" x14ac:dyDescent="0.15"/>
    <row r="368" ht="14" customHeight="1" x14ac:dyDescent="0.15"/>
    <row r="369" ht="14" customHeight="1" x14ac:dyDescent="0.15"/>
    <row r="370" ht="14" customHeight="1" x14ac:dyDescent="0.15"/>
    <row r="371" ht="14" customHeight="1" x14ac:dyDescent="0.15"/>
    <row r="372" ht="14" customHeight="1" x14ac:dyDescent="0.15"/>
    <row r="373" ht="14" customHeight="1" x14ac:dyDescent="0.15"/>
    <row r="374" ht="14" customHeight="1" x14ac:dyDescent="0.15"/>
    <row r="375" ht="14" customHeight="1" x14ac:dyDescent="0.15"/>
    <row r="376" ht="14" customHeight="1" x14ac:dyDescent="0.15"/>
    <row r="377" ht="14" customHeight="1" x14ac:dyDescent="0.15"/>
    <row r="378" ht="14" customHeight="1" x14ac:dyDescent="0.15"/>
    <row r="379" ht="14" customHeight="1" x14ac:dyDescent="0.15"/>
    <row r="380" ht="14" customHeight="1" x14ac:dyDescent="0.15"/>
    <row r="381" ht="14" customHeight="1" x14ac:dyDescent="0.15"/>
    <row r="382" ht="14" customHeight="1" x14ac:dyDescent="0.15"/>
    <row r="383" ht="14" customHeight="1" x14ac:dyDescent="0.15"/>
    <row r="384" ht="14" customHeight="1" x14ac:dyDescent="0.15"/>
    <row r="385" ht="14" customHeight="1" x14ac:dyDescent="0.15"/>
    <row r="386" ht="14" customHeight="1" x14ac:dyDescent="0.15"/>
    <row r="387" ht="14" customHeight="1" x14ac:dyDescent="0.15"/>
    <row r="388" ht="14" customHeight="1" x14ac:dyDescent="0.15"/>
    <row r="389" ht="14" customHeight="1" x14ac:dyDescent="0.15"/>
    <row r="390" ht="14" customHeight="1" x14ac:dyDescent="0.15"/>
    <row r="391" ht="14" customHeight="1" x14ac:dyDescent="0.15"/>
    <row r="392" ht="14" customHeight="1" x14ac:dyDescent="0.15"/>
    <row r="393" ht="14" customHeight="1" x14ac:dyDescent="0.15"/>
    <row r="394" ht="14" customHeight="1" x14ac:dyDescent="0.15"/>
    <row r="395" ht="14" customHeight="1" x14ac:dyDescent="0.15"/>
    <row r="396" ht="14" customHeight="1" x14ac:dyDescent="0.15"/>
    <row r="397" ht="14" customHeight="1" x14ac:dyDescent="0.15"/>
    <row r="398" ht="14" customHeight="1" x14ac:dyDescent="0.15"/>
    <row r="399" ht="14" customHeight="1" x14ac:dyDescent="0.15"/>
    <row r="400" ht="14" customHeight="1" x14ac:dyDescent="0.15"/>
    <row r="401" ht="14" customHeight="1" x14ac:dyDescent="0.15"/>
    <row r="402" ht="14" customHeight="1" x14ac:dyDescent="0.15"/>
    <row r="403" ht="14" customHeight="1" x14ac:dyDescent="0.15"/>
    <row r="404" ht="14" customHeight="1" x14ac:dyDescent="0.15"/>
    <row r="405" ht="14" customHeight="1" x14ac:dyDescent="0.15"/>
    <row r="406" ht="14" customHeight="1" x14ac:dyDescent="0.15"/>
    <row r="407" ht="14" customHeight="1" x14ac:dyDescent="0.15"/>
    <row r="408" ht="14" customHeight="1" x14ac:dyDescent="0.15"/>
    <row r="409" ht="14" customHeight="1" x14ac:dyDescent="0.15"/>
    <row r="410" ht="14" customHeight="1" x14ac:dyDescent="0.15"/>
    <row r="411" ht="14" customHeight="1" x14ac:dyDescent="0.15"/>
    <row r="412" ht="14" customHeight="1" x14ac:dyDescent="0.15"/>
    <row r="413" ht="14" customHeight="1" x14ac:dyDescent="0.15"/>
    <row r="414" ht="14" customHeight="1" x14ac:dyDescent="0.15"/>
    <row r="415" ht="14" customHeight="1" x14ac:dyDescent="0.15"/>
    <row r="416" ht="14" customHeight="1" x14ac:dyDescent="0.15"/>
    <row r="417" ht="14" customHeight="1" x14ac:dyDescent="0.15"/>
    <row r="418" ht="14" customHeight="1" x14ac:dyDescent="0.15"/>
    <row r="419" ht="14" customHeight="1" x14ac:dyDescent="0.15"/>
    <row r="420" ht="14" customHeight="1" x14ac:dyDescent="0.15"/>
    <row r="421" ht="14" customHeight="1" x14ac:dyDescent="0.15"/>
    <row r="422" ht="14" customHeight="1" x14ac:dyDescent="0.15"/>
    <row r="423" ht="14" customHeight="1" x14ac:dyDescent="0.15"/>
    <row r="424" ht="14" customHeight="1" x14ac:dyDescent="0.15"/>
    <row r="425" ht="14" customHeight="1" x14ac:dyDescent="0.15"/>
    <row r="426" ht="14" customHeight="1" x14ac:dyDescent="0.15"/>
    <row r="427" ht="14" customHeight="1" x14ac:dyDescent="0.15"/>
    <row r="428" ht="14" customHeight="1" x14ac:dyDescent="0.15"/>
    <row r="429" ht="14" customHeight="1" x14ac:dyDescent="0.15"/>
    <row r="430" ht="14" customHeight="1" x14ac:dyDescent="0.15"/>
    <row r="431" ht="14" customHeight="1" x14ac:dyDescent="0.15"/>
    <row r="432" ht="14" customHeight="1" x14ac:dyDescent="0.15"/>
    <row r="433" ht="14" customHeight="1" x14ac:dyDescent="0.15"/>
    <row r="434" ht="14" customHeight="1" x14ac:dyDescent="0.15"/>
    <row r="435" ht="14" customHeight="1" x14ac:dyDescent="0.15"/>
    <row r="436" ht="14" customHeight="1" x14ac:dyDescent="0.15"/>
    <row r="437" ht="14" customHeight="1" x14ac:dyDescent="0.15"/>
    <row r="438" ht="14" customHeight="1" x14ac:dyDescent="0.15"/>
    <row r="439" ht="14" customHeight="1" x14ac:dyDescent="0.15"/>
    <row r="440" ht="14" customHeight="1" x14ac:dyDescent="0.15"/>
    <row r="441" ht="14" customHeight="1" x14ac:dyDescent="0.15"/>
    <row r="442" ht="14" customHeight="1" x14ac:dyDescent="0.15"/>
    <row r="443" ht="14" customHeight="1" x14ac:dyDescent="0.15"/>
    <row r="444" ht="14" customHeight="1" x14ac:dyDescent="0.15"/>
    <row r="445" ht="14" customHeight="1" x14ac:dyDescent="0.15"/>
    <row r="446" ht="14" customHeight="1" x14ac:dyDescent="0.15"/>
    <row r="447" ht="14" customHeight="1" x14ac:dyDescent="0.15"/>
    <row r="448" ht="14" customHeight="1" x14ac:dyDescent="0.15"/>
    <row r="449" ht="14" customHeight="1" x14ac:dyDescent="0.15"/>
    <row r="450" ht="14" customHeight="1" x14ac:dyDescent="0.15"/>
    <row r="451" ht="14" customHeight="1" x14ac:dyDescent="0.15"/>
    <row r="452" ht="14" customHeight="1" x14ac:dyDescent="0.15"/>
    <row r="453" ht="14" customHeight="1" x14ac:dyDescent="0.15"/>
    <row r="454" ht="14" customHeight="1" x14ac:dyDescent="0.15"/>
    <row r="455" ht="14" customHeight="1" x14ac:dyDescent="0.15"/>
    <row r="456" ht="14" customHeight="1" x14ac:dyDescent="0.15"/>
    <row r="457" ht="14" customHeight="1" x14ac:dyDescent="0.15"/>
    <row r="458" ht="14" customHeight="1" x14ac:dyDescent="0.15"/>
    <row r="459" ht="14" customHeight="1" x14ac:dyDescent="0.15"/>
    <row r="460" ht="14" customHeight="1" x14ac:dyDescent="0.15"/>
    <row r="461" ht="14" customHeight="1" x14ac:dyDescent="0.15"/>
    <row r="462" ht="14" customHeight="1" x14ac:dyDescent="0.15"/>
    <row r="463" ht="14" customHeight="1" x14ac:dyDescent="0.15"/>
    <row r="464" ht="14" customHeight="1" x14ac:dyDescent="0.15"/>
    <row r="465" ht="14" customHeight="1" x14ac:dyDescent="0.15"/>
    <row r="466" ht="14" customHeight="1" x14ac:dyDescent="0.15"/>
    <row r="467" ht="14" customHeight="1" x14ac:dyDescent="0.15"/>
    <row r="468" ht="14" customHeight="1" x14ac:dyDescent="0.15"/>
    <row r="469" ht="14" customHeight="1" x14ac:dyDescent="0.15"/>
    <row r="470" ht="14" customHeight="1" x14ac:dyDescent="0.15"/>
    <row r="471" ht="14" customHeight="1" x14ac:dyDescent="0.15"/>
    <row r="472" ht="14" customHeight="1" x14ac:dyDescent="0.15"/>
    <row r="473" ht="14" customHeight="1" x14ac:dyDescent="0.15"/>
    <row r="474" ht="14" customHeight="1" x14ac:dyDescent="0.15"/>
    <row r="475" ht="14" customHeight="1" x14ac:dyDescent="0.15"/>
    <row r="476" ht="14" customHeight="1" x14ac:dyDescent="0.15"/>
    <row r="477" ht="14" customHeight="1" x14ac:dyDescent="0.15"/>
    <row r="478" ht="14" customHeight="1" x14ac:dyDescent="0.15"/>
    <row r="479" ht="14" customHeight="1" x14ac:dyDescent="0.15"/>
    <row r="480" ht="14" customHeight="1" x14ac:dyDescent="0.15"/>
    <row r="481" ht="14" customHeight="1" x14ac:dyDescent="0.15"/>
    <row r="482" ht="14" customHeight="1" x14ac:dyDescent="0.15"/>
    <row r="483" ht="14" customHeight="1" x14ac:dyDescent="0.15"/>
    <row r="484" ht="14" customHeight="1" x14ac:dyDescent="0.15"/>
    <row r="485" ht="14" customHeight="1" x14ac:dyDescent="0.15"/>
    <row r="486" ht="14" customHeight="1" x14ac:dyDescent="0.15"/>
    <row r="487" ht="14" customHeight="1" x14ac:dyDescent="0.15"/>
    <row r="488" ht="14" customHeight="1" x14ac:dyDescent="0.15"/>
    <row r="489" ht="14" customHeight="1" x14ac:dyDescent="0.15"/>
    <row r="490" ht="14" customHeight="1" x14ac:dyDescent="0.15"/>
    <row r="491" ht="14" customHeight="1" x14ac:dyDescent="0.15"/>
    <row r="492" ht="14" customHeight="1" x14ac:dyDescent="0.15"/>
    <row r="493" ht="14" customHeight="1" x14ac:dyDescent="0.15"/>
    <row r="494" ht="14" customHeight="1" x14ac:dyDescent="0.15"/>
    <row r="495" ht="14" customHeight="1" x14ac:dyDescent="0.15"/>
    <row r="496" ht="14" customHeight="1" x14ac:dyDescent="0.15"/>
    <row r="497" ht="14" customHeight="1" x14ac:dyDescent="0.15"/>
    <row r="498" ht="14" customHeight="1" x14ac:dyDescent="0.15"/>
    <row r="499" ht="14" customHeight="1" x14ac:dyDescent="0.15"/>
    <row r="500" ht="14" customHeight="1" x14ac:dyDescent="0.15"/>
    <row r="501" ht="14" customHeight="1" x14ac:dyDescent="0.15"/>
    <row r="502" ht="14" customHeight="1" x14ac:dyDescent="0.15"/>
    <row r="503" ht="14" customHeight="1" x14ac:dyDescent="0.15"/>
    <row r="504" ht="14" customHeight="1" x14ac:dyDescent="0.15"/>
    <row r="505" ht="14" customHeight="1" x14ac:dyDescent="0.15"/>
    <row r="506" ht="14" customHeight="1" x14ac:dyDescent="0.15"/>
    <row r="507" ht="14" customHeight="1" x14ac:dyDescent="0.15"/>
    <row r="508" ht="14" customHeight="1" x14ac:dyDescent="0.15"/>
    <row r="509" ht="14" customHeight="1" x14ac:dyDescent="0.15"/>
    <row r="510" ht="14" customHeight="1" x14ac:dyDescent="0.15"/>
    <row r="511" ht="14" customHeight="1" x14ac:dyDescent="0.15"/>
    <row r="512" ht="14" customHeight="1" x14ac:dyDescent="0.15"/>
    <row r="513" ht="14" customHeight="1" x14ac:dyDescent="0.15"/>
    <row r="514" ht="14" customHeight="1" x14ac:dyDescent="0.15"/>
    <row r="515" ht="14" customHeight="1" x14ac:dyDescent="0.15"/>
    <row r="516" ht="14" customHeight="1" x14ac:dyDescent="0.15"/>
    <row r="517" ht="14" customHeight="1" x14ac:dyDescent="0.15"/>
    <row r="518" ht="14" customHeight="1" x14ac:dyDescent="0.15"/>
    <row r="519" ht="14" customHeight="1" x14ac:dyDescent="0.15"/>
    <row r="520" ht="14" customHeight="1" x14ac:dyDescent="0.15"/>
    <row r="521" ht="14" customHeight="1" x14ac:dyDescent="0.15"/>
    <row r="522" ht="14" customHeight="1" x14ac:dyDescent="0.15"/>
    <row r="523" ht="14" customHeight="1" x14ac:dyDescent="0.15"/>
    <row r="524" ht="14" customHeight="1" x14ac:dyDescent="0.15"/>
    <row r="525" ht="14" customHeight="1" x14ac:dyDescent="0.15"/>
    <row r="526" ht="14" customHeight="1" x14ac:dyDescent="0.15"/>
    <row r="527" ht="14" customHeight="1" x14ac:dyDescent="0.15"/>
    <row r="528" ht="14" customHeight="1" x14ac:dyDescent="0.15"/>
    <row r="529" ht="14" customHeight="1" x14ac:dyDescent="0.15"/>
    <row r="530" ht="14" customHeight="1" x14ac:dyDescent="0.15"/>
    <row r="531" ht="14" customHeight="1" x14ac:dyDescent="0.15"/>
    <row r="532" ht="14" customHeight="1" x14ac:dyDescent="0.15"/>
    <row r="533" ht="14" customHeight="1" x14ac:dyDescent="0.15"/>
    <row r="534" ht="14" customHeight="1" x14ac:dyDescent="0.15"/>
    <row r="535" ht="14" customHeight="1" x14ac:dyDescent="0.15"/>
    <row r="536" ht="14" customHeight="1" x14ac:dyDescent="0.15"/>
    <row r="537" ht="14" customHeight="1" x14ac:dyDescent="0.15"/>
    <row r="538" ht="14" customHeight="1" x14ac:dyDescent="0.15"/>
    <row r="539" ht="14" customHeight="1" x14ac:dyDescent="0.15"/>
    <row r="540" ht="14" customHeight="1" x14ac:dyDescent="0.15"/>
    <row r="541" ht="14" customHeight="1" x14ac:dyDescent="0.15"/>
    <row r="542" ht="14" customHeight="1" x14ac:dyDescent="0.15"/>
    <row r="543" ht="14" customHeight="1" x14ac:dyDescent="0.15"/>
    <row r="544" ht="14" customHeight="1" x14ac:dyDescent="0.15"/>
    <row r="545" ht="14" customHeight="1" x14ac:dyDescent="0.15"/>
    <row r="546" ht="14" customHeight="1" x14ac:dyDescent="0.15"/>
    <row r="547" ht="14" customHeight="1" x14ac:dyDescent="0.15"/>
    <row r="548" ht="14" customHeight="1" x14ac:dyDescent="0.15"/>
    <row r="549" ht="14" customHeight="1" x14ac:dyDescent="0.15"/>
    <row r="550" ht="14" customHeight="1" x14ac:dyDescent="0.15"/>
    <row r="551" ht="14" customHeight="1" x14ac:dyDescent="0.15"/>
    <row r="552" ht="14" customHeight="1" x14ac:dyDescent="0.15"/>
    <row r="553" ht="14" customHeight="1" x14ac:dyDescent="0.15"/>
    <row r="554" ht="14" customHeight="1" x14ac:dyDescent="0.15"/>
    <row r="555" ht="14" customHeight="1" x14ac:dyDescent="0.15"/>
    <row r="556" ht="14" customHeight="1" x14ac:dyDescent="0.15"/>
    <row r="557" ht="14" customHeight="1" x14ac:dyDescent="0.15"/>
    <row r="558" ht="14" customHeight="1" x14ac:dyDescent="0.15"/>
    <row r="559" ht="14" customHeight="1" x14ac:dyDescent="0.15"/>
    <row r="560" ht="14" customHeight="1" x14ac:dyDescent="0.15"/>
    <row r="561" ht="14" customHeight="1" x14ac:dyDescent="0.15"/>
    <row r="562" ht="14" customHeight="1" x14ac:dyDescent="0.15"/>
    <row r="563" ht="14" customHeight="1" x14ac:dyDescent="0.15"/>
    <row r="564" ht="14" customHeight="1" x14ac:dyDescent="0.15"/>
    <row r="565" ht="14" customHeight="1" x14ac:dyDescent="0.15"/>
    <row r="566" ht="14" customHeight="1" x14ac:dyDescent="0.15"/>
    <row r="567" ht="14" customHeight="1" x14ac:dyDescent="0.15"/>
    <row r="568" ht="14" customHeight="1" x14ac:dyDescent="0.15"/>
    <row r="569" ht="14" customHeight="1" x14ac:dyDescent="0.15"/>
    <row r="570" ht="14" customHeight="1" x14ac:dyDescent="0.15"/>
    <row r="571" ht="14" customHeight="1" x14ac:dyDescent="0.15"/>
    <row r="572" ht="14" customHeight="1" x14ac:dyDescent="0.15"/>
    <row r="573" ht="14" customHeight="1" x14ac:dyDescent="0.15"/>
    <row r="574" ht="14" customHeight="1" x14ac:dyDescent="0.15"/>
    <row r="575" ht="14" customHeight="1" x14ac:dyDescent="0.15"/>
    <row r="576" ht="14" customHeight="1" x14ac:dyDescent="0.15"/>
    <row r="577" ht="14" customHeight="1" x14ac:dyDescent="0.15"/>
    <row r="578" ht="14" customHeight="1" x14ac:dyDescent="0.15"/>
    <row r="579" ht="14" customHeight="1" x14ac:dyDescent="0.15"/>
    <row r="580" ht="14" customHeight="1" x14ac:dyDescent="0.15"/>
    <row r="581" ht="14" customHeight="1" x14ac:dyDescent="0.15"/>
    <row r="582" ht="14" customHeight="1" x14ac:dyDescent="0.15"/>
    <row r="583" ht="14" customHeight="1" x14ac:dyDescent="0.15"/>
    <row r="584" ht="14" customHeight="1" x14ac:dyDescent="0.15"/>
    <row r="585" ht="14" customHeight="1" x14ac:dyDescent="0.15"/>
    <row r="586" ht="14" customHeight="1" x14ac:dyDescent="0.15"/>
    <row r="587" ht="14" customHeight="1" x14ac:dyDescent="0.15"/>
    <row r="588" ht="14" customHeight="1" x14ac:dyDescent="0.15"/>
    <row r="589" ht="14" customHeight="1" x14ac:dyDescent="0.15"/>
    <row r="590" ht="14" customHeight="1" x14ac:dyDescent="0.15"/>
    <row r="591" ht="14" customHeight="1" x14ac:dyDescent="0.15"/>
    <row r="592" ht="14" customHeight="1" x14ac:dyDescent="0.15"/>
    <row r="593" ht="14" customHeight="1" x14ac:dyDescent="0.15"/>
    <row r="594" ht="14" customHeight="1" x14ac:dyDescent="0.15"/>
    <row r="595" ht="14" customHeight="1" x14ac:dyDescent="0.15"/>
    <row r="596" ht="14" customHeight="1" x14ac:dyDescent="0.15"/>
    <row r="597" ht="14" customHeight="1" x14ac:dyDescent="0.15"/>
    <row r="598" ht="14" customHeight="1" x14ac:dyDescent="0.15"/>
    <row r="599" ht="14" customHeight="1" x14ac:dyDescent="0.15"/>
    <row r="600" ht="14" customHeight="1" x14ac:dyDescent="0.15"/>
    <row r="601" ht="14" customHeight="1" x14ac:dyDescent="0.15"/>
    <row r="602" ht="14" customHeight="1" x14ac:dyDescent="0.15"/>
    <row r="603" ht="14" customHeight="1" x14ac:dyDescent="0.15"/>
    <row r="604" ht="14" customHeight="1" x14ac:dyDescent="0.15"/>
    <row r="605" ht="14" customHeight="1" x14ac:dyDescent="0.15"/>
    <row r="606" ht="14" customHeight="1" x14ac:dyDescent="0.15"/>
    <row r="607" ht="14" customHeight="1" x14ac:dyDescent="0.15"/>
    <row r="608" ht="14" customHeight="1" x14ac:dyDescent="0.15"/>
    <row r="609" ht="14" customHeight="1" x14ac:dyDescent="0.15"/>
    <row r="610" ht="14" customHeight="1" x14ac:dyDescent="0.15"/>
    <row r="611" ht="14" customHeight="1" x14ac:dyDescent="0.15"/>
    <row r="612" ht="14" customHeight="1" x14ac:dyDescent="0.15"/>
    <row r="613" ht="14" customHeight="1" x14ac:dyDescent="0.15"/>
    <row r="614" ht="14" customHeight="1" x14ac:dyDescent="0.15"/>
    <row r="615" ht="14" customHeight="1" x14ac:dyDescent="0.15"/>
    <row r="616" ht="14" customHeight="1" x14ac:dyDescent="0.15"/>
    <row r="617" ht="14" customHeight="1" x14ac:dyDescent="0.15"/>
    <row r="618" ht="14" customHeight="1" x14ac:dyDescent="0.15"/>
    <row r="619" ht="14" customHeight="1" x14ac:dyDescent="0.15"/>
    <row r="620" ht="14" customHeight="1" x14ac:dyDescent="0.15"/>
    <row r="621" ht="14" customHeight="1" x14ac:dyDescent="0.15"/>
    <row r="622" ht="14" customHeight="1" x14ac:dyDescent="0.15"/>
    <row r="623" ht="14" customHeight="1" x14ac:dyDescent="0.15"/>
    <row r="624" ht="14" customHeight="1" x14ac:dyDescent="0.15"/>
    <row r="625" ht="14" customHeight="1" x14ac:dyDescent="0.15"/>
    <row r="626" ht="14" customHeight="1" x14ac:dyDescent="0.15"/>
    <row r="627" ht="14" customHeight="1" x14ac:dyDescent="0.15"/>
    <row r="628" ht="14" customHeight="1" x14ac:dyDescent="0.15"/>
    <row r="629" ht="14" customHeight="1" x14ac:dyDescent="0.15"/>
    <row r="630" ht="14" customHeight="1" x14ac:dyDescent="0.15"/>
    <row r="631" ht="14" customHeight="1" x14ac:dyDescent="0.15"/>
    <row r="632" ht="14" customHeight="1" x14ac:dyDescent="0.15"/>
    <row r="633" ht="14" customHeight="1" x14ac:dyDescent="0.15"/>
    <row r="634" ht="14" customHeight="1" x14ac:dyDescent="0.15"/>
    <row r="635" ht="14" customHeight="1" x14ac:dyDescent="0.15"/>
    <row r="636" ht="14" customHeight="1" x14ac:dyDescent="0.15"/>
    <row r="637" ht="14" customHeight="1" x14ac:dyDescent="0.15"/>
    <row r="638" ht="14" customHeight="1" x14ac:dyDescent="0.15"/>
    <row r="639" ht="14" customHeight="1" x14ac:dyDescent="0.15"/>
    <row r="640" ht="14" customHeight="1" x14ac:dyDescent="0.15"/>
    <row r="641" ht="14" customHeight="1" x14ac:dyDescent="0.15"/>
    <row r="642" ht="14" customHeight="1" x14ac:dyDescent="0.15"/>
    <row r="643" ht="14" customHeight="1" x14ac:dyDescent="0.15"/>
    <row r="644" ht="14" customHeight="1" x14ac:dyDescent="0.15"/>
    <row r="645" ht="14" customHeight="1" x14ac:dyDescent="0.15"/>
    <row r="646" ht="14" customHeight="1" x14ac:dyDescent="0.15"/>
    <row r="647" ht="14" customHeight="1" x14ac:dyDescent="0.15"/>
    <row r="648" ht="14" customHeight="1" x14ac:dyDescent="0.15"/>
    <row r="649" ht="14" customHeight="1" x14ac:dyDescent="0.15"/>
    <row r="650" ht="14" customHeight="1" x14ac:dyDescent="0.15"/>
    <row r="651" ht="14" customHeight="1" x14ac:dyDescent="0.15"/>
    <row r="652" ht="14" customHeight="1" x14ac:dyDescent="0.15"/>
    <row r="653" ht="14" customHeight="1" x14ac:dyDescent="0.15"/>
    <row r="654" ht="14" customHeight="1" x14ac:dyDescent="0.15"/>
    <row r="655" ht="14" customHeight="1" x14ac:dyDescent="0.15"/>
    <row r="656" ht="14" customHeight="1" x14ac:dyDescent="0.15"/>
    <row r="657" ht="14" customHeight="1" x14ac:dyDescent="0.15"/>
    <row r="658" ht="14" customHeight="1" x14ac:dyDescent="0.15"/>
    <row r="659" ht="14" customHeight="1" x14ac:dyDescent="0.15"/>
    <row r="660" ht="14" customHeight="1" x14ac:dyDescent="0.15"/>
    <row r="661" ht="14" customHeight="1" x14ac:dyDescent="0.15"/>
    <row r="662" ht="14" customHeight="1" x14ac:dyDescent="0.15"/>
    <row r="663" ht="14" customHeight="1" x14ac:dyDescent="0.15"/>
    <row r="664" ht="14" customHeight="1" x14ac:dyDescent="0.15"/>
    <row r="665" ht="14" customHeight="1" x14ac:dyDescent="0.15"/>
    <row r="666" ht="14" customHeight="1" x14ac:dyDescent="0.15"/>
    <row r="667" ht="14" customHeight="1" x14ac:dyDescent="0.15"/>
    <row r="668" ht="14" customHeight="1" x14ac:dyDescent="0.15"/>
    <row r="669" ht="14" customHeight="1" x14ac:dyDescent="0.15"/>
    <row r="670" ht="14" customHeight="1" x14ac:dyDescent="0.15"/>
    <row r="671" ht="14" customHeight="1" x14ac:dyDescent="0.15"/>
    <row r="672" ht="14" customHeight="1" x14ac:dyDescent="0.15"/>
    <row r="673" ht="14" customHeight="1" x14ac:dyDescent="0.15"/>
    <row r="674" ht="14" customHeight="1" x14ac:dyDescent="0.15"/>
    <row r="675" ht="14" customHeight="1" x14ac:dyDescent="0.15"/>
    <row r="676" ht="14" customHeight="1" x14ac:dyDescent="0.15"/>
    <row r="677" ht="14" customHeight="1" x14ac:dyDescent="0.15"/>
    <row r="678" ht="14" customHeight="1" x14ac:dyDescent="0.15"/>
    <row r="679" ht="14" customHeight="1" x14ac:dyDescent="0.15"/>
    <row r="680" ht="14" customHeight="1" x14ac:dyDescent="0.15"/>
    <row r="681" ht="14" customHeight="1" x14ac:dyDescent="0.15"/>
    <row r="682" ht="14" customHeight="1" x14ac:dyDescent="0.15"/>
    <row r="683" ht="14" customHeight="1" x14ac:dyDescent="0.15"/>
    <row r="684" ht="14" customHeight="1" x14ac:dyDescent="0.15"/>
    <row r="685" ht="14" customHeight="1" x14ac:dyDescent="0.15"/>
    <row r="686" ht="14" customHeight="1" x14ac:dyDescent="0.15"/>
    <row r="687" ht="14" customHeight="1" x14ac:dyDescent="0.15"/>
    <row r="688" ht="14" customHeight="1" x14ac:dyDescent="0.15"/>
    <row r="689" ht="14" customHeight="1" x14ac:dyDescent="0.15"/>
    <row r="690" ht="14" customHeight="1" x14ac:dyDescent="0.15"/>
    <row r="691" ht="14" customHeight="1" x14ac:dyDescent="0.15"/>
    <row r="692" ht="14" customHeight="1" x14ac:dyDescent="0.15"/>
    <row r="693" ht="14" customHeight="1" x14ac:dyDescent="0.15"/>
    <row r="694" ht="14" customHeight="1" x14ac:dyDescent="0.15"/>
    <row r="695" ht="14" customHeight="1" x14ac:dyDescent="0.15"/>
    <row r="696" ht="14" customHeight="1" x14ac:dyDescent="0.15"/>
    <row r="697" ht="14" customHeight="1" x14ac:dyDescent="0.15"/>
    <row r="698" ht="14" customHeight="1" x14ac:dyDescent="0.15"/>
    <row r="699" ht="14" customHeight="1" x14ac:dyDescent="0.15"/>
    <row r="700" ht="14" customHeight="1" x14ac:dyDescent="0.15"/>
    <row r="701" ht="14" customHeight="1" x14ac:dyDescent="0.15"/>
    <row r="702" ht="14" customHeight="1" x14ac:dyDescent="0.15"/>
    <row r="703" ht="14" customHeight="1" x14ac:dyDescent="0.15"/>
    <row r="704" ht="14" customHeight="1" x14ac:dyDescent="0.15"/>
    <row r="705" ht="14" customHeight="1" x14ac:dyDescent="0.15"/>
    <row r="706" ht="14" customHeight="1" x14ac:dyDescent="0.15"/>
    <row r="707" ht="14" customHeight="1" x14ac:dyDescent="0.15"/>
    <row r="708" ht="14" customHeight="1" x14ac:dyDescent="0.15"/>
    <row r="709" ht="14" customHeight="1" x14ac:dyDescent="0.15"/>
    <row r="710" ht="14" customHeight="1" x14ac:dyDescent="0.15"/>
    <row r="711" ht="14" customHeight="1" x14ac:dyDescent="0.15"/>
    <row r="712" ht="14" customHeight="1" x14ac:dyDescent="0.15"/>
    <row r="713" ht="14" customHeight="1" x14ac:dyDescent="0.15"/>
    <row r="714" ht="14" customHeight="1" x14ac:dyDescent="0.15"/>
    <row r="715" ht="14" customHeight="1" x14ac:dyDescent="0.15"/>
    <row r="716" ht="14" customHeight="1" x14ac:dyDescent="0.15"/>
    <row r="717" ht="14" customHeight="1" x14ac:dyDescent="0.15"/>
    <row r="718" ht="14" customHeight="1" x14ac:dyDescent="0.15"/>
    <row r="719" ht="14" customHeight="1" x14ac:dyDescent="0.15"/>
    <row r="720" ht="14" customHeight="1" x14ac:dyDescent="0.15"/>
    <row r="721" ht="14" customHeight="1" x14ac:dyDescent="0.15"/>
    <row r="722" ht="14" customHeight="1" x14ac:dyDescent="0.15"/>
    <row r="723" ht="14" customHeight="1" x14ac:dyDescent="0.15"/>
    <row r="724" ht="14" customHeight="1" x14ac:dyDescent="0.15"/>
    <row r="725" ht="14" customHeight="1" x14ac:dyDescent="0.15"/>
    <row r="726" ht="14" customHeight="1" x14ac:dyDescent="0.15"/>
    <row r="727" ht="14" customHeight="1" x14ac:dyDescent="0.15"/>
    <row r="728" ht="14" customHeight="1" x14ac:dyDescent="0.15"/>
    <row r="729" ht="14" customHeight="1" x14ac:dyDescent="0.15"/>
    <row r="730" ht="14" customHeight="1" x14ac:dyDescent="0.15"/>
    <row r="731" ht="14" customHeight="1" x14ac:dyDescent="0.15"/>
    <row r="732" ht="14" customHeight="1" x14ac:dyDescent="0.15"/>
    <row r="733" ht="14" customHeight="1" x14ac:dyDescent="0.15"/>
    <row r="734" ht="14" customHeight="1" x14ac:dyDescent="0.15"/>
    <row r="735" ht="14" customHeight="1" x14ac:dyDescent="0.15"/>
    <row r="736" ht="14" customHeight="1" x14ac:dyDescent="0.15"/>
    <row r="737" ht="14" customHeight="1" x14ac:dyDescent="0.15"/>
    <row r="738" ht="14" customHeight="1" x14ac:dyDescent="0.15"/>
    <row r="739" ht="14" customHeight="1" x14ac:dyDescent="0.15"/>
    <row r="740" ht="14" customHeight="1" x14ac:dyDescent="0.15"/>
    <row r="741" ht="14" customHeight="1" x14ac:dyDescent="0.15"/>
    <row r="742" ht="14" customHeight="1" x14ac:dyDescent="0.15"/>
    <row r="743" ht="14" customHeight="1" x14ac:dyDescent="0.15"/>
    <row r="744" ht="14" customHeight="1" x14ac:dyDescent="0.15"/>
    <row r="745" ht="14" customHeight="1" x14ac:dyDescent="0.15"/>
    <row r="746" ht="14" customHeight="1" x14ac:dyDescent="0.15"/>
    <row r="747" ht="14" customHeight="1" x14ac:dyDescent="0.15"/>
    <row r="748" ht="14" customHeight="1" x14ac:dyDescent="0.15"/>
    <row r="749" ht="14" customHeight="1" x14ac:dyDescent="0.15"/>
    <row r="750" ht="14" customHeight="1" x14ac:dyDescent="0.15"/>
    <row r="751" ht="14" customHeight="1" x14ac:dyDescent="0.15"/>
    <row r="752" ht="14" customHeight="1" x14ac:dyDescent="0.15"/>
    <row r="753" ht="14" customHeight="1" x14ac:dyDescent="0.15"/>
    <row r="754" ht="14" customHeight="1" x14ac:dyDescent="0.15"/>
    <row r="755" ht="14" customHeight="1" x14ac:dyDescent="0.15"/>
    <row r="756" ht="14" customHeight="1" x14ac:dyDescent="0.15"/>
    <row r="757" ht="14" customHeight="1" x14ac:dyDescent="0.15"/>
    <row r="758" ht="14" customHeight="1" x14ac:dyDescent="0.15"/>
    <row r="759" ht="14" customHeight="1" x14ac:dyDescent="0.15"/>
    <row r="760" ht="14" customHeight="1" x14ac:dyDescent="0.15"/>
    <row r="761" ht="14" customHeight="1" x14ac:dyDescent="0.15"/>
    <row r="762" ht="14" customHeight="1" x14ac:dyDescent="0.15"/>
    <row r="763" ht="14" customHeight="1" x14ac:dyDescent="0.15"/>
    <row r="764" ht="14" customHeight="1" x14ac:dyDescent="0.15"/>
    <row r="765" ht="14" customHeight="1" x14ac:dyDescent="0.15"/>
    <row r="766" ht="14" customHeight="1" x14ac:dyDescent="0.15"/>
    <row r="767" ht="14" customHeight="1" x14ac:dyDescent="0.15"/>
    <row r="768" ht="14" customHeight="1" x14ac:dyDescent="0.15"/>
    <row r="769" ht="14" customHeight="1" x14ac:dyDescent="0.15"/>
    <row r="770" ht="14" customHeight="1" x14ac:dyDescent="0.15"/>
    <row r="771" ht="14" customHeight="1" x14ac:dyDescent="0.15"/>
    <row r="772" ht="14" customHeight="1" x14ac:dyDescent="0.15"/>
    <row r="773" ht="14" customHeight="1" x14ac:dyDescent="0.15"/>
    <row r="774" ht="14" customHeight="1" x14ac:dyDescent="0.15"/>
    <row r="775" ht="14" customHeight="1" x14ac:dyDescent="0.15"/>
    <row r="776" ht="14" customHeight="1" x14ac:dyDescent="0.15"/>
    <row r="777" ht="14" customHeight="1" x14ac:dyDescent="0.15"/>
    <row r="778" ht="14" customHeight="1" x14ac:dyDescent="0.15"/>
    <row r="779" ht="14" customHeight="1" x14ac:dyDescent="0.15"/>
    <row r="780" ht="14" customHeight="1" x14ac:dyDescent="0.15"/>
    <row r="781" ht="14" customHeight="1" x14ac:dyDescent="0.15"/>
    <row r="782" ht="14" customHeight="1" x14ac:dyDescent="0.15"/>
    <row r="783" ht="14" customHeight="1" x14ac:dyDescent="0.15"/>
    <row r="784" ht="14" customHeight="1" x14ac:dyDescent="0.15"/>
    <row r="785" ht="14" customHeight="1" x14ac:dyDescent="0.15"/>
    <row r="786" ht="14" customHeight="1" x14ac:dyDescent="0.15"/>
    <row r="787" ht="14" customHeight="1" x14ac:dyDescent="0.15"/>
    <row r="788" ht="14" customHeight="1" x14ac:dyDescent="0.15"/>
    <row r="789" ht="14" customHeight="1" x14ac:dyDescent="0.15"/>
    <row r="790" ht="14" customHeight="1" x14ac:dyDescent="0.15"/>
    <row r="791" ht="14" customHeight="1" x14ac:dyDescent="0.15"/>
    <row r="792" ht="14" customHeight="1" x14ac:dyDescent="0.15"/>
    <row r="793" ht="14" customHeight="1" x14ac:dyDescent="0.15"/>
    <row r="794" ht="14" customHeight="1" x14ac:dyDescent="0.15"/>
    <row r="795" ht="14" customHeight="1" x14ac:dyDescent="0.15"/>
    <row r="796" ht="14" customHeight="1" x14ac:dyDescent="0.15"/>
    <row r="797" ht="14" customHeight="1" x14ac:dyDescent="0.15"/>
    <row r="798" ht="14" customHeight="1" x14ac:dyDescent="0.15"/>
    <row r="799" ht="14" customHeight="1" x14ac:dyDescent="0.15"/>
    <row r="800" ht="14" customHeight="1" x14ac:dyDescent="0.15"/>
    <row r="801" ht="14" customHeight="1" x14ac:dyDescent="0.15"/>
    <row r="802" ht="14" customHeight="1" x14ac:dyDescent="0.15"/>
    <row r="803" ht="14" customHeight="1" x14ac:dyDescent="0.15"/>
    <row r="804" ht="14" customHeight="1" x14ac:dyDescent="0.15"/>
    <row r="805" ht="14" customHeight="1" x14ac:dyDescent="0.15"/>
    <row r="806" ht="14" customHeight="1" x14ac:dyDescent="0.15"/>
    <row r="807" ht="14" customHeight="1" x14ac:dyDescent="0.15"/>
    <row r="808" ht="14" customHeight="1" x14ac:dyDescent="0.15"/>
    <row r="809" ht="14" customHeight="1" x14ac:dyDescent="0.15"/>
    <row r="810" ht="14" customHeight="1" x14ac:dyDescent="0.15"/>
    <row r="811" ht="14" customHeight="1" x14ac:dyDescent="0.15"/>
    <row r="812" ht="14" customHeight="1" x14ac:dyDescent="0.15"/>
    <row r="813" ht="14" customHeight="1" x14ac:dyDescent="0.15"/>
    <row r="814" ht="14" customHeight="1" x14ac:dyDescent="0.15"/>
    <row r="815" ht="14" customHeight="1" x14ac:dyDescent="0.15"/>
    <row r="816" ht="14" customHeight="1" x14ac:dyDescent="0.15"/>
    <row r="817" ht="14" customHeight="1" x14ac:dyDescent="0.15"/>
    <row r="818" ht="14" customHeight="1" x14ac:dyDescent="0.15"/>
    <row r="819" ht="14" customHeight="1" x14ac:dyDescent="0.15"/>
    <row r="820" ht="14" customHeight="1" x14ac:dyDescent="0.15"/>
    <row r="821" ht="14" customHeight="1" x14ac:dyDescent="0.15"/>
    <row r="822" ht="14" customHeight="1" x14ac:dyDescent="0.15"/>
    <row r="823" ht="14" customHeight="1" x14ac:dyDescent="0.15"/>
    <row r="824" ht="14" customHeight="1" x14ac:dyDescent="0.15"/>
    <row r="825" ht="14" customHeight="1" x14ac:dyDescent="0.15"/>
    <row r="826" ht="14" customHeight="1" x14ac:dyDescent="0.15"/>
    <row r="827" ht="14" customHeight="1" x14ac:dyDescent="0.15"/>
    <row r="828" ht="14" customHeight="1" x14ac:dyDescent="0.15"/>
    <row r="829" ht="14" customHeight="1" x14ac:dyDescent="0.15"/>
    <row r="830" ht="14" customHeight="1" x14ac:dyDescent="0.15"/>
    <row r="831" ht="14" customHeight="1" x14ac:dyDescent="0.15"/>
    <row r="832" ht="14" customHeight="1" x14ac:dyDescent="0.15"/>
    <row r="833" ht="14" customHeight="1" x14ac:dyDescent="0.15"/>
    <row r="834" ht="14" customHeight="1" x14ac:dyDescent="0.15"/>
    <row r="835" ht="14" customHeight="1" x14ac:dyDescent="0.15"/>
    <row r="836" ht="14" customHeight="1" x14ac:dyDescent="0.15"/>
    <row r="837" ht="14" customHeight="1" x14ac:dyDescent="0.15"/>
    <row r="838" ht="14" customHeight="1" x14ac:dyDescent="0.15"/>
    <row r="839" ht="14" customHeight="1" x14ac:dyDescent="0.15"/>
    <row r="840" ht="14" customHeight="1" x14ac:dyDescent="0.15"/>
    <row r="841" ht="14" customHeight="1" x14ac:dyDescent="0.15"/>
    <row r="842" ht="14" customHeight="1" x14ac:dyDescent="0.15"/>
    <row r="843" ht="14" customHeight="1" x14ac:dyDescent="0.15"/>
    <row r="844" ht="14" customHeight="1" x14ac:dyDescent="0.15"/>
    <row r="845" ht="14" customHeight="1" x14ac:dyDescent="0.15"/>
    <row r="846" ht="14" customHeight="1" x14ac:dyDescent="0.15"/>
    <row r="847" ht="14" customHeight="1" x14ac:dyDescent="0.15"/>
    <row r="848" ht="14" customHeight="1" x14ac:dyDescent="0.15"/>
    <row r="849" ht="14" customHeight="1" x14ac:dyDescent="0.15"/>
    <row r="850" ht="14" customHeight="1" x14ac:dyDescent="0.15"/>
    <row r="851" ht="14" customHeight="1" x14ac:dyDescent="0.15"/>
    <row r="852" ht="14" customHeight="1" x14ac:dyDescent="0.15"/>
    <row r="853" ht="14" customHeight="1" x14ac:dyDescent="0.15"/>
    <row r="854" ht="14" customHeight="1" x14ac:dyDescent="0.15"/>
    <row r="855" ht="14" customHeight="1" x14ac:dyDescent="0.15"/>
    <row r="856" ht="14" customHeight="1" x14ac:dyDescent="0.15"/>
    <row r="857" ht="14" customHeight="1" x14ac:dyDescent="0.15"/>
    <row r="858" ht="14" customHeight="1" x14ac:dyDescent="0.15"/>
    <row r="859" ht="14" customHeight="1" x14ac:dyDescent="0.15"/>
    <row r="860" ht="14" customHeight="1" x14ac:dyDescent="0.15"/>
    <row r="861" ht="14" customHeight="1" x14ac:dyDescent="0.15"/>
    <row r="862" ht="14" customHeight="1" x14ac:dyDescent="0.15"/>
    <row r="863" ht="14" customHeight="1" x14ac:dyDescent="0.15"/>
    <row r="864" ht="14" customHeight="1" x14ac:dyDescent="0.15"/>
    <row r="865" ht="14" customHeight="1" x14ac:dyDescent="0.15"/>
    <row r="866" ht="14" customHeight="1" x14ac:dyDescent="0.15"/>
    <row r="867" ht="14" customHeight="1" x14ac:dyDescent="0.15"/>
    <row r="868" ht="14" customHeight="1" x14ac:dyDescent="0.15"/>
    <row r="869" ht="14" customHeight="1" x14ac:dyDescent="0.15"/>
    <row r="870" ht="14" customHeight="1" x14ac:dyDescent="0.15"/>
    <row r="871" ht="14" customHeight="1" x14ac:dyDescent="0.15"/>
    <row r="872" ht="14" customHeight="1" x14ac:dyDescent="0.15"/>
    <row r="873" ht="14" customHeight="1" x14ac:dyDescent="0.15"/>
    <row r="874" ht="14" customHeight="1" x14ac:dyDescent="0.15"/>
    <row r="875" ht="14" customHeight="1" x14ac:dyDescent="0.15"/>
    <row r="876" ht="14" customHeight="1" x14ac:dyDescent="0.15"/>
    <row r="877" ht="14" customHeight="1" x14ac:dyDescent="0.15"/>
    <row r="878" ht="14" customHeight="1" x14ac:dyDescent="0.15"/>
    <row r="879" ht="14" customHeight="1" x14ac:dyDescent="0.15"/>
    <row r="880" ht="14" customHeight="1" x14ac:dyDescent="0.15"/>
    <row r="881" ht="14" customHeight="1" x14ac:dyDescent="0.15"/>
    <row r="882" ht="14" customHeight="1" x14ac:dyDescent="0.15"/>
    <row r="883" ht="14" customHeight="1" x14ac:dyDescent="0.15"/>
    <row r="884" ht="14" customHeight="1" x14ac:dyDescent="0.15"/>
    <row r="885" ht="14" customHeight="1" x14ac:dyDescent="0.15"/>
    <row r="886" ht="14" customHeight="1" x14ac:dyDescent="0.15"/>
    <row r="887" ht="14" customHeight="1" x14ac:dyDescent="0.15"/>
    <row r="888" ht="14" customHeight="1" x14ac:dyDescent="0.15"/>
    <row r="889" ht="14" customHeight="1" x14ac:dyDescent="0.15"/>
    <row r="890" ht="14" customHeight="1" x14ac:dyDescent="0.15"/>
    <row r="891" ht="14" customHeight="1" x14ac:dyDescent="0.15"/>
    <row r="892" ht="14" customHeight="1" x14ac:dyDescent="0.15"/>
    <row r="893" ht="14" customHeight="1" x14ac:dyDescent="0.15"/>
    <row r="894" ht="14" customHeight="1" x14ac:dyDescent="0.15"/>
    <row r="895" ht="14" customHeight="1" x14ac:dyDescent="0.15"/>
    <row r="896" ht="14" customHeight="1" x14ac:dyDescent="0.15"/>
    <row r="897" ht="14" customHeight="1" x14ac:dyDescent="0.15"/>
    <row r="898" ht="14" customHeight="1" x14ac:dyDescent="0.15"/>
    <row r="899" ht="14" customHeight="1" x14ac:dyDescent="0.15"/>
    <row r="900" ht="14" customHeight="1" x14ac:dyDescent="0.15"/>
    <row r="901" ht="14" customHeight="1" x14ac:dyDescent="0.15"/>
    <row r="902" ht="14" customHeight="1" x14ac:dyDescent="0.15"/>
    <row r="903" ht="14" customHeight="1" x14ac:dyDescent="0.15"/>
    <row r="904" ht="14" customHeight="1" x14ac:dyDescent="0.15"/>
    <row r="905" ht="14" customHeight="1" x14ac:dyDescent="0.15"/>
    <row r="906" ht="14" customHeight="1" x14ac:dyDescent="0.15"/>
    <row r="907" ht="14" customHeight="1" x14ac:dyDescent="0.15"/>
    <row r="908" ht="14" customHeight="1" x14ac:dyDescent="0.15"/>
    <row r="909" ht="14" customHeight="1" x14ac:dyDescent="0.15"/>
    <row r="910" ht="14" customHeight="1" x14ac:dyDescent="0.15"/>
    <row r="911" ht="14" customHeight="1" x14ac:dyDescent="0.15"/>
    <row r="912" ht="14" customHeight="1" x14ac:dyDescent="0.15"/>
    <row r="913" ht="14" customHeight="1" x14ac:dyDescent="0.15"/>
    <row r="914" ht="14" customHeight="1" x14ac:dyDescent="0.15"/>
    <row r="915" ht="14" customHeight="1" x14ac:dyDescent="0.15"/>
    <row r="916" ht="14" customHeight="1" x14ac:dyDescent="0.15"/>
    <row r="917" ht="14" customHeight="1" x14ac:dyDescent="0.15"/>
    <row r="918" ht="14" customHeight="1" x14ac:dyDescent="0.15"/>
    <row r="919" ht="14" customHeight="1" x14ac:dyDescent="0.15"/>
    <row r="920" ht="14" customHeight="1" x14ac:dyDescent="0.15"/>
    <row r="921" ht="14" customHeight="1" x14ac:dyDescent="0.15"/>
    <row r="922" ht="14" customHeight="1" x14ac:dyDescent="0.15"/>
    <row r="923" ht="14" customHeight="1" x14ac:dyDescent="0.15"/>
    <row r="924" ht="14" customHeight="1" x14ac:dyDescent="0.15"/>
    <row r="925" ht="14" customHeight="1" x14ac:dyDescent="0.15"/>
    <row r="926" ht="14" customHeight="1" x14ac:dyDescent="0.15"/>
    <row r="927" ht="14" customHeight="1" x14ac:dyDescent="0.15"/>
    <row r="928" ht="14" customHeight="1" x14ac:dyDescent="0.15"/>
    <row r="929" ht="14" customHeight="1" x14ac:dyDescent="0.15"/>
    <row r="930" ht="14" customHeight="1" x14ac:dyDescent="0.15"/>
    <row r="931" ht="14" customHeight="1" x14ac:dyDescent="0.15"/>
    <row r="932" ht="14" customHeight="1" x14ac:dyDescent="0.15"/>
    <row r="933" ht="14" customHeight="1" x14ac:dyDescent="0.15"/>
    <row r="934" ht="14" customHeight="1" x14ac:dyDescent="0.15"/>
    <row r="935" ht="14" customHeight="1" x14ac:dyDescent="0.15"/>
    <row r="936" ht="14" customHeight="1" x14ac:dyDescent="0.15"/>
    <row r="937" ht="14" customHeight="1" x14ac:dyDescent="0.15"/>
    <row r="938" ht="14" customHeight="1" x14ac:dyDescent="0.15"/>
    <row r="939" ht="14" customHeight="1" x14ac:dyDescent="0.15"/>
    <row r="940" ht="14" customHeight="1" x14ac:dyDescent="0.15"/>
    <row r="941" ht="14" customHeight="1" x14ac:dyDescent="0.15"/>
    <row r="942" ht="14" customHeight="1" x14ac:dyDescent="0.15"/>
    <row r="943" ht="14" customHeight="1" x14ac:dyDescent="0.15"/>
    <row r="944" ht="14" customHeight="1" x14ac:dyDescent="0.15"/>
    <row r="945" ht="14" customHeight="1" x14ac:dyDescent="0.15"/>
    <row r="946" ht="14" customHeight="1" x14ac:dyDescent="0.15"/>
    <row r="947" ht="14" customHeight="1" x14ac:dyDescent="0.15"/>
    <row r="948" ht="14" customHeight="1" x14ac:dyDescent="0.15"/>
    <row r="949" ht="14" customHeight="1" x14ac:dyDescent="0.15"/>
    <row r="950" ht="14" customHeight="1" x14ac:dyDescent="0.15"/>
    <row r="951" ht="14" customHeight="1" x14ac:dyDescent="0.15"/>
    <row r="952" ht="14" customHeight="1" x14ac:dyDescent="0.15"/>
    <row r="953" ht="14" customHeight="1" x14ac:dyDescent="0.15"/>
    <row r="954" ht="14" customHeight="1" x14ac:dyDescent="0.15"/>
    <row r="955" ht="14" customHeight="1" x14ac:dyDescent="0.15"/>
    <row r="956" ht="14" customHeight="1" x14ac:dyDescent="0.15"/>
    <row r="957" ht="14" customHeight="1" x14ac:dyDescent="0.15"/>
    <row r="958" ht="14" customHeight="1" x14ac:dyDescent="0.15"/>
    <row r="959" ht="14" customHeight="1" x14ac:dyDescent="0.15"/>
    <row r="960" ht="14" customHeight="1" x14ac:dyDescent="0.15"/>
    <row r="961" ht="14" customHeight="1" x14ac:dyDescent="0.15"/>
    <row r="962" ht="14" customHeight="1" x14ac:dyDescent="0.15"/>
    <row r="963" ht="14" customHeight="1" x14ac:dyDescent="0.15"/>
    <row r="964" ht="14" customHeight="1" x14ac:dyDescent="0.15"/>
    <row r="965" ht="14" customHeight="1" x14ac:dyDescent="0.15"/>
    <row r="966" ht="14" customHeight="1" x14ac:dyDescent="0.15"/>
    <row r="967" ht="14" customHeight="1" x14ac:dyDescent="0.15"/>
    <row r="968" ht="14" customHeight="1" x14ac:dyDescent="0.15"/>
    <row r="969" ht="14" customHeight="1" x14ac:dyDescent="0.15"/>
    <row r="970" ht="14" customHeight="1" x14ac:dyDescent="0.15"/>
    <row r="971" ht="14" customHeight="1" x14ac:dyDescent="0.15"/>
    <row r="972" ht="14" customHeight="1" x14ac:dyDescent="0.15"/>
    <row r="973" ht="14" customHeight="1" x14ac:dyDescent="0.15"/>
    <row r="974" ht="14" customHeight="1" x14ac:dyDescent="0.15"/>
    <row r="975" ht="14" customHeight="1" x14ac:dyDescent="0.15"/>
    <row r="976" ht="14" customHeight="1" x14ac:dyDescent="0.15"/>
    <row r="977" ht="14" customHeight="1" x14ac:dyDescent="0.15"/>
    <row r="978" ht="14" customHeight="1" x14ac:dyDescent="0.15"/>
    <row r="979" ht="14" customHeight="1" x14ac:dyDescent="0.15"/>
    <row r="980" ht="14" customHeight="1" x14ac:dyDescent="0.15"/>
    <row r="981" ht="14" customHeight="1" x14ac:dyDescent="0.15"/>
    <row r="982" ht="14" customHeight="1" x14ac:dyDescent="0.15"/>
    <row r="983" ht="14" customHeight="1" x14ac:dyDescent="0.15"/>
    <row r="984" ht="14" customHeight="1" x14ac:dyDescent="0.15"/>
    <row r="985" ht="14" customHeight="1" x14ac:dyDescent="0.15"/>
    <row r="986" ht="14" customHeight="1" x14ac:dyDescent="0.15"/>
    <row r="987" ht="14" customHeight="1" x14ac:dyDescent="0.15"/>
    <row r="988" ht="14" customHeight="1" x14ac:dyDescent="0.15"/>
    <row r="989" ht="14" customHeight="1" x14ac:dyDescent="0.15"/>
    <row r="990" ht="14" customHeight="1" x14ac:dyDescent="0.15"/>
    <row r="991" ht="14" customHeight="1" x14ac:dyDescent="0.15"/>
    <row r="992" ht="14" customHeight="1" x14ac:dyDescent="0.15"/>
    <row r="993" ht="14" customHeight="1" x14ac:dyDescent="0.15"/>
    <row r="994" ht="14" customHeight="1" x14ac:dyDescent="0.15"/>
    <row r="995" ht="14" customHeight="1" x14ac:dyDescent="0.15"/>
    <row r="996" ht="14" customHeight="1" x14ac:dyDescent="0.15"/>
    <row r="997" ht="14" customHeight="1" x14ac:dyDescent="0.15"/>
    <row r="998" ht="14" customHeight="1" x14ac:dyDescent="0.15"/>
    <row r="999" ht="14" customHeight="1" x14ac:dyDescent="0.15"/>
    <row r="1000" ht="14" customHeight="1" x14ac:dyDescent="0.1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680B5-4DAB-5642-B26C-A3D47B077F6B}">
  <dimension ref="B2"/>
  <sheetViews>
    <sheetView workbookViewId="0">
      <selection activeCell="B2" sqref="B2"/>
    </sheetView>
  </sheetViews>
  <sheetFormatPr baseColWidth="10" defaultRowHeight="14" x14ac:dyDescent="0.15"/>
  <sheetData>
    <row r="2" spans="2:2" x14ac:dyDescent="0.15">
      <c r="B2">
        <f>70%</f>
        <v>0.7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5665-8F7C-4745-A1A0-2B319133E519}">
  <dimension ref="A1:AI1000"/>
  <sheetViews>
    <sheetView workbookViewId="0">
      <selection activeCell="B2" sqref="B2"/>
    </sheetView>
  </sheetViews>
  <sheetFormatPr baseColWidth="10" defaultColWidth="8.83203125" defaultRowHeight="15" customHeight="1" x14ac:dyDescent="0.15"/>
  <cols>
    <col min="1" max="1" width="39.83203125" style="48" customWidth="1"/>
    <col min="2" max="2" width="17.83203125" style="30" customWidth="1"/>
    <col min="3" max="3" width="9.5" style="48" customWidth="1"/>
    <col min="4" max="35" width="9.5" style="48" bestFit="1" customWidth="1"/>
    <col min="36" max="43" width="8.83203125" style="48" customWidth="1"/>
    <col min="44" max="16384" width="8.83203125" style="48"/>
  </cols>
  <sheetData>
    <row r="1" spans="1:35" ht="14.5" customHeight="1" x14ac:dyDescent="0.2">
      <c r="A1" s="28" t="s">
        <v>177</v>
      </c>
      <c r="B1" s="29">
        <v>2020</v>
      </c>
      <c r="C1" s="29">
        <v>2021</v>
      </c>
      <c r="D1" s="29">
        <v>2022</v>
      </c>
      <c r="E1" s="29">
        <v>2023</v>
      </c>
      <c r="F1" s="29">
        <v>2024</v>
      </c>
      <c r="G1" s="29">
        <v>2025</v>
      </c>
      <c r="H1" s="29">
        <v>2026</v>
      </c>
      <c r="I1" s="29">
        <v>2027</v>
      </c>
      <c r="J1" s="29">
        <v>2028</v>
      </c>
      <c r="K1" s="29">
        <v>2029</v>
      </c>
      <c r="L1" s="29">
        <v>2030</v>
      </c>
      <c r="M1" s="29">
        <v>2031</v>
      </c>
      <c r="N1" s="29">
        <v>2032</v>
      </c>
      <c r="O1" s="29">
        <v>2033</v>
      </c>
      <c r="P1" s="29">
        <v>2034</v>
      </c>
      <c r="Q1" s="29">
        <v>2035</v>
      </c>
      <c r="R1" s="29">
        <v>2036</v>
      </c>
      <c r="S1" s="29">
        <v>2037</v>
      </c>
      <c r="T1" s="29">
        <v>2038</v>
      </c>
      <c r="U1" s="29">
        <v>2039</v>
      </c>
      <c r="V1" s="29">
        <v>2040</v>
      </c>
      <c r="W1" s="29">
        <v>2041</v>
      </c>
      <c r="X1" s="29">
        <v>2042</v>
      </c>
      <c r="Y1" s="29">
        <v>2043</v>
      </c>
      <c r="Z1" s="29">
        <v>2044</v>
      </c>
      <c r="AA1" s="29">
        <v>2045</v>
      </c>
      <c r="AB1" s="29">
        <v>2046</v>
      </c>
      <c r="AC1" s="29">
        <v>2047</v>
      </c>
      <c r="AD1" s="29">
        <v>2048</v>
      </c>
      <c r="AE1" s="29">
        <v>2049</v>
      </c>
      <c r="AF1" s="29">
        <v>2050</v>
      </c>
      <c r="AH1" s="29"/>
      <c r="AI1" s="29"/>
    </row>
    <row r="2" spans="1:35" ht="14" customHeight="1" x14ac:dyDescent="0.15">
      <c r="A2" s="48" t="s">
        <v>178</v>
      </c>
      <c r="B2">
        <v>51927886848.714417</v>
      </c>
      <c r="C2" s="57">
        <v>52285312535.04158</v>
      </c>
      <c r="D2" s="57">
        <v>52642738221.368721</v>
      </c>
      <c r="E2" s="57">
        <v>53157865202.862129</v>
      </c>
      <c r="F2" s="57">
        <v>53568291551.269417</v>
      </c>
      <c r="G2" s="57">
        <v>53973464040.769043</v>
      </c>
      <c r="H2" s="57">
        <v>54445791510.332024</v>
      </c>
      <c r="I2" s="57">
        <v>54812464765.86338</v>
      </c>
      <c r="J2" s="57">
        <v>55042247228.039253</v>
      </c>
      <c r="K2" s="57">
        <v>55313617371.26429</v>
      </c>
      <c r="L2" s="57">
        <v>55524569803.179573</v>
      </c>
      <c r="M2" s="57">
        <v>55273961844.035378</v>
      </c>
      <c r="N2" s="57">
        <v>55345976921.276466</v>
      </c>
      <c r="O2" s="57">
        <v>55054251129.353271</v>
      </c>
      <c r="P2" s="57">
        <v>54850484710.165947</v>
      </c>
      <c r="Q2" s="57">
        <v>54682243485.364372</v>
      </c>
      <c r="R2" s="57">
        <v>54546538975.584648</v>
      </c>
      <c r="S2" s="57">
        <v>54538331626.014061</v>
      </c>
      <c r="T2" s="57">
        <v>54557797006.654167</v>
      </c>
      <c r="U2" s="57">
        <v>54582902232.665062</v>
      </c>
      <c r="V2" s="57">
        <v>54569657065.530869</v>
      </c>
      <c r="W2" s="57">
        <v>54499468065.254738</v>
      </c>
      <c r="X2" s="57">
        <v>54491561729.587753</v>
      </c>
      <c r="Y2" s="57">
        <v>54512472199.115578</v>
      </c>
      <c r="Z2" s="57">
        <v>54564784194.700417</v>
      </c>
      <c r="AA2" s="57">
        <v>54644197438.380127</v>
      </c>
      <c r="AB2" s="57">
        <v>54736665910.531593</v>
      </c>
      <c r="AC2" s="57">
        <v>54836705826.497917</v>
      </c>
      <c r="AD2" s="57">
        <v>54951092775.990913</v>
      </c>
      <c r="AE2" s="57">
        <v>55092021154.363197</v>
      </c>
      <c r="AF2" s="57">
        <v>55244394725.586403</v>
      </c>
      <c r="AG2" s="57"/>
    </row>
    <row r="3" spans="1:35" ht="14" customHeight="1" x14ac:dyDescent="0.15">
      <c r="A3" s="48" t="s">
        <v>179</v>
      </c>
      <c r="B3">
        <v>25862917411.187481</v>
      </c>
      <c r="C3">
        <v>26330377286.219101</v>
      </c>
      <c r="D3">
        <v>26797837161.25071</v>
      </c>
      <c r="E3">
        <v>27029795413.73</v>
      </c>
      <c r="F3">
        <v>27407140191.286968</v>
      </c>
      <c r="G3">
        <v>27804612480.318481</v>
      </c>
      <c r="H3">
        <v>27916036403.360741</v>
      </c>
      <c r="I3">
        <v>27986570100.702389</v>
      </c>
      <c r="J3">
        <v>28454360937.582352</v>
      </c>
      <c r="K3">
        <v>28623887348.078239</v>
      </c>
      <c r="L3">
        <v>28872489197.411621</v>
      </c>
      <c r="M3">
        <v>29086878682.145599</v>
      </c>
      <c r="N3">
        <v>29415841566.271969</v>
      </c>
      <c r="O3">
        <v>29586616714.013519</v>
      </c>
      <c r="P3">
        <v>29585458925.148571</v>
      </c>
      <c r="Q3">
        <v>29550470314.392429</v>
      </c>
      <c r="R3">
        <v>29516977871.436192</v>
      </c>
      <c r="S3">
        <v>29503369428.47221</v>
      </c>
      <c r="T3">
        <v>29655430197.876678</v>
      </c>
      <c r="U3">
        <v>29787477821.451988</v>
      </c>
      <c r="V3">
        <v>30022678128.909691</v>
      </c>
      <c r="W3">
        <v>30158959213.909679</v>
      </c>
      <c r="X3">
        <v>30434166422.796398</v>
      </c>
      <c r="Y3">
        <v>30556881224.545921</v>
      </c>
      <c r="Z3">
        <v>30846277741.161411</v>
      </c>
      <c r="AA3">
        <v>31052845416.839039</v>
      </c>
      <c r="AB3">
        <v>31283804359.9501</v>
      </c>
      <c r="AC3">
        <v>31358132992.917809</v>
      </c>
      <c r="AD3">
        <v>31612564618.33942</v>
      </c>
      <c r="AE3">
        <v>31814484350.246262</v>
      </c>
      <c r="AF3">
        <v>32050364373.771431</v>
      </c>
    </row>
    <row r="4" spans="1:35" ht="14" customHeight="1" x14ac:dyDescent="0.15">
      <c r="A4" s="48" t="s">
        <v>135</v>
      </c>
      <c r="B4">
        <v>8793705791044.876</v>
      </c>
      <c r="C4">
        <v>8952647821628.3418</v>
      </c>
      <c r="D4">
        <v>9111589852211.8086</v>
      </c>
      <c r="E4">
        <v>9190458473090.0352</v>
      </c>
      <c r="F4">
        <v>9318760276899.2148</v>
      </c>
      <c r="G4">
        <v>9453905678876.3457</v>
      </c>
      <c r="H4">
        <v>9491791164946.5996</v>
      </c>
      <c r="I4">
        <v>9515773478036.6445</v>
      </c>
      <c r="J4">
        <v>9674828039665.0859</v>
      </c>
      <c r="K4">
        <v>9732469076598.834</v>
      </c>
      <c r="L4">
        <v>9816996722393.4199</v>
      </c>
      <c r="M4">
        <v>9889891749024.4355</v>
      </c>
      <c r="N4">
        <v>10001743121906.66</v>
      </c>
      <c r="O4">
        <v>10059808744658.551</v>
      </c>
      <c r="P4">
        <v>10059415082393.6</v>
      </c>
      <c r="Q4">
        <v>10047518530116.25</v>
      </c>
      <c r="R4">
        <v>10036130693048.301</v>
      </c>
      <c r="S4">
        <v>10031503657289.07</v>
      </c>
      <c r="T4">
        <v>10083206164289.48</v>
      </c>
      <c r="U4">
        <v>10128103958829.301</v>
      </c>
      <c r="V4">
        <v>10208074917745.619</v>
      </c>
      <c r="W4">
        <v>10254412140546.939</v>
      </c>
      <c r="X4">
        <v>10347985931471.15</v>
      </c>
      <c r="Y4">
        <v>10389710453327.48</v>
      </c>
      <c r="Z4">
        <v>10488108781080.289</v>
      </c>
      <c r="AA4">
        <v>10558344297707.01</v>
      </c>
      <c r="AB4">
        <v>10636873141272.471</v>
      </c>
      <c r="AC4">
        <v>10662145778530.539</v>
      </c>
      <c r="AD4">
        <v>10748655618945.039</v>
      </c>
      <c r="AE4">
        <v>10817310778282.449</v>
      </c>
      <c r="AF4">
        <v>10897512848910.711</v>
      </c>
    </row>
    <row r="5" spans="1:35" ht="14" customHeight="1" x14ac:dyDescent="0.15">
      <c r="A5" s="48" t="s">
        <v>180</v>
      </c>
      <c r="B5">
        <v>68207390485.252419</v>
      </c>
      <c r="C5">
        <v>69440206479.115372</v>
      </c>
      <c r="D5">
        <v>70673022472.978333</v>
      </c>
      <c r="E5">
        <v>71284758065.355408</v>
      </c>
      <c r="F5">
        <v>72279916584.450592</v>
      </c>
      <c r="G5">
        <v>73328156703.46022</v>
      </c>
      <c r="H5">
        <v>73622011217.531967</v>
      </c>
      <c r="I5">
        <v>73808027333.210754</v>
      </c>
      <c r="J5">
        <v>75041716161.47467</v>
      </c>
      <c r="K5">
        <v>75488802385.136902</v>
      </c>
      <c r="L5">
        <v>76144431568.15799</v>
      </c>
      <c r="M5">
        <v>76709833648.23642</v>
      </c>
      <c r="N5">
        <v>77577396249.006927</v>
      </c>
      <c r="O5">
        <v>78027775724.840744</v>
      </c>
      <c r="P5">
        <v>78024722327.733398</v>
      </c>
      <c r="Q5">
        <v>77932448057.261963</v>
      </c>
      <c r="R5">
        <v>77844119579.12851</v>
      </c>
      <c r="S5">
        <v>77808230496.37796</v>
      </c>
      <c r="T5">
        <v>78209255180.150574</v>
      </c>
      <c r="U5">
        <v>78557499876.626892</v>
      </c>
      <c r="V5">
        <v>79177785630.084824</v>
      </c>
      <c r="W5">
        <v>79537195090.068161</v>
      </c>
      <c r="X5">
        <v>80262989680.927933</v>
      </c>
      <c r="Y5">
        <v>80586621244.536026</v>
      </c>
      <c r="Z5">
        <v>81349836812.990265</v>
      </c>
      <c r="AA5">
        <v>81894610702.670639</v>
      </c>
      <c r="AB5">
        <v>82503710850.514877</v>
      </c>
      <c r="AC5">
        <v>82699735220.560257</v>
      </c>
      <c r="AD5">
        <v>83370739073.336044</v>
      </c>
      <c r="AE5">
        <v>83903255099.34671</v>
      </c>
      <c r="AF5">
        <v>84525333444.819534</v>
      </c>
    </row>
    <row r="6" spans="1:35" ht="14" customHeight="1" x14ac:dyDescent="0.15">
      <c r="A6" s="48" t="s">
        <v>181</v>
      </c>
      <c r="B6">
        <v>139552978363.59021</v>
      </c>
      <c r="C6">
        <v>141126678514.94</v>
      </c>
      <c r="D6">
        <v>142700378666.28989</v>
      </c>
      <c r="E6">
        <v>143176228979.5477</v>
      </c>
      <c r="F6">
        <v>143426341122.0195</v>
      </c>
      <c r="G6">
        <v>143189473605.6976</v>
      </c>
      <c r="H6">
        <v>142088787476.00961</v>
      </c>
      <c r="I6">
        <v>139972364153.56381</v>
      </c>
      <c r="J6">
        <v>137674756669.0061</v>
      </c>
      <c r="K6">
        <v>135353916936.5571</v>
      </c>
      <c r="L6">
        <v>133005998579.7289</v>
      </c>
      <c r="M6">
        <v>130415371562.57809</v>
      </c>
      <c r="N6">
        <v>128368693622.2637</v>
      </c>
      <c r="O6">
        <v>126197488430.86681</v>
      </c>
      <c r="P6">
        <v>124306995470.03551</v>
      </c>
      <c r="Q6">
        <v>122646471241.21851</v>
      </c>
      <c r="R6">
        <v>121226011473.49789</v>
      </c>
      <c r="S6">
        <v>119952746644.1924</v>
      </c>
      <c r="T6">
        <v>118812758671.5851</v>
      </c>
      <c r="U6">
        <v>118668784898.7151</v>
      </c>
      <c r="V6">
        <v>118690755303.5441</v>
      </c>
      <c r="W6">
        <v>118801016323.9498</v>
      </c>
      <c r="X6">
        <v>119075310444.19569</v>
      </c>
      <c r="Y6">
        <v>119306360840.3705</v>
      </c>
      <c r="Z6">
        <v>119641025723.1057</v>
      </c>
      <c r="AA6">
        <v>119930836298.9973</v>
      </c>
      <c r="AB6">
        <v>120191657369.5677</v>
      </c>
      <c r="AC6">
        <v>120462622216.92751</v>
      </c>
      <c r="AD6">
        <v>120744933018.33881</v>
      </c>
      <c r="AE6">
        <v>121083035281.3011</v>
      </c>
      <c r="AF6">
        <v>121362076869.4603</v>
      </c>
    </row>
    <row r="7" spans="1:35" ht="14" customHeight="1" x14ac:dyDescent="0.15">
      <c r="A7" s="48" t="s">
        <v>182</v>
      </c>
      <c r="B7">
        <v>162635993.26625341</v>
      </c>
      <c r="C7">
        <v>163996156.9896217</v>
      </c>
      <c r="D7">
        <v>165356320.71298999</v>
      </c>
      <c r="E7">
        <v>167914331.22384501</v>
      </c>
      <c r="F7">
        <v>172273241.9947767</v>
      </c>
      <c r="G7">
        <v>174399294.63032091</v>
      </c>
      <c r="H7">
        <v>175985983.96537259</v>
      </c>
      <c r="I7">
        <v>177336140.32119721</v>
      </c>
      <c r="J7">
        <v>177997354.00532711</v>
      </c>
      <c r="K7">
        <v>179229018.61992911</v>
      </c>
      <c r="L7">
        <v>180636543.45137441</v>
      </c>
      <c r="M7">
        <v>181483966.62364939</v>
      </c>
      <c r="N7">
        <v>183218419.00113839</v>
      </c>
      <c r="O7">
        <v>184748995.63269839</v>
      </c>
      <c r="P7">
        <v>186639266.42596051</v>
      </c>
      <c r="Q7">
        <v>188573771.75891131</v>
      </c>
      <c r="R7">
        <v>190442880.75626019</v>
      </c>
      <c r="S7">
        <v>192563704.51234481</v>
      </c>
      <c r="T7">
        <v>194982921.78168339</v>
      </c>
      <c r="U7">
        <v>197336974.67760339</v>
      </c>
      <c r="V7">
        <v>199992560.96447131</v>
      </c>
      <c r="W7">
        <v>202653744.98869699</v>
      </c>
      <c r="X7">
        <v>205781605.38625681</v>
      </c>
      <c r="Y7">
        <v>208916155.77897719</v>
      </c>
      <c r="Z7">
        <v>212284494.74974009</v>
      </c>
      <c r="AA7">
        <v>215503719.16841069</v>
      </c>
      <c r="AB7">
        <v>218993485.3092612</v>
      </c>
      <c r="AC7">
        <v>222251333.1091142</v>
      </c>
      <c r="AD7">
        <v>224935248.75625709</v>
      </c>
      <c r="AE7">
        <v>227680779.10672349</v>
      </c>
      <c r="AF7">
        <v>230524745.5288223</v>
      </c>
    </row>
    <row r="8" spans="1:35" ht="14" customHeight="1" x14ac:dyDescent="0.15">
      <c r="A8" s="48" t="s">
        <v>183</v>
      </c>
      <c r="B8">
        <v>6975877031.3595514</v>
      </c>
      <c r="C8">
        <v>6904909413.1505365</v>
      </c>
      <c r="D8">
        <v>6833941794.9415216</v>
      </c>
      <c r="E8">
        <v>6491958605.2378397</v>
      </c>
      <c r="F8">
        <v>6574665546.4585161</v>
      </c>
      <c r="G8">
        <v>6715472060.4148235</v>
      </c>
      <c r="H8">
        <v>6647554418.5422707</v>
      </c>
      <c r="I8">
        <v>6531485638.9619389</v>
      </c>
      <c r="J8">
        <v>6447863866.1546717</v>
      </c>
      <c r="K8">
        <v>6474179135.3538151</v>
      </c>
      <c r="L8">
        <v>6512669097.0638046</v>
      </c>
      <c r="M8">
        <v>6496746654.045927</v>
      </c>
      <c r="N8">
        <v>6496438483.8967857</v>
      </c>
      <c r="O8">
        <v>6477695429.6456938</v>
      </c>
      <c r="P8">
        <v>6465231327.2468243</v>
      </c>
      <c r="Q8">
        <v>6462167669.0638809</v>
      </c>
      <c r="R8">
        <v>6472586425.0328026</v>
      </c>
      <c r="S8">
        <v>6503120482.6327038</v>
      </c>
      <c r="T8">
        <v>6544589263.1282377</v>
      </c>
      <c r="U8">
        <v>6573112627.0098038</v>
      </c>
      <c r="V8">
        <v>6591149602.3887482</v>
      </c>
      <c r="W8">
        <v>6636229434.4186058</v>
      </c>
      <c r="X8">
        <v>6685614567.1361456</v>
      </c>
      <c r="Y8">
        <v>6714290163.964592</v>
      </c>
      <c r="Z8">
        <v>6756708428.7583313</v>
      </c>
      <c r="AA8">
        <v>6788736615.6893101</v>
      </c>
      <c r="AB8">
        <v>6837408380.5160522</v>
      </c>
      <c r="AC8">
        <v>6872957760.9153795</v>
      </c>
      <c r="AD8">
        <v>6884951064.4047441</v>
      </c>
      <c r="AE8">
        <v>6920256561.4095793</v>
      </c>
      <c r="AF8">
        <v>6995059936.0639143</v>
      </c>
    </row>
    <row r="9" spans="1:35" ht="14" customHeight="1" x14ac:dyDescent="0.15">
      <c r="A9" s="48" t="s">
        <v>184</v>
      </c>
      <c r="B9">
        <v>32443202661.106739</v>
      </c>
      <c r="C9" s="57">
        <v>32910314994.85614</v>
      </c>
      <c r="D9" s="57">
        <v>33377427328.605549</v>
      </c>
      <c r="E9" s="57">
        <v>33587910672.93705</v>
      </c>
      <c r="F9" s="57">
        <v>33597693510.72337</v>
      </c>
      <c r="G9" s="57">
        <v>32792752997.568401</v>
      </c>
      <c r="H9" s="57">
        <v>32391556732.00066</v>
      </c>
      <c r="I9" s="57">
        <v>31839269631.225979</v>
      </c>
      <c r="J9" s="57">
        <v>31353179121.82016</v>
      </c>
      <c r="K9" s="57">
        <v>30895449122.125</v>
      </c>
      <c r="L9" s="57">
        <v>30397493548.715302</v>
      </c>
      <c r="M9" s="57">
        <v>29981439528.511841</v>
      </c>
      <c r="N9" s="57">
        <v>29571656761.289551</v>
      </c>
      <c r="O9" s="57">
        <v>29083738210.955448</v>
      </c>
      <c r="P9" s="57">
        <v>28671463895.936241</v>
      </c>
      <c r="Q9" s="57">
        <v>28297064634.56908</v>
      </c>
      <c r="R9" s="57">
        <v>27929418514.308861</v>
      </c>
      <c r="S9" s="57">
        <v>27602742483.182831</v>
      </c>
      <c r="T9" s="57">
        <v>27340055632.687801</v>
      </c>
      <c r="U9" s="57">
        <v>27065337827.016232</v>
      </c>
      <c r="V9" s="57">
        <v>26804532040.17701</v>
      </c>
      <c r="W9" s="57">
        <v>26655516319.087879</v>
      </c>
      <c r="X9" s="57">
        <v>26571864379.83131</v>
      </c>
      <c r="Y9" s="57">
        <v>26486753072.395432</v>
      </c>
      <c r="Z9" s="57">
        <v>26374746000.869492</v>
      </c>
      <c r="AA9" s="57">
        <v>26226360192.09642</v>
      </c>
      <c r="AB9" s="57">
        <v>26165162597.357471</v>
      </c>
      <c r="AC9" s="57">
        <v>26057240530.908272</v>
      </c>
      <c r="AD9" s="57">
        <v>25906199075.646069</v>
      </c>
      <c r="AE9" s="57">
        <v>25839063629.28582</v>
      </c>
      <c r="AF9" s="57">
        <v>25853452043.15876</v>
      </c>
      <c r="AG9" s="57"/>
    </row>
    <row r="10" spans="1:35" ht="14" customHeight="1" x14ac:dyDescent="0.15">
      <c r="A10" s="48" t="s">
        <v>136</v>
      </c>
      <c r="B10">
        <v>1155910770379.3701</v>
      </c>
      <c r="C10">
        <v>1159229630931.479</v>
      </c>
      <c r="D10">
        <v>1162548491483.5879</v>
      </c>
      <c r="E10">
        <v>1050381194747.3621</v>
      </c>
      <c r="F10">
        <v>1014013929569.731</v>
      </c>
      <c r="G10">
        <v>1022164318578.181</v>
      </c>
      <c r="H10">
        <v>1054525955355.578</v>
      </c>
      <c r="I10">
        <v>1057942916117.689</v>
      </c>
      <c r="J10">
        <v>1061557483778.219</v>
      </c>
      <c r="K10">
        <v>1069257661774.866</v>
      </c>
      <c r="L10">
        <v>1086094316180.809</v>
      </c>
      <c r="M10">
        <v>1061244940968.287</v>
      </c>
      <c r="N10">
        <v>1071859345191.208</v>
      </c>
      <c r="O10">
        <v>1075674626245.744</v>
      </c>
      <c r="P10">
        <v>1087964970824.7209</v>
      </c>
      <c r="Q10">
        <v>1100753592280.624</v>
      </c>
      <c r="R10">
        <v>1110076253390.5339</v>
      </c>
      <c r="S10">
        <v>1114323976036.603</v>
      </c>
      <c r="T10">
        <v>1123653659950.6379</v>
      </c>
      <c r="U10">
        <v>1125239545861.259</v>
      </c>
      <c r="V10">
        <v>1131433976978.03</v>
      </c>
      <c r="W10">
        <v>1137691653896.3391</v>
      </c>
      <c r="X10">
        <v>1143948892719.116</v>
      </c>
      <c r="Y10">
        <v>1141732754759.0029</v>
      </c>
      <c r="Z10">
        <v>1151022724649.3259</v>
      </c>
      <c r="AA10">
        <v>1157415493561.271</v>
      </c>
      <c r="AB10">
        <v>1154804208919.9641</v>
      </c>
      <c r="AC10">
        <v>1165105846122.4451</v>
      </c>
      <c r="AD10">
        <v>1180088300280.6169</v>
      </c>
      <c r="AE10">
        <v>1185769182392.2271</v>
      </c>
      <c r="AF10">
        <v>1202630482990.7229</v>
      </c>
    </row>
    <row r="11" spans="1:35" ht="14" customHeight="1" x14ac:dyDescent="0.15">
      <c r="A11" s="48" t="s">
        <v>185</v>
      </c>
      <c r="B11">
        <v>40401452668.51252</v>
      </c>
      <c r="C11">
        <v>41044255199.859489</v>
      </c>
      <c r="D11">
        <v>41687057731.206467</v>
      </c>
      <c r="E11">
        <v>42890472195.156013</v>
      </c>
      <c r="F11">
        <v>44243581513.028526</v>
      </c>
      <c r="G11">
        <v>45493974149.840134</v>
      </c>
      <c r="H11">
        <v>46743146382.760963</v>
      </c>
      <c r="I11">
        <v>47588955056.153236</v>
      </c>
      <c r="J11">
        <v>48157837066.072678</v>
      </c>
      <c r="K11">
        <v>48743299233.772522</v>
      </c>
      <c r="L11">
        <v>49277072763.09697</v>
      </c>
      <c r="M11">
        <v>49929354585.776932</v>
      </c>
      <c r="N11">
        <v>50807304719.611542</v>
      </c>
      <c r="O11">
        <v>51469655241.271248</v>
      </c>
      <c r="P11">
        <v>52117466525.597458</v>
      </c>
      <c r="Q11">
        <v>52763129720.876556</v>
      </c>
      <c r="R11">
        <v>53402297455.99305</v>
      </c>
      <c r="S11">
        <v>54165760379.229378</v>
      </c>
      <c r="T11">
        <v>54951545556.203163</v>
      </c>
      <c r="U11">
        <v>55509864638.944946</v>
      </c>
      <c r="V11">
        <v>56214713216.894737</v>
      </c>
      <c r="W11">
        <v>57083749462.534523</v>
      </c>
      <c r="X11">
        <v>57924404635.236794</v>
      </c>
      <c r="Y11">
        <v>58807078009.909988</v>
      </c>
      <c r="Z11">
        <v>59553440944.105873</v>
      </c>
      <c r="AA11">
        <v>60247241931.795387</v>
      </c>
      <c r="AB11">
        <v>61056859301.12767</v>
      </c>
      <c r="AC11">
        <v>61573849551.551727</v>
      </c>
      <c r="AD11">
        <v>61765612175.707603</v>
      </c>
      <c r="AE11">
        <v>62522949114.290337</v>
      </c>
      <c r="AF11">
        <v>63762348564.072884</v>
      </c>
    </row>
    <row r="12" spans="1:35" ht="14" customHeight="1" x14ac:dyDescent="0.15">
      <c r="A12" s="48" t="s">
        <v>186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5" ht="14" customHeight="1" x14ac:dyDescent="0.15">
      <c r="A13" s="48" t="s">
        <v>187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5" ht="14" customHeight="1" x14ac:dyDescent="0.15">
      <c r="A14" s="48" t="s">
        <v>188</v>
      </c>
      <c r="B14">
        <v>43590472979.52507</v>
      </c>
      <c r="C14">
        <v>45615710857.490593</v>
      </c>
      <c r="D14">
        <v>47640948735.456123</v>
      </c>
      <c r="E14">
        <v>49908753288.109833</v>
      </c>
      <c r="F14">
        <v>52694803304.260399</v>
      </c>
      <c r="G14">
        <v>54199079239.205643</v>
      </c>
      <c r="H14">
        <v>54730765079.557419</v>
      </c>
      <c r="I14">
        <v>54659548316.206444</v>
      </c>
      <c r="J14">
        <v>53890938333.922417</v>
      </c>
      <c r="K14">
        <v>53010428224.991966</v>
      </c>
      <c r="L14">
        <v>51989196817.200974</v>
      </c>
      <c r="M14">
        <v>50762147005.885963</v>
      </c>
      <c r="N14">
        <v>49420778459.662727</v>
      </c>
      <c r="O14">
        <v>47802455597.33551</v>
      </c>
      <c r="P14">
        <v>46159556760.18528</v>
      </c>
      <c r="Q14">
        <v>44707189147.882057</v>
      </c>
      <c r="R14">
        <v>43232140234.744942</v>
      </c>
      <c r="S14">
        <v>41860465415.303169</v>
      </c>
      <c r="T14">
        <v>40595873186.763962</v>
      </c>
      <c r="U14">
        <v>39259618451.807281</v>
      </c>
      <c r="V14">
        <v>38156371383.605453</v>
      </c>
      <c r="W14">
        <v>37075123703.813583</v>
      </c>
      <c r="X14">
        <v>35995170168.270866</v>
      </c>
      <c r="Y14">
        <v>34960473915.628448</v>
      </c>
      <c r="Z14">
        <v>34088137181.351841</v>
      </c>
      <c r="AA14">
        <v>33280377872.769741</v>
      </c>
      <c r="AB14">
        <v>32543695434.428249</v>
      </c>
      <c r="AC14">
        <v>31805941723.370831</v>
      </c>
      <c r="AD14">
        <v>31049802440.602539</v>
      </c>
      <c r="AE14">
        <v>30370565538.891491</v>
      </c>
      <c r="AF14">
        <v>29754228409.37645</v>
      </c>
    </row>
    <row r="15" spans="1:35" ht="14" customHeight="1" x14ac:dyDescent="0.15">
      <c r="A15" s="48" t="s">
        <v>189</v>
      </c>
      <c r="B15">
        <v>5253317950.8421516</v>
      </c>
      <c r="C15" s="57">
        <v>5313947609.7417316</v>
      </c>
      <c r="D15" s="57">
        <v>5374577268.6413107</v>
      </c>
      <c r="E15" s="57">
        <v>5418067023.1808825</v>
      </c>
      <c r="F15" s="57">
        <v>5476092421.2356815</v>
      </c>
      <c r="G15" s="57">
        <v>5531314535.7593365</v>
      </c>
      <c r="H15" s="57">
        <v>5440540135.6808205</v>
      </c>
      <c r="I15" s="57">
        <v>5321673094.5987415</v>
      </c>
      <c r="J15" s="57">
        <v>5195702055.878088</v>
      </c>
      <c r="K15" s="57">
        <v>5158273777.3982401</v>
      </c>
      <c r="L15" s="57">
        <v>5105607534.8832464</v>
      </c>
      <c r="M15" s="57">
        <v>5025524509.6229305</v>
      </c>
      <c r="N15" s="57">
        <v>4988033368.9698982</v>
      </c>
      <c r="O15" s="57">
        <v>4923079075.32055</v>
      </c>
      <c r="P15" s="57">
        <v>4892023020.5958471</v>
      </c>
      <c r="Q15" s="57">
        <v>4888808730.2506285</v>
      </c>
      <c r="R15" s="57">
        <v>4893373789.1128416</v>
      </c>
      <c r="S15" s="57">
        <v>4922937921.4652128</v>
      </c>
      <c r="T15" s="57">
        <v>4944614959.5644817</v>
      </c>
      <c r="U15" s="57">
        <v>4934214882.1073074</v>
      </c>
      <c r="V15" s="57">
        <v>4908735957.4262075</v>
      </c>
      <c r="W15" s="57">
        <v>4923230215.8601856</v>
      </c>
      <c r="X15" s="57">
        <v>4943866742.7933178</v>
      </c>
      <c r="Y15" s="57">
        <v>4946052502.724597</v>
      </c>
      <c r="Z15" s="57">
        <v>4932509970.4009199</v>
      </c>
      <c r="AA15" s="57">
        <v>4901260883.365943</v>
      </c>
      <c r="AB15" s="57">
        <v>4887095842.2726545</v>
      </c>
      <c r="AC15" s="57">
        <v>4858064926.9446783</v>
      </c>
      <c r="AD15" s="57">
        <v>4782463667.3498669</v>
      </c>
      <c r="AE15" s="57">
        <v>4763088110.4991283</v>
      </c>
      <c r="AF15" s="57">
        <v>4794851961.25805</v>
      </c>
      <c r="AG15" s="57"/>
    </row>
    <row r="16" spans="1:35" ht="14" customHeight="1" x14ac:dyDescent="0.15">
      <c r="A16" s="48" t="s">
        <v>190</v>
      </c>
      <c r="B16">
        <v>4764699401.1489172</v>
      </c>
      <c r="C16">
        <v>4910030953.2869549</v>
      </c>
      <c r="D16">
        <v>5055362505.4249945</v>
      </c>
      <c r="E16">
        <v>5163553254.1284218</v>
      </c>
      <c r="F16">
        <v>5224267122.6688118</v>
      </c>
      <c r="G16">
        <v>5303578099.2257786</v>
      </c>
      <c r="H16">
        <v>5371114189.8504877</v>
      </c>
      <c r="I16">
        <v>5405105948.8002386</v>
      </c>
      <c r="J16">
        <v>5433273036.9023104</v>
      </c>
      <c r="K16">
        <v>5456512513.7059622</v>
      </c>
      <c r="L16">
        <v>5466904348.777277</v>
      </c>
      <c r="M16">
        <v>5464730266.0110979</v>
      </c>
      <c r="N16">
        <v>5452935675.8264112</v>
      </c>
      <c r="O16">
        <v>5429406687.2567186</v>
      </c>
      <c r="P16">
        <v>5434843653.4804201</v>
      </c>
      <c r="Q16">
        <v>5452069157.8684187</v>
      </c>
      <c r="R16">
        <v>5458481484.5873365</v>
      </c>
      <c r="S16">
        <v>5475784304.7086744</v>
      </c>
      <c r="T16">
        <v>5508696505.199769</v>
      </c>
      <c r="U16">
        <v>5538170782.7909346</v>
      </c>
      <c r="V16">
        <v>5548524335.3146734</v>
      </c>
      <c r="W16">
        <v>5583674000.5839262</v>
      </c>
      <c r="X16">
        <v>5639556527.1734734</v>
      </c>
      <c r="Y16">
        <v>5671049880.7450466</v>
      </c>
      <c r="Z16">
        <v>5685289534.0816927</v>
      </c>
      <c r="AA16">
        <v>5706988091.4305382</v>
      </c>
      <c r="AB16">
        <v>5727745301.5770493</v>
      </c>
      <c r="AC16">
        <v>5737491400.1473455</v>
      </c>
      <c r="AD16">
        <v>5721187960.9432325</v>
      </c>
      <c r="AE16">
        <v>5723968043.3013668</v>
      </c>
      <c r="AF16">
        <v>5762245289.4947977</v>
      </c>
    </row>
    <row r="17" spans="1:33" ht="14" customHeight="1" x14ac:dyDescent="0.15">
      <c r="A17" s="48" t="s">
        <v>191</v>
      </c>
      <c r="B17">
        <v>5317169019.9494925</v>
      </c>
      <c r="C17">
        <v>5386869436.6743832</v>
      </c>
      <c r="D17">
        <v>5456569853.3992739</v>
      </c>
      <c r="E17">
        <v>5587154928.4019995</v>
      </c>
      <c r="F17">
        <v>5740708082.7297659</v>
      </c>
      <c r="G17">
        <v>5841064477.3314543</v>
      </c>
      <c r="H17">
        <v>5908926151.7058659</v>
      </c>
      <c r="I17">
        <v>5943096701.7209702</v>
      </c>
      <c r="J17">
        <v>5945187012.9402943</v>
      </c>
      <c r="K17">
        <v>5981349761.8358717</v>
      </c>
      <c r="L17">
        <v>6018286657.4051256</v>
      </c>
      <c r="M17">
        <v>6033322229.333602</v>
      </c>
      <c r="N17">
        <v>6100209404.3423777</v>
      </c>
      <c r="O17">
        <v>6145814217.8480892</v>
      </c>
      <c r="P17">
        <v>6215094969.1235771</v>
      </c>
      <c r="Q17">
        <v>6286765600.6530151</v>
      </c>
      <c r="R17">
        <v>6361653059.2924356</v>
      </c>
      <c r="S17">
        <v>6451205864.5816793</v>
      </c>
      <c r="T17">
        <v>6536728143.9506664</v>
      </c>
      <c r="U17">
        <v>6606895842.2894115</v>
      </c>
      <c r="V17">
        <v>6660353338.9159985</v>
      </c>
      <c r="W17">
        <v>6731909010.0483961</v>
      </c>
      <c r="X17">
        <v>6827639772.6745014</v>
      </c>
      <c r="Y17">
        <v>6929061530.9556456</v>
      </c>
      <c r="Z17">
        <v>7019836756.466774</v>
      </c>
      <c r="AA17">
        <v>7095916587.2242975</v>
      </c>
      <c r="AB17">
        <v>7178079238.9901104</v>
      </c>
      <c r="AC17">
        <v>7238941481.190527</v>
      </c>
      <c r="AD17">
        <v>7272295356.3850746</v>
      </c>
      <c r="AE17">
        <v>7326522631.6702528</v>
      </c>
      <c r="AF17">
        <v>7437227814.0136318</v>
      </c>
    </row>
    <row r="18" spans="1:33" ht="14" customHeight="1" x14ac:dyDescent="0.15">
      <c r="A18" s="48" t="s">
        <v>192</v>
      </c>
      <c r="B18">
        <v>4280315021.2812161</v>
      </c>
      <c r="C18" s="30">
        <v>4333580738.6790104</v>
      </c>
      <c r="D18" s="30">
        <v>4386846456.0768051</v>
      </c>
      <c r="E18" s="30">
        <v>4493520665.4175539</v>
      </c>
      <c r="F18" s="30">
        <v>4636983439.3321352</v>
      </c>
      <c r="G18" s="30">
        <v>4735988160.5086279</v>
      </c>
      <c r="H18" s="30">
        <v>4778569628.9822674</v>
      </c>
      <c r="I18" s="30">
        <v>4785441658.9345741</v>
      </c>
      <c r="J18" s="30">
        <v>4766481753.8015156</v>
      </c>
      <c r="K18" s="30">
        <v>4753588519.2932081</v>
      </c>
      <c r="L18" s="30">
        <v>4752541136.3191957</v>
      </c>
      <c r="M18" s="30">
        <v>4726470227.1407652</v>
      </c>
      <c r="N18" s="30">
        <v>4765939210.5299053</v>
      </c>
      <c r="O18" s="30">
        <v>4783724205.9107513</v>
      </c>
      <c r="P18" s="30">
        <v>4832447474.9154291</v>
      </c>
      <c r="Q18" s="30">
        <v>4888109309.5827808</v>
      </c>
      <c r="R18" s="30">
        <v>4944381332.1606159</v>
      </c>
      <c r="S18" s="30">
        <v>5004292996.7115355</v>
      </c>
      <c r="T18" s="30">
        <v>5070490206.6510983</v>
      </c>
      <c r="U18" s="30">
        <v>5141114813.651268</v>
      </c>
      <c r="V18" s="30">
        <v>5208411942.0528202</v>
      </c>
      <c r="W18" s="30">
        <v>5284548062.3443747</v>
      </c>
      <c r="X18" s="30">
        <v>5369226674.766614</v>
      </c>
      <c r="Y18" s="30">
        <v>5451966741.5441256</v>
      </c>
      <c r="Z18" s="30">
        <v>5551952864.4485178</v>
      </c>
      <c r="AA18" s="30">
        <v>5641750568.0870447</v>
      </c>
      <c r="AB18" s="30">
        <v>5726827840.3072281</v>
      </c>
      <c r="AC18" s="30">
        <v>5811290627.5189667</v>
      </c>
      <c r="AD18" s="30">
        <v>5892446451.3094501</v>
      </c>
      <c r="AE18" s="30">
        <v>5976352001.9468746</v>
      </c>
      <c r="AF18" s="30">
        <v>6055405851.7540445</v>
      </c>
      <c r="AG18" s="30"/>
    </row>
    <row r="19" spans="1:33" ht="14" customHeight="1" x14ac:dyDescent="0.15">
      <c r="A19" s="48" t="s">
        <v>193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3" ht="14" customHeight="1" x14ac:dyDescent="0.15">
      <c r="A20" s="48" t="s">
        <v>194</v>
      </c>
      <c r="B20">
        <v>1618079871.4103401</v>
      </c>
      <c r="C20" s="57">
        <v>1660736295.7201109</v>
      </c>
      <c r="D20" s="57">
        <v>1703392720.029882</v>
      </c>
      <c r="E20" s="57">
        <v>1737781345.7677231</v>
      </c>
      <c r="F20" s="57">
        <v>1776827082.0372729</v>
      </c>
      <c r="G20" s="57">
        <v>1805455064.7884991</v>
      </c>
      <c r="H20" s="57">
        <v>1827098390.6996839</v>
      </c>
      <c r="I20" s="57">
        <v>1844971628.119375</v>
      </c>
      <c r="J20" s="57">
        <v>1849549743.2119551</v>
      </c>
      <c r="K20" s="57">
        <v>1867006162.4731071</v>
      </c>
      <c r="L20" s="57">
        <v>1884185682.2442031</v>
      </c>
      <c r="M20" s="57">
        <v>1889485023.9155331</v>
      </c>
      <c r="N20" s="57">
        <v>1913617091.937212</v>
      </c>
      <c r="O20" s="57">
        <v>1929766020.947387</v>
      </c>
      <c r="P20" s="57">
        <v>1958112920.002353</v>
      </c>
      <c r="Q20" s="57">
        <v>1987455571.1084189</v>
      </c>
      <c r="R20" s="57">
        <v>2017960778.684577</v>
      </c>
      <c r="S20" s="57">
        <v>2050417161.737174</v>
      </c>
      <c r="T20" s="57">
        <v>2080799217.1448901</v>
      </c>
      <c r="U20" s="57">
        <v>2110793654.8118379</v>
      </c>
      <c r="V20" s="57">
        <v>2137208875.010766</v>
      </c>
      <c r="W20" s="57">
        <v>2169192056.984333</v>
      </c>
      <c r="X20" s="57">
        <v>2209120453.0365672</v>
      </c>
      <c r="Y20" s="57">
        <v>2245148783.1279631</v>
      </c>
      <c r="Z20" s="57">
        <v>2283430768.226624</v>
      </c>
      <c r="AA20" s="57">
        <v>2317699031.2668262</v>
      </c>
      <c r="AB20" s="57">
        <v>2355515975.9723182</v>
      </c>
      <c r="AC20" s="57">
        <v>2388784451.13132</v>
      </c>
      <c r="AD20" s="57">
        <v>2418337410.5308189</v>
      </c>
      <c r="AE20" s="57">
        <v>2452801530.0316749</v>
      </c>
      <c r="AF20" s="57">
        <v>2494163061.2219181</v>
      </c>
      <c r="AG20" s="57"/>
    </row>
    <row r="21" spans="1:33" ht="14" customHeight="1" x14ac:dyDescent="0.15">
      <c r="A21" s="48" t="s">
        <v>195</v>
      </c>
      <c r="B21">
        <v>158551941.42274311</v>
      </c>
      <c r="C21">
        <v>166320867.34333059</v>
      </c>
      <c r="D21">
        <v>174089793.26391801</v>
      </c>
      <c r="E21">
        <v>188395518.60377461</v>
      </c>
      <c r="F21">
        <v>190064098.41218439</v>
      </c>
      <c r="G21">
        <v>190819240.02257049</v>
      </c>
      <c r="H21">
        <v>190598022.71745849</v>
      </c>
      <c r="I21">
        <v>189770126.34980431</v>
      </c>
      <c r="J21">
        <v>189528500.0943985</v>
      </c>
      <c r="K21">
        <v>188951222.8358815</v>
      </c>
      <c r="L21">
        <v>188946901.96088979</v>
      </c>
      <c r="M21">
        <v>188695087.42708731</v>
      </c>
      <c r="N21">
        <v>190033213.8217957</v>
      </c>
      <c r="O21">
        <v>191225765.9149667</v>
      </c>
      <c r="P21">
        <v>193218055.01925519</v>
      </c>
      <c r="Q21">
        <v>195457265.14886081</v>
      </c>
      <c r="R21">
        <v>197791233.58221641</v>
      </c>
      <c r="S21">
        <v>200320189.9898088</v>
      </c>
      <c r="T21">
        <v>202961540.34981781</v>
      </c>
      <c r="U21">
        <v>205604118.52799249</v>
      </c>
      <c r="V21">
        <v>207915988.32426789</v>
      </c>
      <c r="W21">
        <v>210362510.5876396</v>
      </c>
      <c r="X21">
        <v>213218732.261509</v>
      </c>
      <c r="Y21">
        <v>215862250.8961511</v>
      </c>
      <c r="Z21">
        <v>218685785.43806931</v>
      </c>
      <c r="AA21">
        <v>221347848.8292965</v>
      </c>
      <c r="AB21">
        <v>224234667.73185629</v>
      </c>
      <c r="AC21">
        <v>227134545.39494151</v>
      </c>
      <c r="AD21">
        <v>229611092.25351</v>
      </c>
      <c r="AE21">
        <v>232441562.13939929</v>
      </c>
      <c r="AF21">
        <v>235655598.2404612</v>
      </c>
    </row>
    <row r="22" spans="1:33" ht="14" customHeight="1" x14ac:dyDescent="0.15">
      <c r="A22" s="48" t="s">
        <v>196</v>
      </c>
      <c r="B22">
        <v>1060520300.603379</v>
      </c>
      <c r="C22">
        <v>1112484997.968384</v>
      </c>
      <c r="D22">
        <v>1164449695.333389</v>
      </c>
      <c r="E22">
        <v>1260137657.2822289</v>
      </c>
      <c r="F22">
        <v>1271298433.644325</v>
      </c>
      <c r="G22">
        <v>1276349415.67872</v>
      </c>
      <c r="H22">
        <v>1274869740.054374</v>
      </c>
      <c r="I22">
        <v>1269332116.8829739</v>
      </c>
      <c r="J22">
        <v>1267715930.119714</v>
      </c>
      <c r="K22">
        <v>1263854645.002418</v>
      </c>
      <c r="L22">
        <v>1263825743.5862391</v>
      </c>
      <c r="M22">
        <v>1262141409.590148</v>
      </c>
      <c r="N22">
        <v>1271091853.1711431</v>
      </c>
      <c r="O22">
        <v>1279068581.1316209</v>
      </c>
      <c r="P22">
        <v>1292394580.3014159</v>
      </c>
      <c r="Q22">
        <v>1307372181.8271639</v>
      </c>
      <c r="R22">
        <v>1322983601.544451</v>
      </c>
      <c r="S22">
        <v>1339899254.4562099</v>
      </c>
      <c r="T22">
        <v>1357566686.6721721</v>
      </c>
      <c r="U22">
        <v>1375242331.5033729</v>
      </c>
      <c r="V22">
        <v>1390705938.1252861</v>
      </c>
      <c r="W22">
        <v>1407070206.534122</v>
      </c>
      <c r="X22">
        <v>1426174867.3852019</v>
      </c>
      <c r="Y22">
        <v>1443856802.7302029</v>
      </c>
      <c r="Z22">
        <v>1462742826.2899849</v>
      </c>
      <c r="AA22">
        <v>1480548803.577656</v>
      </c>
      <c r="AB22">
        <v>1499858122.8004799</v>
      </c>
      <c r="AC22">
        <v>1519254789.3021431</v>
      </c>
      <c r="AD22">
        <v>1535819885.8587639</v>
      </c>
      <c r="AE22">
        <v>1554752298.463089</v>
      </c>
      <c r="AF22">
        <v>1576250304.110085</v>
      </c>
    </row>
    <row r="23" spans="1:33" ht="14" customHeight="1" x14ac:dyDescent="0.15">
      <c r="A23" s="48" t="s">
        <v>197</v>
      </c>
      <c r="B23">
        <v>2134049601.809356</v>
      </c>
      <c r="C23">
        <v>2151897169.2140551</v>
      </c>
      <c r="D23">
        <v>2169744736.6187549</v>
      </c>
      <c r="E23">
        <v>2203310008.3798299</v>
      </c>
      <c r="F23">
        <v>2260506030.048913</v>
      </c>
      <c r="G23">
        <v>2288403309.6681972</v>
      </c>
      <c r="H23">
        <v>2309223262.7158532</v>
      </c>
      <c r="I23">
        <v>2326939517.1295419</v>
      </c>
      <c r="J23">
        <v>2335615719.555521</v>
      </c>
      <c r="K23">
        <v>2351777168.9835758</v>
      </c>
      <c r="L23">
        <v>2370246191.4044929</v>
      </c>
      <c r="M23">
        <v>2381365766.1495309</v>
      </c>
      <c r="N23">
        <v>2404124611.4162002</v>
      </c>
      <c r="O23">
        <v>2424208274.23598</v>
      </c>
      <c r="P23">
        <v>2449011711.3636332</v>
      </c>
      <c r="Q23">
        <v>2474395577.8286839</v>
      </c>
      <c r="R23">
        <v>2498921337.6646419</v>
      </c>
      <c r="S23">
        <v>2526750005.8535519</v>
      </c>
      <c r="T23">
        <v>2558494083.8195548</v>
      </c>
      <c r="U23">
        <v>2589383098.878798</v>
      </c>
      <c r="V23">
        <v>2624228724.033761</v>
      </c>
      <c r="W23">
        <v>2659147800.6365819</v>
      </c>
      <c r="X23">
        <v>2700190432.724793</v>
      </c>
      <c r="Y23">
        <v>2741320848.4654551</v>
      </c>
      <c r="Z23">
        <v>2785518951.818552</v>
      </c>
      <c r="AA23">
        <v>2827760428.9407291</v>
      </c>
      <c r="AB23">
        <v>2873551854.895854</v>
      </c>
      <c r="AC23">
        <v>2916300133.8002028</v>
      </c>
      <c r="AD23">
        <v>2951517486.3864698</v>
      </c>
      <c r="AE23">
        <v>2987543324.4159169</v>
      </c>
      <c r="AF23">
        <v>3024860804.321507</v>
      </c>
    </row>
    <row r="24" spans="1:33" ht="14" customHeight="1" x14ac:dyDescent="0.15">
      <c r="A24" s="48" t="s">
        <v>198</v>
      </c>
      <c r="B24">
        <v>6963210061610.4746</v>
      </c>
      <c r="C24">
        <v>6936579531503.748</v>
      </c>
      <c r="D24">
        <v>6909949001397.0215</v>
      </c>
      <c r="E24">
        <v>6832586257296.9229</v>
      </c>
      <c r="F24">
        <v>6864013231287.4307</v>
      </c>
      <c r="G24">
        <v>6896017672157.6895</v>
      </c>
      <c r="H24">
        <v>6913431367727.5078</v>
      </c>
      <c r="I24">
        <v>6866773440202.0723</v>
      </c>
      <c r="J24">
        <v>6817733236705.9463</v>
      </c>
      <c r="K24">
        <v>6809816010668.7217</v>
      </c>
      <c r="L24">
        <v>6813805962772.8809</v>
      </c>
      <c r="M24">
        <v>6709993441164.8027</v>
      </c>
      <c r="N24">
        <v>6628156284399.1914</v>
      </c>
      <c r="O24">
        <v>6556231598253.3535</v>
      </c>
      <c r="P24">
        <v>6490155158254.0586</v>
      </c>
      <c r="Q24">
        <v>6436698386715.0371</v>
      </c>
      <c r="R24">
        <v>6393887742634.1543</v>
      </c>
      <c r="S24">
        <v>6373230799220.2461</v>
      </c>
      <c r="T24">
        <v>6366243446816.0762</v>
      </c>
      <c r="U24">
        <v>6360899879995.7578</v>
      </c>
      <c r="V24">
        <v>6355370268946.8232</v>
      </c>
      <c r="W24">
        <v>6352733426089.7041</v>
      </c>
      <c r="X24">
        <v>6352525678280.6748</v>
      </c>
      <c r="Y24">
        <v>6364891285323.6416</v>
      </c>
      <c r="Z24">
        <v>6385046392675.1357</v>
      </c>
      <c r="AA24">
        <v>6411144268898.9346</v>
      </c>
      <c r="AB24">
        <v>6442423709089.5391</v>
      </c>
      <c r="AC24">
        <v>6466305103214.5723</v>
      </c>
      <c r="AD24">
        <v>6490578867745.3447</v>
      </c>
      <c r="AE24">
        <v>6524086384232.6953</v>
      </c>
      <c r="AF24">
        <v>6573690596493.2061</v>
      </c>
    </row>
    <row r="25" spans="1:33" ht="14" customHeight="1" x14ac:dyDescent="0.15">
      <c r="A25" s="48" t="s">
        <v>199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3" ht="14" customHeight="1" x14ac:dyDescent="0.15">
      <c r="A26" s="48" t="s">
        <v>200</v>
      </c>
      <c r="B26">
        <v>3461859414.297401</v>
      </c>
      <c r="C26">
        <v>3448619665.5978799</v>
      </c>
      <c r="D26">
        <v>3435379916.8983579</v>
      </c>
      <c r="E26">
        <v>3396917922.8454509</v>
      </c>
      <c r="F26">
        <v>3412542292.1821928</v>
      </c>
      <c r="G26">
        <v>3428453757.432518</v>
      </c>
      <c r="H26">
        <v>3437111225.0965261</v>
      </c>
      <c r="I26">
        <v>3413914569.4985499</v>
      </c>
      <c r="J26">
        <v>3389533531.3494792</v>
      </c>
      <c r="K26">
        <v>3385597369.2561951</v>
      </c>
      <c r="L26">
        <v>3387581030.9771771</v>
      </c>
      <c r="M26">
        <v>3335969151.962894</v>
      </c>
      <c r="N26">
        <v>3295282639.6960449</v>
      </c>
      <c r="O26">
        <v>3259524253.8867331</v>
      </c>
      <c r="P26">
        <v>3226673407.24404</v>
      </c>
      <c r="Q26">
        <v>3200096609.161993</v>
      </c>
      <c r="R26">
        <v>3178812685.5215688</v>
      </c>
      <c r="S26">
        <v>3168542790.8328681</v>
      </c>
      <c r="T26">
        <v>3165068928.7078772</v>
      </c>
      <c r="U26">
        <v>3162412298.0821781</v>
      </c>
      <c r="V26">
        <v>3159663172.908906</v>
      </c>
      <c r="W26">
        <v>3158352228.79144</v>
      </c>
      <c r="X26">
        <v>3158248943.9986329</v>
      </c>
      <c r="Y26">
        <v>3164396682.2941079</v>
      </c>
      <c r="Z26">
        <v>3174417082.0111332</v>
      </c>
      <c r="AA26">
        <v>3187392014.218998</v>
      </c>
      <c r="AB26">
        <v>3202943035.01827</v>
      </c>
      <c r="AC26">
        <v>3214816011.4683251</v>
      </c>
      <c r="AD26">
        <v>3226884060.4741402</v>
      </c>
      <c r="AE26">
        <v>3243542801.2524738</v>
      </c>
      <c r="AF26">
        <v>3268204244.4207039</v>
      </c>
    </row>
    <row r="27" spans="1:33" ht="14" customHeight="1" x14ac:dyDescent="0.15"/>
    <row r="28" spans="1:33" ht="14.5" customHeight="1" x14ac:dyDescent="0.2">
      <c r="A28" s="29"/>
      <c r="C28" s="30"/>
      <c r="D28" s="30"/>
      <c r="E28" s="30"/>
      <c r="F28" s="30"/>
      <c r="G28" s="30"/>
      <c r="H28" s="30"/>
    </row>
    <row r="29" spans="1:33" ht="14" customHeight="1" x14ac:dyDescent="0.15"/>
    <row r="30" spans="1:33" ht="14.5" customHeight="1" x14ac:dyDescent="0.2">
      <c r="A30" s="29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 spans="1:33" ht="14" customHeight="1" x14ac:dyDescent="0.15"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 spans="1:33" ht="14" customHeight="1" x14ac:dyDescent="0.15"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 spans="1:35" ht="14.5" customHeight="1" x14ac:dyDescent="0.2">
      <c r="A33" s="29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 spans="1:35" ht="14" customHeight="1" x14ac:dyDescent="0.15">
      <c r="A34" s="31"/>
      <c r="B34" s="32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</row>
    <row r="35" spans="1:35" ht="14" customHeight="1" x14ac:dyDescent="0.15">
      <c r="A35" s="31"/>
      <c r="B35" s="32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58"/>
    </row>
    <row r="36" spans="1:35" ht="14" customHeight="1" x14ac:dyDescent="0.15">
      <c r="A36" s="31"/>
      <c r="B36" s="32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</row>
    <row r="37" spans="1:35" ht="14" customHeight="1" x14ac:dyDescent="0.15">
      <c r="A37" s="31"/>
      <c r="B37" s="32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</row>
    <row r="38" spans="1:35" ht="14" customHeight="1" x14ac:dyDescent="0.15">
      <c r="A38" s="31"/>
      <c r="B38" s="32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</row>
    <row r="39" spans="1:35" ht="14" customHeight="1" x14ac:dyDescent="0.15">
      <c r="A39" s="31"/>
      <c r="B39" s="32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</row>
    <row r="40" spans="1:35" ht="14" customHeight="1" x14ac:dyDescent="0.15">
      <c r="A40" s="31"/>
      <c r="B40" s="32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</row>
    <row r="41" spans="1:35" ht="14" customHeight="1" x14ac:dyDescent="0.15">
      <c r="A41" s="31"/>
      <c r="B41" s="32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</row>
    <row r="42" spans="1:35" ht="14" customHeight="1" x14ac:dyDescent="0.15">
      <c r="A42" s="31"/>
      <c r="B42" s="32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58"/>
      <c r="AG42" s="58"/>
      <c r="AH42" s="58"/>
      <c r="AI42" s="58"/>
    </row>
    <row r="43" spans="1:35" ht="14" customHeight="1" x14ac:dyDescent="0.15">
      <c r="A43" s="31"/>
      <c r="B43" s="32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  <c r="AD43" s="58"/>
      <c r="AE43" s="58"/>
      <c r="AF43" s="58"/>
      <c r="AG43" s="58"/>
      <c r="AH43" s="58"/>
      <c r="AI43" s="58"/>
    </row>
    <row r="44" spans="1:35" ht="14" customHeight="1" x14ac:dyDescent="0.15">
      <c r="A44" s="31"/>
      <c r="B44" s="32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</row>
    <row r="45" spans="1:35" ht="14" customHeight="1" x14ac:dyDescent="0.15">
      <c r="A45" s="31"/>
      <c r="B45" s="32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</row>
    <row r="46" spans="1:35" ht="14" customHeight="1" x14ac:dyDescent="0.15">
      <c r="A46" s="33"/>
      <c r="B46" s="34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</row>
    <row r="47" spans="1:35" ht="14.5" customHeight="1" x14ac:dyDescent="0.2">
      <c r="A47" s="29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 spans="1:35" ht="14" customHeight="1" x14ac:dyDescent="0.15">
      <c r="A48" s="31"/>
      <c r="B48" s="32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  <c r="AD48" s="58"/>
      <c r="AE48" s="58"/>
      <c r="AF48" s="58"/>
      <c r="AG48" s="58"/>
      <c r="AH48" s="58"/>
      <c r="AI48" s="58"/>
    </row>
    <row r="49" spans="1:35" ht="14" customHeight="1" x14ac:dyDescent="0.15">
      <c r="A49" s="31"/>
      <c r="B49" s="32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  <c r="AC49" s="58"/>
      <c r="AD49" s="58"/>
      <c r="AE49" s="58"/>
      <c r="AF49" s="58"/>
      <c r="AG49" s="58"/>
      <c r="AH49" s="58"/>
      <c r="AI49" s="58"/>
    </row>
    <row r="50" spans="1:35" ht="14.5" customHeight="1" x14ac:dyDescent="0.2">
      <c r="A50" s="35"/>
      <c r="B50" s="32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  <c r="AD50" s="58"/>
      <c r="AE50" s="58"/>
      <c r="AF50" s="58"/>
      <c r="AG50" s="58"/>
      <c r="AH50" s="58"/>
      <c r="AI50" s="58"/>
    </row>
    <row r="51" spans="1:35" ht="14" customHeight="1" x14ac:dyDescent="0.15">
      <c r="A51" s="31"/>
      <c r="B51" s="32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  <c r="AD51" s="58"/>
      <c r="AE51" s="58"/>
      <c r="AF51" s="58"/>
      <c r="AG51" s="58"/>
      <c r="AH51" s="58"/>
      <c r="AI51" s="58"/>
    </row>
    <row r="52" spans="1:35" ht="14" customHeight="1" x14ac:dyDescent="0.15">
      <c r="A52" s="31"/>
      <c r="B52" s="32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</row>
    <row r="53" spans="1:35" ht="14" customHeight="1" x14ac:dyDescent="0.15">
      <c r="A53" s="31"/>
      <c r="B53" s="32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</row>
    <row r="54" spans="1:35" ht="14" customHeight="1" x14ac:dyDescent="0.15">
      <c r="A54" s="31"/>
      <c r="B54" s="32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</row>
    <row r="55" spans="1:35" ht="14" customHeight="1" x14ac:dyDescent="0.15">
      <c r="A55" s="31"/>
      <c r="B55" s="32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  <c r="AB55" s="58"/>
      <c r="AC55" s="58"/>
      <c r="AD55" s="58"/>
      <c r="AE55" s="58"/>
      <c r="AF55" s="58"/>
      <c r="AG55" s="58"/>
      <c r="AH55" s="58"/>
      <c r="AI55" s="58"/>
    </row>
    <row r="56" spans="1:35" ht="14" customHeight="1" x14ac:dyDescent="0.15">
      <c r="A56" s="31"/>
      <c r="B56" s="36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  <c r="AD56" s="58"/>
      <c r="AE56" s="58"/>
      <c r="AF56" s="58"/>
      <c r="AG56" s="58"/>
      <c r="AH56" s="58"/>
      <c r="AI56" s="58"/>
    </row>
    <row r="57" spans="1:35" ht="14" customHeight="1" x14ac:dyDescent="0.15">
      <c r="A57" s="31"/>
      <c r="B57" s="36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  <c r="AI57" s="58"/>
    </row>
    <row r="58" spans="1:35" ht="14" customHeight="1" x14ac:dyDescent="0.15">
      <c r="A58" s="31"/>
      <c r="B58" s="36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</row>
    <row r="59" spans="1:35" ht="14" customHeight="1" x14ac:dyDescent="0.15">
      <c r="A59" s="31"/>
      <c r="B59" s="36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</row>
    <row r="60" spans="1:35" ht="14" customHeight="1" x14ac:dyDescent="0.15">
      <c r="A60" s="31"/>
      <c r="B60" s="36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  <c r="AB60" s="58"/>
      <c r="AC60" s="58"/>
      <c r="AD60" s="58"/>
      <c r="AE60" s="58"/>
      <c r="AF60" s="58"/>
      <c r="AG60" s="58"/>
      <c r="AH60" s="58"/>
      <c r="AI60" s="58"/>
    </row>
    <row r="61" spans="1:35" ht="14" customHeight="1" x14ac:dyDescent="0.15">
      <c r="A61" s="31"/>
      <c r="B61" s="3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</row>
    <row r="62" spans="1:35" ht="14" customHeight="1" x14ac:dyDescent="0.15">
      <c r="A62" s="33"/>
      <c r="B62" s="36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</row>
    <row r="63" spans="1:35" ht="14.5" customHeight="1" x14ac:dyDescent="0.2">
      <c r="A63" s="37"/>
      <c r="B63" s="36"/>
    </row>
    <row r="64" spans="1:35" ht="14" customHeight="1" x14ac:dyDescent="0.15">
      <c r="A64" s="31"/>
      <c r="B64" s="36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</row>
    <row r="65" spans="1:35" ht="14" customHeight="1" x14ac:dyDescent="0.15">
      <c r="A65" s="31"/>
      <c r="B65" s="36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</row>
    <row r="66" spans="1:35" ht="14" customHeight="1" x14ac:dyDescent="0.15">
      <c r="A66" s="31"/>
      <c r="B66" s="36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  <c r="AD66" s="58"/>
      <c r="AE66" s="58"/>
      <c r="AF66" s="58"/>
      <c r="AG66" s="58"/>
      <c r="AH66" s="58"/>
      <c r="AI66" s="58"/>
    </row>
    <row r="67" spans="1:35" ht="14" customHeight="1" x14ac:dyDescent="0.15">
      <c r="A67" s="31"/>
      <c r="B67" s="36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  <c r="AG67" s="58"/>
      <c r="AH67" s="58"/>
      <c r="AI67" s="58"/>
    </row>
    <row r="68" spans="1:35" ht="14" customHeight="1" x14ac:dyDescent="0.15">
      <c r="A68" s="31"/>
      <c r="B68" s="36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</row>
    <row r="69" spans="1:35" ht="14" customHeight="1" x14ac:dyDescent="0.15">
      <c r="A69" s="31"/>
      <c r="B69" s="36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</row>
    <row r="70" spans="1:35" ht="14" customHeight="1" x14ac:dyDescent="0.15">
      <c r="A70" s="31"/>
      <c r="B70" s="36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</row>
    <row r="71" spans="1:35" ht="14" customHeight="1" x14ac:dyDescent="0.15">
      <c r="A71" s="31"/>
      <c r="B71" s="36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</row>
    <row r="72" spans="1:35" ht="14" customHeight="1" x14ac:dyDescent="0.15">
      <c r="A72" s="31"/>
      <c r="B72" s="36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</row>
    <row r="73" spans="1:35" ht="14" customHeight="1" x14ac:dyDescent="0.15">
      <c r="A73" s="31"/>
      <c r="B73" s="36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  <c r="AD73" s="58"/>
      <c r="AE73" s="58"/>
      <c r="AF73" s="58"/>
      <c r="AG73" s="58"/>
      <c r="AH73" s="58"/>
      <c r="AI73" s="58"/>
    </row>
    <row r="74" spans="1:35" ht="14" customHeight="1" x14ac:dyDescent="0.15">
      <c r="A74" s="31"/>
      <c r="B74" s="36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  <c r="AD74" s="58"/>
      <c r="AE74" s="58"/>
      <c r="AF74" s="58"/>
      <c r="AG74" s="58"/>
      <c r="AH74" s="58"/>
      <c r="AI74" s="58"/>
    </row>
    <row r="75" spans="1:35" ht="14" customHeight="1" x14ac:dyDescent="0.15">
      <c r="A75" s="31"/>
      <c r="B75" s="36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</row>
    <row r="76" spans="1:35" ht="14" customHeight="1" x14ac:dyDescent="0.15">
      <c r="A76" s="33"/>
      <c r="B76" s="36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</row>
    <row r="77" spans="1:35" ht="14.5" customHeight="1" x14ac:dyDescent="0.2">
      <c r="A77" s="37"/>
      <c r="B77" s="36"/>
    </row>
    <row r="78" spans="1:35" ht="14.5" customHeight="1" x14ac:dyDescent="0.2">
      <c r="A78" s="37"/>
      <c r="B78" s="36"/>
    </row>
    <row r="79" spans="1:35" ht="14" customHeight="1" x14ac:dyDescent="0.15">
      <c r="A79" s="31"/>
      <c r="B79" s="36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  <c r="AB79" s="58"/>
      <c r="AC79" s="58"/>
      <c r="AD79" s="58"/>
      <c r="AE79" s="58"/>
      <c r="AF79" s="58"/>
      <c r="AG79" s="58"/>
      <c r="AH79" s="58"/>
      <c r="AI79" s="58"/>
    </row>
    <row r="80" spans="1:35" ht="14" customHeight="1" x14ac:dyDescent="0.15">
      <c r="A80" s="31"/>
      <c r="B80" s="36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</row>
    <row r="81" spans="1:35" ht="14" customHeight="1" x14ac:dyDescent="0.15">
      <c r="A81" s="31"/>
      <c r="B81" s="36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</row>
    <row r="82" spans="1:35" ht="14" customHeight="1" x14ac:dyDescent="0.15">
      <c r="A82" s="31"/>
      <c r="B82" s="32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  <c r="AD82" s="58"/>
      <c r="AE82" s="58"/>
      <c r="AF82" s="58"/>
      <c r="AG82" s="58"/>
      <c r="AH82" s="58"/>
      <c r="AI82" s="58"/>
    </row>
    <row r="83" spans="1:35" ht="14" customHeight="1" x14ac:dyDescent="0.15">
      <c r="A83" s="31"/>
      <c r="B83" s="32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  <c r="AB83" s="58"/>
      <c r="AC83" s="58"/>
      <c r="AD83" s="58"/>
      <c r="AE83" s="58"/>
      <c r="AF83" s="58"/>
      <c r="AG83" s="58"/>
      <c r="AH83" s="58"/>
      <c r="AI83" s="58"/>
    </row>
    <row r="84" spans="1:35" ht="14" customHeight="1" x14ac:dyDescent="0.15">
      <c r="A84" s="31"/>
      <c r="B84" s="32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</row>
    <row r="85" spans="1:35" ht="14" customHeight="1" x14ac:dyDescent="0.15">
      <c r="A85" s="31"/>
      <c r="B85" s="32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  <c r="AC85" s="58"/>
      <c r="AD85" s="58"/>
      <c r="AE85" s="58"/>
      <c r="AF85" s="58"/>
      <c r="AG85" s="58"/>
      <c r="AH85" s="58"/>
      <c r="AI85" s="58"/>
    </row>
    <row r="86" spans="1:35" ht="14" customHeight="1" x14ac:dyDescent="0.15">
      <c r="A86" s="31"/>
      <c r="B86" s="32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</row>
    <row r="87" spans="1:35" ht="14" customHeight="1" x14ac:dyDescent="0.15">
      <c r="A87" s="31"/>
      <c r="B87" s="32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  <c r="AC87" s="58"/>
      <c r="AD87" s="58"/>
      <c r="AE87" s="58"/>
      <c r="AF87" s="58"/>
      <c r="AG87" s="58"/>
      <c r="AH87" s="58"/>
      <c r="AI87" s="58"/>
    </row>
    <row r="88" spans="1:35" ht="14" customHeight="1" x14ac:dyDescent="0.15">
      <c r="A88" s="31"/>
      <c r="B88" s="32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  <c r="AB88" s="58"/>
      <c r="AC88" s="58"/>
      <c r="AD88" s="58"/>
      <c r="AE88" s="58"/>
      <c r="AF88" s="58"/>
      <c r="AG88" s="58"/>
      <c r="AH88" s="58"/>
      <c r="AI88" s="58"/>
    </row>
    <row r="89" spans="1:35" ht="14" customHeight="1" x14ac:dyDescent="0.15">
      <c r="A89" s="31"/>
      <c r="B89" s="32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  <c r="AD89" s="58"/>
      <c r="AE89" s="58"/>
      <c r="AF89" s="58"/>
      <c r="AG89" s="58"/>
      <c r="AH89" s="58"/>
      <c r="AI89" s="58"/>
    </row>
    <row r="90" spans="1:35" ht="14.5" customHeight="1" x14ac:dyDescent="0.2">
      <c r="A90" s="38"/>
      <c r="B90" s="32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  <c r="AB90" s="58"/>
      <c r="AC90" s="58"/>
      <c r="AD90" s="58"/>
      <c r="AE90" s="58"/>
      <c r="AF90" s="58"/>
      <c r="AG90" s="58"/>
      <c r="AH90" s="58"/>
      <c r="AI90" s="58"/>
    </row>
    <row r="91" spans="1:35" ht="14.5" customHeight="1" x14ac:dyDescent="0.2">
      <c r="A91" s="35"/>
      <c r="B91" s="32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</row>
    <row r="92" spans="1:35" ht="14" customHeight="1" x14ac:dyDescent="0.15">
      <c r="A92" s="31"/>
      <c r="B92" s="32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</row>
    <row r="93" spans="1:35" ht="14" customHeight="1" x14ac:dyDescent="0.15">
      <c r="A93" s="31"/>
      <c r="B93" s="32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  <c r="AB93" s="58"/>
      <c r="AC93" s="58"/>
      <c r="AD93" s="58"/>
      <c r="AE93" s="58"/>
      <c r="AF93" s="58"/>
      <c r="AG93" s="58"/>
      <c r="AH93" s="58"/>
      <c r="AI93" s="58"/>
    </row>
    <row r="94" spans="1:35" ht="14" customHeight="1" x14ac:dyDescent="0.15">
      <c r="A94" s="31"/>
      <c r="B94" s="32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  <c r="AB94" s="58"/>
      <c r="AC94" s="58"/>
      <c r="AD94" s="58"/>
      <c r="AE94" s="58"/>
      <c r="AF94" s="58"/>
      <c r="AG94" s="58"/>
      <c r="AH94" s="58"/>
      <c r="AI94" s="58"/>
    </row>
    <row r="95" spans="1:35" ht="14.5" customHeight="1" x14ac:dyDescent="0.2">
      <c r="A95" s="37"/>
    </row>
    <row r="96" spans="1:35" ht="14" customHeight="1" x14ac:dyDescent="0.15">
      <c r="A96" s="31"/>
      <c r="B96" s="32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  <c r="AB96" s="58"/>
      <c r="AC96" s="58"/>
      <c r="AD96" s="58"/>
      <c r="AE96" s="58"/>
      <c r="AF96" s="58"/>
      <c r="AG96" s="58"/>
      <c r="AH96" s="58"/>
      <c r="AI96" s="58"/>
    </row>
    <row r="97" spans="1:35" ht="14" customHeight="1" x14ac:dyDescent="0.15">
      <c r="A97" s="31"/>
      <c r="B97" s="32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  <c r="AA97" s="58"/>
      <c r="AB97" s="58"/>
      <c r="AC97" s="58"/>
      <c r="AD97" s="58"/>
      <c r="AE97" s="58"/>
      <c r="AF97" s="58"/>
      <c r="AG97" s="58"/>
      <c r="AH97" s="58"/>
      <c r="AI97" s="58"/>
    </row>
    <row r="98" spans="1:35" ht="14" customHeight="1" x14ac:dyDescent="0.15">
      <c r="A98" s="31"/>
      <c r="B98" s="32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  <c r="AA98" s="58"/>
      <c r="AB98" s="58"/>
      <c r="AC98" s="58"/>
      <c r="AD98" s="58"/>
      <c r="AE98" s="58"/>
      <c r="AF98" s="58"/>
      <c r="AG98" s="58"/>
      <c r="AH98" s="58"/>
      <c r="AI98" s="58"/>
    </row>
    <row r="99" spans="1:35" ht="14" customHeight="1" x14ac:dyDescent="0.15">
      <c r="A99" s="31"/>
      <c r="B99" s="32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  <c r="AA99" s="58"/>
      <c r="AB99" s="58"/>
      <c r="AC99" s="58"/>
      <c r="AD99" s="58"/>
      <c r="AE99" s="58"/>
      <c r="AF99" s="58"/>
      <c r="AG99" s="58"/>
      <c r="AH99" s="58"/>
      <c r="AI99" s="58"/>
    </row>
    <row r="100" spans="1:35" ht="14" customHeight="1" x14ac:dyDescent="0.15">
      <c r="A100" s="31"/>
      <c r="B100" s="32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  <c r="AB100" s="58"/>
      <c r="AC100" s="58"/>
      <c r="AD100" s="58"/>
      <c r="AE100" s="58"/>
      <c r="AF100" s="58"/>
      <c r="AG100" s="58"/>
      <c r="AH100" s="58"/>
      <c r="AI100" s="58"/>
    </row>
    <row r="101" spans="1:35" ht="14" customHeight="1" x14ac:dyDescent="0.15">
      <c r="A101" s="31"/>
      <c r="B101" s="32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  <c r="AA101" s="58"/>
      <c r="AB101" s="58"/>
      <c r="AC101" s="58"/>
      <c r="AD101" s="58"/>
      <c r="AE101" s="58"/>
      <c r="AF101" s="58"/>
      <c r="AG101" s="58"/>
      <c r="AH101" s="58"/>
      <c r="AI101" s="58"/>
    </row>
    <row r="102" spans="1:35" ht="14" customHeight="1" x14ac:dyDescent="0.15">
      <c r="A102" s="31"/>
      <c r="B102" s="32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</row>
    <row r="103" spans="1:35" ht="14" customHeight="1" x14ac:dyDescent="0.15">
      <c r="A103" s="31"/>
      <c r="B103" s="32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  <c r="AA103" s="58"/>
      <c r="AB103" s="58"/>
      <c r="AC103" s="58"/>
      <c r="AD103" s="58"/>
      <c r="AE103" s="58"/>
      <c r="AF103" s="58"/>
      <c r="AG103" s="58"/>
      <c r="AH103" s="58"/>
      <c r="AI103" s="58"/>
    </row>
    <row r="104" spans="1:35" ht="14" customHeight="1" x14ac:dyDescent="0.15">
      <c r="A104" s="31"/>
      <c r="B104" s="32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</row>
    <row r="105" spans="1:35" ht="14" customHeight="1" x14ac:dyDescent="0.15">
      <c r="A105" s="31"/>
      <c r="B105" s="32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  <c r="AH105" s="58"/>
      <c r="AI105" s="58"/>
    </row>
    <row r="106" spans="1:35" ht="14" customHeight="1" x14ac:dyDescent="0.15">
      <c r="A106" s="31"/>
      <c r="B106" s="32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</row>
    <row r="107" spans="1:35" ht="14" customHeight="1" x14ac:dyDescent="0.15">
      <c r="A107" s="33"/>
      <c r="B107" s="34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</row>
    <row r="108" spans="1:35" ht="14.5" customHeight="1" x14ac:dyDescent="0.2">
      <c r="A108" s="29"/>
    </row>
    <row r="109" spans="1:35" ht="14" customHeight="1" x14ac:dyDescent="0.15">
      <c r="A109" s="39"/>
      <c r="B109" s="40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</row>
    <row r="110" spans="1:35" ht="14" customHeight="1" x14ac:dyDescent="0.15">
      <c r="A110" s="39"/>
      <c r="B110" s="40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</row>
    <row r="111" spans="1:35" ht="14" customHeight="1" x14ac:dyDescent="0.15">
      <c r="A111" s="39"/>
      <c r="B111" s="43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</row>
    <row r="112" spans="1:35" ht="14" customHeight="1" x14ac:dyDescent="0.15">
      <c r="A112" s="39"/>
      <c r="B112" s="43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</row>
    <row r="113" spans="1:35" ht="14.5" customHeight="1" x14ac:dyDescent="0.2">
      <c r="A113" s="29"/>
    </row>
    <row r="114" spans="1:35" ht="14" customHeight="1" x14ac:dyDescent="0.15">
      <c r="A114" s="31"/>
      <c r="B114" s="32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</row>
    <row r="115" spans="1:35" ht="14" customHeight="1" x14ac:dyDescent="0.15">
      <c r="A115" s="31"/>
      <c r="B115" s="32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</row>
    <row r="116" spans="1:35" ht="14" customHeight="1" x14ac:dyDescent="0.15">
      <c r="A116" s="31"/>
      <c r="B116" s="32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</row>
    <row r="117" spans="1:35" ht="14" customHeight="1" x14ac:dyDescent="0.15">
      <c r="A117" s="31"/>
      <c r="B117" s="32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</row>
    <row r="118" spans="1:35" ht="14" customHeight="1" x14ac:dyDescent="0.15">
      <c r="A118" s="31"/>
      <c r="B118" s="32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  <c r="AA118" s="58"/>
      <c r="AB118" s="58"/>
      <c r="AC118" s="58"/>
      <c r="AD118" s="58"/>
      <c r="AE118" s="58"/>
      <c r="AF118" s="58"/>
      <c r="AG118" s="58"/>
      <c r="AH118" s="58"/>
      <c r="AI118" s="58"/>
    </row>
    <row r="119" spans="1:35" ht="14" customHeight="1" x14ac:dyDescent="0.15">
      <c r="A119" s="31"/>
      <c r="B119" s="32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  <c r="AA119" s="58"/>
      <c r="AB119" s="58"/>
      <c r="AC119" s="58"/>
      <c r="AD119" s="58"/>
      <c r="AE119" s="58"/>
      <c r="AF119" s="58"/>
      <c r="AG119" s="58"/>
      <c r="AH119" s="58"/>
      <c r="AI119" s="58"/>
    </row>
    <row r="120" spans="1:35" ht="14" customHeight="1" x14ac:dyDescent="0.15">
      <c r="A120" s="31"/>
      <c r="B120" s="32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  <c r="AA120" s="58"/>
      <c r="AB120" s="58"/>
      <c r="AC120" s="58"/>
      <c r="AD120" s="58"/>
      <c r="AE120" s="58"/>
      <c r="AF120" s="58"/>
      <c r="AG120" s="58"/>
      <c r="AH120" s="58"/>
      <c r="AI120" s="58"/>
    </row>
    <row r="121" spans="1:35" ht="14" customHeight="1" x14ac:dyDescent="0.15">
      <c r="A121" s="31"/>
      <c r="B121" s="32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</row>
    <row r="122" spans="1:35" ht="14" customHeight="1" x14ac:dyDescent="0.15">
      <c r="A122" s="31"/>
      <c r="B122" s="32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</row>
    <row r="123" spans="1:35" ht="14" customHeight="1" x14ac:dyDescent="0.15">
      <c r="A123" s="31"/>
      <c r="B123" s="32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</row>
    <row r="124" spans="1:35" ht="14" customHeight="1" x14ac:dyDescent="0.15">
      <c r="A124" s="33"/>
      <c r="B124" s="34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</row>
    <row r="125" spans="1:35" ht="14.5" customHeight="1" x14ac:dyDescent="0.2">
      <c r="A125" s="29"/>
    </row>
    <row r="126" spans="1:35" ht="14.5" customHeight="1" x14ac:dyDescent="0.2">
      <c r="A126" s="35"/>
      <c r="B126" s="32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</row>
    <row r="127" spans="1:35" ht="14" customHeight="1" x14ac:dyDescent="0.15">
      <c r="A127" s="31"/>
      <c r="B127" s="32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</row>
    <row r="128" spans="1:35" ht="14" customHeight="1" x14ac:dyDescent="0.15">
      <c r="A128" s="31"/>
      <c r="B128" s="32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</row>
    <row r="129" spans="1:35" ht="14" customHeight="1" x14ac:dyDescent="0.15">
      <c r="A129" s="31"/>
      <c r="B129" s="32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</row>
    <row r="130" spans="1:35" ht="14" customHeight="1" x14ac:dyDescent="0.15">
      <c r="A130" s="31"/>
      <c r="B130" s="32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</row>
    <row r="131" spans="1:35" ht="14" customHeight="1" x14ac:dyDescent="0.15">
      <c r="A131" s="31"/>
      <c r="B131" s="32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</row>
    <row r="132" spans="1:35" ht="14" customHeight="1" x14ac:dyDescent="0.15">
      <c r="A132" s="31"/>
      <c r="B132" s="32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</row>
    <row r="133" spans="1:35" ht="14" customHeight="1" x14ac:dyDescent="0.15">
      <c r="A133" s="31"/>
      <c r="B133" s="32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</row>
    <row r="134" spans="1:35" ht="14" customHeight="1" x14ac:dyDescent="0.15">
      <c r="A134" s="31"/>
      <c r="B134" s="32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</row>
    <row r="135" spans="1:35" ht="14" customHeight="1" x14ac:dyDescent="0.15">
      <c r="A135" s="31"/>
      <c r="B135" s="32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</row>
    <row r="136" spans="1:35" ht="14" customHeight="1" x14ac:dyDescent="0.15">
      <c r="A136" s="31"/>
      <c r="B136" s="32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</row>
    <row r="137" spans="1:35" ht="14" customHeight="1" x14ac:dyDescent="0.15">
      <c r="A137" s="31"/>
      <c r="B137" s="32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</row>
    <row r="138" spans="1:35" ht="14" customHeight="1" x14ac:dyDescent="0.15">
      <c r="A138" s="31"/>
      <c r="B138" s="32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</row>
    <row r="139" spans="1:35" ht="14" customHeight="1" x14ac:dyDescent="0.15">
      <c r="A139" s="31"/>
      <c r="B139" s="32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</row>
    <row r="140" spans="1:35" ht="14" customHeight="1" x14ac:dyDescent="0.15">
      <c r="A140" s="31"/>
      <c r="B140" s="32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</row>
    <row r="141" spans="1:35" ht="14" customHeight="1" x14ac:dyDescent="0.15">
      <c r="A141" s="31"/>
      <c r="B141" s="32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</row>
    <row r="142" spans="1:35" ht="14" customHeight="1" x14ac:dyDescent="0.15">
      <c r="A142" s="31"/>
      <c r="B142" s="32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</row>
    <row r="143" spans="1:35" ht="14" customHeight="1" x14ac:dyDescent="0.15">
      <c r="A143" s="31"/>
      <c r="B143" s="32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</row>
    <row r="144" spans="1:35" ht="14" customHeight="1" x14ac:dyDescent="0.15">
      <c r="A144" s="31"/>
      <c r="B144" s="32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</row>
    <row r="145" spans="1:35" ht="14" customHeight="1" x14ac:dyDescent="0.15">
      <c r="A145" s="31"/>
      <c r="B145" s="32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</row>
    <row r="146" spans="1:35" ht="14" customHeight="1" x14ac:dyDescent="0.15">
      <c r="A146" s="33"/>
      <c r="B146" s="34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</row>
    <row r="147" spans="1:35" ht="14" customHeight="1" x14ac:dyDescent="0.15">
      <c r="A147" s="31"/>
      <c r="B147" s="32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</row>
    <row r="148" spans="1:35" ht="14" customHeight="1" x14ac:dyDescent="0.15">
      <c r="A148" s="33"/>
      <c r="B148" s="34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</row>
    <row r="149" spans="1:35" ht="14" customHeight="1" x14ac:dyDescent="0.15"/>
    <row r="150" spans="1:35" ht="14" customHeight="1" x14ac:dyDescent="0.15">
      <c r="C150" s="60"/>
      <c r="D150" s="60"/>
      <c r="E150" s="60"/>
      <c r="F150" s="60"/>
      <c r="G150" s="60"/>
      <c r="H150" s="60"/>
      <c r="I150" s="60"/>
      <c r="J150" s="60"/>
      <c r="K150" s="60"/>
      <c r="L150" s="60"/>
    </row>
    <row r="151" spans="1:35" ht="14" customHeight="1" x14ac:dyDescent="0.15">
      <c r="C151" s="60"/>
      <c r="D151" s="60"/>
      <c r="E151" s="60"/>
      <c r="F151" s="60"/>
      <c r="G151" s="60"/>
      <c r="H151" s="60"/>
      <c r="I151" s="60"/>
      <c r="J151" s="60"/>
      <c r="K151" s="60"/>
      <c r="L151" s="60"/>
    </row>
    <row r="152" spans="1:35" ht="14" customHeight="1" x14ac:dyDescent="0.15"/>
    <row r="153" spans="1:35" ht="14" customHeight="1" x14ac:dyDescent="0.15"/>
    <row r="154" spans="1:35" ht="14" customHeight="1" x14ac:dyDescent="0.15"/>
    <row r="155" spans="1:35" ht="14" customHeight="1" x14ac:dyDescent="0.15"/>
    <row r="156" spans="1:35" ht="14" customHeight="1" x14ac:dyDescent="0.15"/>
    <row r="157" spans="1:35" ht="14" customHeight="1" x14ac:dyDescent="0.15"/>
    <row r="158" spans="1:35" ht="14" customHeight="1" x14ac:dyDescent="0.15"/>
    <row r="159" spans="1:35" ht="14" customHeight="1" x14ac:dyDescent="0.15"/>
    <row r="160" spans="1:35" ht="14" customHeight="1" x14ac:dyDescent="0.15"/>
    <row r="161" ht="14" customHeight="1" x14ac:dyDescent="0.15"/>
    <row r="162" ht="14" customHeight="1" x14ac:dyDescent="0.15"/>
    <row r="163" ht="14" customHeight="1" x14ac:dyDescent="0.15"/>
    <row r="164" ht="14" customHeight="1" x14ac:dyDescent="0.15"/>
    <row r="165" ht="14" customHeight="1" x14ac:dyDescent="0.15"/>
    <row r="166" ht="14" customHeight="1" x14ac:dyDescent="0.15"/>
    <row r="167" ht="14" customHeight="1" x14ac:dyDescent="0.15"/>
    <row r="168" ht="14" customHeight="1" x14ac:dyDescent="0.15"/>
    <row r="169" ht="14" customHeight="1" x14ac:dyDescent="0.15"/>
    <row r="170" ht="14" customHeight="1" x14ac:dyDescent="0.15"/>
    <row r="171" ht="14" customHeight="1" x14ac:dyDescent="0.15"/>
    <row r="172" ht="14" customHeight="1" x14ac:dyDescent="0.15"/>
    <row r="173" ht="14" customHeight="1" x14ac:dyDescent="0.15"/>
    <row r="174" ht="14" customHeight="1" x14ac:dyDescent="0.15"/>
    <row r="175" ht="14" customHeight="1" x14ac:dyDescent="0.15"/>
    <row r="176" ht="14" customHeight="1" x14ac:dyDescent="0.15"/>
    <row r="177" ht="14" customHeight="1" x14ac:dyDescent="0.15"/>
    <row r="178" ht="14" customHeight="1" x14ac:dyDescent="0.15"/>
    <row r="179" ht="14" customHeight="1" x14ac:dyDescent="0.15"/>
    <row r="180" ht="14" customHeight="1" x14ac:dyDescent="0.15"/>
    <row r="181" ht="14" customHeight="1" x14ac:dyDescent="0.15"/>
    <row r="182" ht="14" customHeight="1" x14ac:dyDescent="0.15"/>
    <row r="183" ht="14" customHeight="1" x14ac:dyDescent="0.15"/>
    <row r="184" ht="14" customHeight="1" x14ac:dyDescent="0.15"/>
    <row r="185" ht="14" customHeight="1" x14ac:dyDescent="0.15"/>
    <row r="186" ht="14" customHeight="1" x14ac:dyDescent="0.15"/>
    <row r="187" ht="14" customHeight="1" x14ac:dyDescent="0.15"/>
    <row r="188" ht="14" customHeight="1" x14ac:dyDescent="0.15"/>
    <row r="189" ht="14" customHeight="1" x14ac:dyDescent="0.15"/>
    <row r="190" ht="14" customHeight="1" x14ac:dyDescent="0.15"/>
    <row r="191" ht="14" customHeight="1" x14ac:dyDescent="0.15"/>
    <row r="192" ht="14" customHeight="1" x14ac:dyDescent="0.15"/>
    <row r="193" ht="14" customHeight="1" x14ac:dyDescent="0.15"/>
    <row r="194" ht="14" customHeight="1" x14ac:dyDescent="0.15"/>
    <row r="195" ht="14" customHeight="1" x14ac:dyDescent="0.15"/>
    <row r="196" ht="14" customHeight="1" x14ac:dyDescent="0.15"/>
    <row r="197" ht="14" customHeight="1" x14ac:dyDescent="0.15"/>
    <row r="198" ht="14" customHeight="1" x14ac:dyDescent="0.15"/>
    <row r="199" ht="14" customHeight="1" x14ac:dyDescent="0.15"/>
    <row r="200" ht="14" customHeight="1" x14ac:dyDescent="0.15"/>
    <row r="201" ht="14" customHeight="1" x14ac:dyDescent="0.15"/>
    <row r="202" ht="14" customHeight="1" x14ac:dyDescent="0.15"/>
    <row r="203" ht="14" customHeight="1" x14ac:dyDescent="0.15"/>
    <row r="204" ht="14" customHeight="1" x14ac:dyDescent="0.15"/>
    <row r="205" ht="14" customHeight="1" x14ac:dyDescent="0.15"/>
    <row r="206" ht="14" customHeight="1" x14ac:dyDescent="0.15"/>
    <row r="207" ht="14" customHeight="1" x14ac:dyDescent="0.15"/>
    <row r="208" ht="14" customHeight="1" x14ac:dyDescent="0.15"/>
    <row r="209" ht="14" customHeight="1" x14ac:dyDescent="0.15"/>
    <row r="210" ht="14" customHeight="1" x14ac:dyDescent="0.15"/>
    <row r="211" ht="14" customHeight="1" x14ac:dyDescent="0.15"/>
    <row r="212" ht="14" customHeight="1" x14ac:dyDescent="0.15"/>
    <row r="213" ht="14" customHeight="1" x14ac:dyDescent="0.15"/>
    <row r="214" ht="14" customHeight="1" x14ac:dyDescent="0.15"/>
    <row r="215" ht="14" customHeight="1" x14ac:dyDescent="0.15"/>
    <row r="216" ht="14" customHeight="1" x14ac:dyDescent="0.15"/>
    <row r="217" ht="14" customHeight="1" x14ac:dyDescent="0.15"/>
    <row r="218" ht="14" customHeight="1" x14ac:dyDescent="0.15"/>
    <row r="219" ht="14" customHeight="1" x14ac:dyDescent="0.15"/>
    <row r="220" ht="14" customHeight="1" x14ac:dyDescent="0.15"/>
    <row r="221" ht="14" customHeight="1" x14ac:dyDescent="0.15"/>
    <row r="222" ht="14" customHeight="1" x14ac:dyDescent="0.15"/>
    <row r="223" ht="14" customHeight="1" x14ac:dyDescent="0.15"/>
    <row r="224" ht="14" customHeight="1" x14ac:dyDescent="0.15"/>
    <row r="225" ht="14" customHeight="1" x14ac:dyDescent="0.15"/>
    <row r="226" ht="14" customHeight="1" x14ac:dyDescent="0.15"/>
    <row r="227" ht="14" customHeight="1" x14ac:dyDescent="0.15"/>
    <row r="228" ht="14" customHeight="1" x14ac:dyDescent="0.15"/>
    <row r="229" ht="14" customHeight="1" x14ac:dyDescent="0.15"/>
    <row r="230" ht="14" customHeight="1" x14ac:dyDescent="0.15"/>
    <row r="231" ht="14" customHeight="1" x14ac:dyDescent="0.15"/>
    <row r="232" ht="14" customHeight="1" x14ac:dyDescent="0.15"/>
    <row r="233" ht="14" customHeight="1" x14ac:dyDescent="0.15"/>
    <row r="234" ht="14" customHeight="1" x14ac:dyDescent="0.15"/>
    <row r="235" ht="14" customHeight="1" x14ac:dyDescent="0.15"/>
    <row r="236" ht="14" customHeight="1" x14ac:dyDescent="0.15"/>
    <row r="237" ht="14" customHeight="1" x14ac:dyDescent="0.15"/>
    <row r="238" ht="14" customHeight="1" x14ac:dyDescent="0.15"/>
    <row r="239" ht="14" customHeight="1" x14ac:dyDescent="0.15"/>
    <row r="240" ht="14" customHeight="1" x14ac:dyDescent="0.15"/>
    <row r="241" ht="14" customHeight="1" x14ac:dyDescent="0.15"/>
    <row r="242" ht="14" customHeight="1" x14ac:dyDescent="0.15"/>
    <row r="243" ht="14" customHeight="1" x14ac:dyDescent="0.15"/>
    <row r="244" ht="14" customHeight="1" x14ac:dyDescent="0.15"/>
    <row r="245" ht="14" customHeight="1" x14ac:dyDescent="0.15"/>
    <row r="246" ht="14" customHeight="1" x14ac:dyDescent="0.15"/>
    <row r="247" ht="14" customHeight="1" x14ac:dyDescent="0.15"/>
    <row r="248" ht="14" customHeight="1" x14ac:dyDescent="0.15"/>
    <row r="249" ht="14" customHeight="1" x14ac:dyDescent="0.15"/>
    <row r="250" ht="14" customHeight="1" x14ac:dyDescent="0.15"/>
    <row r="251" ht="14" customHeight="1" x14ac:dyDescent="0.15"/>
    <row r="252" ht="14" customHeight="1" x14ac:dyDescent="0.15"/>
    <row r="253" ht="14" customHeight="1" x14ac:dyDescent="0.15"/>
    <row r="254" ht="14" customHeight="1" x14ac:dyDescent="0.15"/>
    <row r="255" ht="14" customHeight="1" x14ac:dyDescent="0.15"/>
    <row r="256" ht="14" customHeight="1" x14ac:dyDescent="0.15"/>
    <row r="257" ht="14" customHeight="1" x14ac:dyDescent="0.15"/>
    <row r="258" ht="14" customHeight="1" x14ac:dyDescent="0.15"/>
    <row r="259" ht="14" customHeight="1" x14ac:dyDescent="0.15"/>
    <row r="260" ht="14" customHeight="1" x14ac:dyDescent="0.15"/>
    <row r="261" ht="14" customHeight="1" x14ac:dyDescent="0.15"/>
    <row r="262" ht="14" customHeight="1" x14ac:dyDescent="0.15"/>
    <row r="263" ht="14" customHeight="1" x14ac:dyDescent="0.15"/>
    <row r="264" ht="14" customHeight="1" x14ac:dyDescent="0.15"/>
    <row r="265" ht="14" customHeight="1" x14ac:dyDescent="0.15"/>
    <row r="266" ht="14" customHeight="1" x14ac:dyDescent="0.15"/>
    <row r="267" ht="14" customHeight="1" x14ac:dyDescent="0.15"/>
    <row r="268" ht="14" customHeight="1" x14ac:dyDescent="0.15"/>
    <row r="269" ht="14" customHeight="1" x14ac:dyDescent="0.15"/>
    <row r="270" ht="14" customHeight="1" x14ac:dyDescent="0.15"/>
    <row r="271" ht="14" customHeight="1" x14ac:dyDescent="0.15"/>
    <row r="272" ht="14" customHeight="1" x14ac:dyDescent="0.15"/>
    <row r="273" ht="14" customHeight="1" x14ac:dyDescent="0.15"/>
    <row r="274" ht="14" customHeight="1" x14ac:dyDescent="0.15"/>
    <row r="275" ht="14" customHeight="1" x14ac:dyDescent="0.15"/>
    <row r="276" ht="14" customHeight="1" x14ac:dyDescent="0.15"/>
    <row r="277" ht="14" customHeight="1" x14ac:dyDescent="0.15"/>
    <row r="278" ht="14" customHeight="1" x14ac:dyDescent="0.15"/>
    <row r="279" ht="14" customHeight="1" x14ac:dyDescent="0.15"/>
    <row r="280" ht="14" customHeight="1" x14ac:dyDescent="0.15"/>
    <row r="281" ht="14" customHeight="1" x14ac:dyDescent="0.15"/>
    <row r="282" ht="14" customHeight="1" x14ac:dyDescent="0.15"/>
    <row r="283" ht="14" customHeight="1" x14ac:dyDescent="0.15"/>
    <row r="284" ht="14" customHeight="1" x14ac:dyDescent="0.15"/>
    <row r="285" ht="14" customHeight="1" x14ac:dyDescent="0.15"/>
    <row r="286" ht="14" customHeight="1" x14ac:dyDescent="0.15"/>
    <row r="287" ht="14" customHeight="1" x14ac:dyDescent="0.15"/>
    <row r="288" ht="14" customHeight="1" x14ac:dyDescent="0.15"/>
    <row r="289" ht="14" customHeight="1" x14ac:dyDescent="0.15"/>
    <row r="290" ht="14" customHeight="1" x14ac:dyDescent="0.15"/>
    <row r="291" ht="14" customHeight="1" x14ac:dyDescent="0.15"/>
    <row r="292" ht="14" customHeight="1" x14ac:dyDescent="0.15"/>
    <row r="293" ht="14" customHeight="1" x14ac:dyDescent="0.15"/>
    <row r="294" ht="14" customHeight="1" x14ac:dyDescent="0.15"/>
    <row r="295" ht="14" customHeight="1" x14ac:dyDescent="0.15"/>
    <row r="296" ht="14" customHeight="1" x14ac:dyDescent="0.15"/>
    <row r="297" ht="14" customHeight="1" x14ac:dyDescent="0.15"/>
    <row r="298" ht="14" customHeight="1" x14ac:dyDescent="0.15"/>
    <row r="299" ht="14" customHeight="1" x14ac:dyDescent="0.15"/>
    <row r="300" ht="14" customHeight="1" x14ac:dyDescent="0.15"/>
    <row r="301" ht="14" customHeight="1" x14ac:dyDescent="0.15"/>
    <row r="302" ht="14" customHeight="1" x14ac:dyDescent="0.15"/>
    <row r="303" ht="14" customHeight="1" x14ac:dyDescent="0.15"/>
    <row r="304" ht="14" customHeight="1" x14ac:dyDescent="0.15"/>
    <row r="305" ht="14" customHeight="1" x14ac:dyDescent="0.15"/>
    <row r="306" ht="14" customHeight="1" x14ac:dyDescent="0.15"/>
    <row r="307" ht="14" customHeight="1" x14ac:dyDescent="0.15"/>
    <row r="308" ht="14" customHeight="1" x14ac:dyDescent="0.15"/>
    <row r="309" ht="14" customHeight="1" x14ac:dyDescent="0.15"/>
    <row r="310" ht="14" customHeight="1" x14ac:dyDescent="0.15"/>
    <row r="311" ht="14" customHeight="1" x14ac:dyDescent="0.15"/>
    <row r="312" ht="14" customHeight="1" x14ac:dyDescent="0.15"/>
    <row r="313" ht="14" customHeight="1" x14ac:dyDescent="0.15"/>
    <row r="314" ht="14" customHeight="1" x14ac:dyDescent="0.15"/>
    <row r="315" ht="14" customHeight="1" x14ac:dyDescent="0.15"/>
    <row r="316" ht="14" customHeight="1" x14ac:dyDescent="0.15"/>
    <row r="317" ht="14" customHeight="1" x14ac:dyDescent="0.15"/>
    <row r="318" ht="14" customHeight="1" x14ac:dyDescent="0.15"/>
    <row r="319" ht="14" customHeight="1" x14ac:dyDescent="0.15"/>
    <row r="320" ht="14" customHeight="1" x14ac:dyDescent="0.15"/>
    <row r="321" ht="14" customHeight="1" x14ac:dyDescent="0.15"/>
    <row r="322" ht="14" customHeight="1" x14ac:dyDescent="0.15"/>
    <row r="323" ht="14" customHeight="1" x14ac:dyDescent="0.15"/>
    <row r="324" ht="14" customHeight="1" x14ac:dyDescent="0.15"/>
    <row r="325" ht="14" customHeight="1" x14ac:dyDescent="0.15"/>
    <row r="326" ht="14" customHeight="1" x14ac:dyDescent="0.15"/>
    <row r="327" ht="14" customHeight="1" x14ac:dyDescent="0.15"/>
    <row r="328" ht="14" customHeight="1" x14ac:dyDescent="0.15"/>
    <row r="329" ht="14" customHeight="1" x14ac:dyDescent="0.15"/>
    <row r="330" ht="14" customHeight="1" x14ac:dyDescent="0.15"/>
    <row r="331" ht="14" customHeight="1" x14ac:dyDescent="0.15"/>
    <row r="332" ht="14" customHeight="1" x14ac:dyDescent="0.15"/>
    <row r="333" ht="14" customHeight="1" x14ac:dyDescent="0.15"/>
    <row r="334" ht="14" customHeight="1" x14ac:dyDescent="0.15"/>
    <row r="335" ht="14" customHeight="1" x14ac:dyDescent="0.15"/>
    <row r="336" ht="14" customHeight="1" x14ac:dyDescent="0.15"/>
    <row r="337" ht="14" customHeight="1" x14ac:dyDescent="0.15"/>
    <row r="338" ht="14" customHeight="1" x14ac:dyDescent="0.15"/>
    <row r="339" ht="14" customHeight="1" x14ac:dyDescent="0.15"/>
    <row r="340" ht="14" customHeight="1" x14ac:dyDescent="0.15"/>
    <row r="341" ht="14" customHeight="1" x14ac:dyDescent="0.15"/>
    <row r="342" ht="14" customHeight="1" x14ac:dyDescent="0.15"/>
    <row r="343" ht="14" customHeight="1" x14ac:dyDescent="0.15"/>
    <row r="344" ht="14" customHeight="1" x14ac:dyDescent="0.15"/>
    <row r="345" ht="14" customHeight="1" x14ac:dyDescent="0.15"/>
    <row r="346" ht="14" customHeight="1" x14ac:dyDescent="0.15"/>
    <row r="347" ht="14" customHeight="1" x14ac:dyDescent="0.15"/>
    <row r="348" ht="14" customHeight="1" x14ac:dyDescent="0.15"/>
    <row r="349" ht="14" customHeight="1" x14ac:dyDescent="0.15"/>
    <row r="350" ht="14" customHeight="1" x14ac:dyDescent="0.15"/>
    <row r="351" ht="14" customHeight="1" x14ac:dyDescent="0.15"/>
    <row r="352" ht="14" customHeight="1" x14ac:dyDescent="0.15"/>
    <row r="353" ht="14" customHeight="1" x14ac:dyDescent="0.15"/>
    <row r="354" ht="14" customHeight="1" x14ac:dyDescent="0.15"/>
    <row r="355" ht="14" customHeight="1" x14ac:dyDescent="0.15"/>
    <row r="356" ht="14" customHeight="1" x14ac:dyDescent="0.15"/>
    <row r="357" ht="14" customHeight="1" x14ac:dyDescent="0.15"/>
    <row r="358" ht="14" customHeight="1" x14ac:dyDescent="0.15"/>
    <row r="359" ht="14" customHeight="1" x14ac:dyDescent="0.15"/>
    <row r="360" ht="14" customHeight="1" x14ac:dyDescent="0.15"/>
    <row r="361" ht="14" customHeight="1" x14ac:dyDescent="0.15"/>
    <row r="362" ht="14" customHeight="1" x14ac:dyDescent="0.15"/>
    <row r="363" ht="14" customHeight="1" x14ac:dyDescent="0.15"/>
    <row r="364" ht="14" customHeight="1" x14ac:dyDescent="0.15"/>
    <row r="365" ht="14" customHeight="1" x14ac:dyDescent="0.15"/>
    <row r="366" ht="14" customHeight="1" x14ac:dyDescent="0.15"/>
    <row r="367" ht="14" customHeight="1" x14ac:dyDescent="0.15"/>
    <row r="368" ht="14" customHeight="1" x14ac:dyDescent="0.15"/>
    <row r="369" ht="14" customHeight="1" x14ac:dyDescent="0.15"/>
    <row r="370" ht="14" customHeight="1" x14ac:dyDescent="0.15"/>
    <row r="371" ht="14" customHeight="1" x14ac:dyDescent="0.15"/>
    <row r="372" ht="14" customHeight="1" x14ac:dyDescent="0.15"/>
    <row r="373" ht="14" customHeight="1" x14ac:dyDescent="0.15"/>
    <row r="374" ht="14" customHeight="1" x14ac:dyDescent="0.15"/>
    <row r="375" ht="14" customHeight="1" x14ac:dyDescent="0.15"/>
    <row r="376" ht="14" customHeight="1" x14ac:dyDescent="0.15"/>
    <row r="377" ht="14" customHeight="1" x14ac:dyDescent="0.15"/>
    <row r="378" ht="14" customHeight="1" x14ac:dyDescent="0.15"/>
    <row r="379" ht="14" customHeight="1" x14ac:dyDescent="0.15"/>
    <row r="380" ht="14" customHeight="1" x14ac:dyDescent="0.15"/>
    <row r="381" ht="14" customHeight="1" x14ac:dyDescent="0.15"/>
    <row r="382" ht="14" customHeight="1" x14ac:dyDescent="0.15"/>
    <row r="383" ht="14" customHeight="1" x14ac:dyDescent="0.15"/>
    <row r="384" ht="14" customHeight="1" x14ac:dyDescent="0.15"/>
    <row r="385" ht="14" customHeight="1" x14ac:dyDescent="0.15"/>
    <row r="386" ht="14" customHeight="1" x14ac:dyDescent="0.15"/>
    <row r="387" ht="14" customHeight="1" x14ac:dyDescent="0.15"/>
    <row r="388" ht="14" customHeight="1" x14ac:dyDescent="0.15"/>
    <row r="389" ht="14" customHeight="1" x14ac:dyDescent="0.15"/>
    <row r="390" ht="14" customHeight="1" x14ac:dyDescent="0.15"/>
    <row r="391" ht="14" customHeight="1" x14ac:dyDescent="0.15"/>
    <row r="392" ht="14" customHeight="1" x14ac:dyDescent="0.15"/>
    <row r="393" ht="14" customHeight="1" x14ac:dyDescent="0.15"/>
    <row r="394" ht="14" customHeight="1" x14ac:dyDescent="0.15"/>
    <row r="395" ht="14" customHeight="1" x14ac:dyDescent="0.15"/>
    <row r="396" ht="14" customHeight="1" x14ac:dyDescent="0.15"/>
    <row r="397" ht="14" customHeight="1" x14ac:dyDescent="0.15"/>
    <row r="398" ht="14" customHeight="1" x14ac:dyDescent="0.15"/>
    <row r="399" ht="14" customHeight="1" x14ac:dyDescent="0.15"/>
    <row r="400" ht="14" customHeight="1" x14ac:dyDescent="0.15"/>
    <row r="401" ht="14" customHeight="1" x14ac:dyDescent="0.15"/>
    <row r="402" ht="14" customHeight="1" x14ac:dyDescent="0.15"/>
    <row r="403" ht="14" customHeight="1" x14ac:dyDescent="0.15"/>
    <row r="404" ht="14" customHeight="1" x14ac:dyDescent="0.15"/>
    <row r="405" ht="14" customHeight="1" x14ac:dyDescent="0.15"/>
    <row r="406" ht="14" customHeight="1" x14ac:dyDescent="0.15"/>
    <row r="407" ht="14" customHeight="1" x14ac:dyDescent="0.15"/>
    <row r="408" ht="14" customHeight="1" x14ac:dyDescent="0.15"/>
    <row r="409" ht="14" customHeight="1" x14ac:dyDescent="0.15"/>
    <row r="410" ht="14" customHeight="1" x14ac:dyDescent="0.15"/>
    <row r="411" ht="14" customHeight="1" x14ac:dyDescent="0.15"/>
    <row r="412" ht="14" customHeight="1" x14ac:dyDescent="0.15"/>
    <row r="413" ht="14" customHeight="1" x14ac:dyDescent="0.15"/>
    <row r="414" ht="14" customHeight="1" x14ac:dyDescent="0.15"/>
    <row r="415" ht="14" customHeight="1" x14ac:dyDescent="0.15"/>
    <row r="416" ht="14" customHeight="1" x14ac:dyDescent="0.15"/>
    <row r="417" ht="14" customHeight="1" x14ac:dyDescent="0.15"/>
    <row r="418" ht="14" customHeight="1" x14ac:dyDescent="0.15"/>
    <row r="419" ht="14" customHeight="1" x14ac:dyDescent="0.15"/>
    <row r="420" ht="14" customHeight="1" x14ac:dyDescent="0.15"/>
    <row r="421" ht="14" customHeight="1" x14ac:dyDescent="0.15"/>
    <row r="422" ht="14" customHeight="1" x14ac:dyDescent="0.15"/>
    <row r="423" ht="14" customHeight="1" x14ac:dyDescent="0.15"/>
    <row r="424" ht="14" customHeight="1" x14ac:dyDescent="0.15"/>
    <row r="425" ht="14" customHeight="1" x14ac:dyDescent="0.15"/>
    <row r="426" ht="14" customHeight="1" x14ac:dyDescent="0.15"/>
    <row r="427" ht="14" customHeight="1" x14ac:dyDescent="0.15"/>
    <row r="428" ht="14" customHeight="1" x14ac:dyDescent="0.15"/>
    <row r="429" ht="14" customHeight="1" x14ac:dyDescent="0.15"/>
    <row r="430" ht="14" customHeight="1" x14ac:dyDescent="0.15"/>
    <row r="431" ht="14" customHeight="1" x14ac:dyDescent="0.15"/>
    <row r="432" ht="14" customHeight="1" x14ac:dyDescent="0.15"/>
    <row r="433" ht="14" customHeight="1" x14ac:dyDescent="0.15"/>
    <row r="434" ht="14" customHeight="1" x14ac:dyDescent="0.15"/>
    <row r="435" ht="14" customHeight="1" x14ac:dyDescent="0.15"/>
    <row r="436" ht="14" customHeight="1" x14ac:dyDescent="0.15"/>
    <row r="437" ht="14" customHeight="1" x14ac:dyDescent="0.15"/>
    <row r="438" ht="14" customHeight="1" x14ac:dyDescent="0.15"/>
    <row r="439" ht="14" customHeight="1" x14ac:dyDescent="0.15"/>
    <row r="440" ht="14" customHeight="1" x14ac:dyDescent="0.15"/>
    <row r="441" ht="14" customHeight="1" x14ac:dyDescent="0.15"/>
    <row r="442" ht="14" customHeight="1" x14ac:dyDescent="0.15"/>
    <row r="443" ht="14" customHeight="1" x14ac:dyDescent="0.15"/>
    <row r="444" ht="14" customHeight="1" x14ac:dyDescent="0.15"/>
    <row r="445" ht="14" customHeight="1" x14ac:dyDescent="0.15"/>
    <row r="446" ht="14" customHeight="1" x14ac:dyDescent="0.15"/>
    <row r="447" ht="14" customHeight="1" x14ac:dyDescent="0.15"/>
    <row r="448" ht="14" customHeight="1" x14ac:dyDescent="0.15"/>
    <row r="449" ht="14" customHeight="1" x14ac:dyDescent="0.15"/>
    <row r="450" ht="14" customHeight="1" x14ac:dyDescent="0.15"/>
    <row r="451" ht="14" customHeight="1" x14ac:dyDescent="0.15"/>
    <row r="452" ht="14" customHeight="1" x14ac:dyDescent="0.15"/>
    <row r="453" ht="14" customHeight="1" x14ac:dyDescent="0.15"/>
    <row r="454" ht="14" customHeight="1" x14ac:dyDescent="0.15"/>
    <row r="455" ht="14" customHeight="1" x14ac:dyDescent="0.15"/>
    <row r="456" ht="14" customHeight="1" x14ac:dyDescent="0.15"/>
    <row r="457" ht="14" customHeight="1" x14ac:dyDescent="0.15"/>
    <row r="458" ht="14" customHeight="1" x14ac:dyDescent="0.15"/>
    <row r="459" ht="14" customHeight="1" x14ac:dyDescent="0.15"/>
    <row r="460" ht="14" customHeight="1" x14ac:dyDescent="0.15"/>
    <row r="461" ht="14" customHeight="1" x14ac:dyDescent="0.15"/>
    <row r="462" ht="14" customHeight="1" x14ac:dyDescent="0.15"/>
    <row r="463" ht="14" customHeight="1" x14ac:dyDescent="0.15"/>
    <row r="464" ht="14" customHeight="1" x14ac:dyDescent="0.15"/>
    <row r="465" ht="14" customHeight="1" x14ac:dyDescent="0.15"/>
    <row r="466" ht="14" customHeight="1" x14ac:dyDescent="0.15"/>
    <row r="467" ht="14" customHeight="1" x14ac:dyDescent="0.15"/>
    <row r="468" ht="14" customHeight="1" x14ac:dyDescent="0.15"/>
    <row r="469" ht="14" customHeight="1" x14ac:dyDescent="0.15"/>
    <row r="470" ht="14" customHeight="1" x14ac:dyDescent="0.15"/>
    <row r="471" ht="14" customHeight="1" x14ac:dyDescent="0.15"/>
    <row r="472" ht="14" customHeight="1" x14ac:dyDescent="0.15"/>
    <row r="473" ht="14" customHeight="1" x14ac:dyDescent="0.15"/>
    <row r="474" ht="14" customHeight="1" x14ac:dyDescent="0.15"/>
    <row r="475" ht="14" customHeight="1" x14ac:dyDescent="0.15"/>
    <row r="476" ht="14" customHeight="1" x14ac:dyDescent="0.15"/>
    <row r="477" ht="14" customHeight="1" x14ac:dyDescent="0.15"/>
    <row r="478" ht="14" customHeight="1" x14ac:dyDescent="0.15"/>
    <row r="479" ht="14" customHeight="1" x14ac:dyDescent="0.15"/>
    <row r="480" ht="14" customHeight="1" x14ac:dyDescent="0.15"/>
    <row r="481" ht="14" customHeight="1" x14ac:dyDescent="0.15"/>
    <row r="482" ht="14" customHeight="1" x14ac:dyDescent="0.15"/>
    <row r="483" ht="14" customHeight="1" x14ac:dyDescent="0.15"/>
    <row r="484" ht="14" customHeight="1" x14ac:dyDescent="0.15"/>
    <row r="485" ht="14" customHeight="1" x14ac:dyDescent="0.15"/>
    <row r="486" ht="14" customHeight="1" x14ac:dyDescent="0.15"/>
    <row r="487" ht="14" customHeight="1" x14ac:dyDescent="0.15"/>
    <row r="488" ht="14" customHeight="1" x14ac:dyDescent="0.15"/>
    <row r="489" ht="14" customHeight="1" x14ac:dyDescent="0.15"/>
    <row r="490" ht="14" customHeight="1" x14ac:dyDescent="0.15"/>
    <row r="491" ht="14" customHeight="1" x14ac:dyDescent="0.15"/>
    <row r="492" ht="14" customHeight="1" x14ac:dyDescent="0.15"/>
    <row r="493" ht="14" customHeight="1" x14ac:dyDescent="0.15"/>
    <row r="494" ht="14" customHeight="1" x14ac:dyDescent="0.15"/>
    <row r="495" ht="14" customHeight="1" x14ac:dyDescent="0.15"/>
    <row r="496" ht="14" customHeight="1" x14ac:dyDescent="0.15"/>
    <row r="497" ht="14" customHeight="1" x14ac:dyDescent="0.15"/>
    <row r="498" ht="14" customHeight="1" x14ac:dyDescent="0.15"/>
    <row r="499" ht="14" customHeight="1" x14ac:dyDescent="0.15"/>
    <row r="500" ht="14" customHeight="1" x14ac:dyDescent="0.15"/>
    <row r="501" ht="14" customHeight="1" x14ac:dyDescent="0.15"/>
    <row r="502" ht="14" customHeight="1" x14ac:dyDescent="0.15"/>
    <row r="503" ht="14" customHeight="1" x14ac:dyDescent="0.15"/>
    <row r="504" ht="14" customHeight="1" x14ac:dyDescent="0.15"/>
    <row r="505" ht="14" customHeight="1" x14ac:dyDescent="0.15"/>
    <row r="506" ht="14" customHeight="1" x14ac:dyDescent="0.15"/>
    <row r="507" ht="14" customHeight="1" x14ac:dyDescent="0.15"/>
    <row r="508" ht="14" customHeight="1" x14ac:dyDescent="0.15"/>
    <row r="509" ht="14" customHeight="1" x14ac:dyDescent="0.15"/>
    <row r="510" ht="14" customHeight="1" x14ac:dyDescent="0.15"/>
    <row r="511" ht="14" customHeight="1" x14ac:dyDescent="0.15"/>
    <row r="512" ht="14" customHeight="1" x14ac:dyDescent="0.15"/>
    <row r="513" ht="14" customHeight="1" x14ac:dyDescent="0.15"/>
    <row r="514" ht="14" customHeight="1" x14ac:dyDescent="0.15"/>
    <row r="515" ht="14" customHeight="1" x14ac:dyDescent="0.15"/>
    <row r="516" ht="14" customHeight="1" x14ac:dyDescent="0.15"/>
    <row r="517" ht="14" customHeight="1" x14ac:dyDescent="0.15"/>
    <row r="518" ht="14" customHeight="1" x14ac:dyDescent="0.15"/>
    <row r="519" ht="14" customHeight="1" x14ac:dyDescent="0.15"/>
    <row r="520" ht="14" customHeight="1" x14ac:dyDescent="0.15"/>
    <row r="521" ht="14" customHeight="1" x14ac:dyDescent="0.15"/>
    <row r="522" ht="14" customHeight="1" x14ac:dyDescent="0.15"/>
    <row r="523" ht="14" customHeight="1" x14ac:dyDescent="0.15"/>
    <row r="524" ht="14" customHeight="1" x14ac:dyDescent="0.15"/>
    <row r="525" ht="14" customHeight="1" x14ac:dyDescent="0.15"/>
    <row r="526" ht="14" customHeight="1" x14ac:dyDescent="0.15"/>
    <row r="527" ht="14" customHeight="1" x14ac:dyDescent="0.15"/>
    <row r="528" ht="14" customHeight="1" x14ac:dyDescent="0.15"/>
    <row r="529" ht="14" customHeight="1" x14ac:dyDescent="0.15"/>
    <row r="530" ht="14" customHeight="1" x14ac:dyDescent="0.15"/>
    <row r="531" ht="14" customHeight="1" x14ac:dyDescent="0.15"/>
    <row r="532" ht="14" customHeight="1" x14ac:dyDescent="0.15"/>
    <row r="533" ht="14" customHeight="1" x14ac:dyDescent="0.15"/>
    <row r="534" ht="14" customHeight="1" x14ac:dyDescent="0.15"/>
    <row r="535" ht="14" customHeight="1" x14ac:dyDescent="0.15"/>
    <row r="536" ht="14" customHeight="1" x14ac:dyDescent="0.15"/>
    <row r="537" ht="14" customHeight="1" x14ac:dyDescent="0.15"/>
    <row r="538" ht="14" customHeight="1" x14ac:dyDescent="0.15"/>
    <row r="539" ht="14" customHeight="1" x14ac:dyDescent="0.15"/>
    <row r="540" ht="14" customHeight="1" x14ac:dyDescent="0.15"/>
    <row r="541" ht="14" customHeight="1" x14ac:dyDescent="0.15"/>
    <row r="542" ht="14" customHeight="1" x14ac:dyDescent="0.15"/>
    <row r="543" ht="14" customHeight="1" x14ac:dyDescent="0.15"/>
    <row r="544" ht="14" customHeight="1" x14ac:dyDescent="0.15"/>
    <row r="545" ht="14" customHeight="1" x14ac:dyDescent="0.15"/>
    <row r="546" ht="14" customHeight="1" x14ac:dyDescent="0.15"/>
    <row r="547" ht="14" customHeight="1" x14ac:dyDescent="0.15"/>
    <row r="548" ht="14" customHeight="1" x14ac:dyDescent="0.15"/>
    <row r="549" ht="14" customHeight="1" x14ac:dyDescent="0.15"/>
    <row r="550" ht="14" customHeight="1" x14ac:dyDescent="0.15"/>
    <row r="551" ht="14" customHeight="1" x14ac:dyDescent="0.15"/>
    <row r="552" ht="14" customHeight="1" x14ac:dyDescent="0.15"/>
    <row r="553" ht="14" customHeight="1" x14ac:dyDescent="0.15"/>
    <row r="554" ht="14" customHeight="1" x14ac:dyDescent="0.15"/>
    <row r="555" ht="14" customHeight="1" x14ac:dyDescent="0.15"/>
    <row r="556" ht="14" customHeight="1" x14ac:dyDescent="0.15"/>
    <row r="557" ht="14" customHeight="1" x14ac:dyDescent="0.15"/>
    <row r="558" ht="14" customHeight="1" x14ac:dyDescent="0.15"/>
    <row r="559" ht="14" customHeight="1" x14ac:dyDescent="0.15"/>
    <row r="560" ht="14" customHeight="1" x14ac:dyDescent="0.15"/>
    <row r="561" ht="14" customHeight="1" x14ac:dyDescent="0.15"/>
    <row r="562" ht="14" customHeight="1" x14ac:dyDescent="0.15"/>
    <row r="563" ht="14" customHeight="1" x14ac:dyDescent="0.15"/>
    <row r="564" ht="14" customHeight="1" x14ac:dyDescent="0.15"/>
    <row r="565" ht="14" customHeight="1" x14ac:dyDescent="0.15"/>
    <row r="566" ht="14" customHeight="1" x14ac:dyDescent="0.15"/>
    <row r="567" ht="14" customHeight="1" x14ac:dyDescent="0.15"/>
    <row r="568" ht="14" customHeight="1" x14ac:dyDescent="0.15"/>
    <row r="569" ht="14" customHeight="1" x14ac:dyDescent="0.15"/>
    <row r="570" ht="14" customHeight="1" x14ac:dyDescent="0.15"/>
    <row r="571" ht="14" customHeight="1" x14ac:dyDescent="0.15"/>
    <row r="572" ht="14" customHeight="1" x14ac:dyDescent="0.15"/>
    <row r="573" ht="14" customHeight="1" x14ac:dyDescent="0.15"/>
    <row r="574" ht="14" customHeight="1" x14ac:dyDescent="0.15"/>
    <row r="575" ht="14" customHeight="1" x14ac:dyDescent="0.15"/>
    <row r="576" ht="14" customHeight="1" x14ac:dyDescent="0.15"/>
    <row r="577" ht="14" customHeight="1" x14ac:dyDescent="0.15"/>
    <row r="578" ht="14" customHeight="1" x14ac:dyDescent="0.15"/>
    <row r="579" ht="14" customHeight="1" x14ac:dyDescent="0.15"/>
    <row r="580" ht="14" customHeight="1" x14ac:dyDescent="0.15"/>
    <row r="581" ht="14" customHeight="1" x14ac:dyDescent="0.15"/>
    <row r="582" ht="14" customHeight="1" x14ac:dyDescent="0.15"/>
    <row r="583" ht="14" customHeight="1" x14ac:dyDescent="0.15"/>
    <row r="584" ht="14" customHeight="1" x14ac:dyDescent="0.15"/>
    <row r="585" ht="14" customHeight="1" x14ac:dyDescent="0.15"/>
    <row r="586" ht="14" customHeight="1" x14ac:dyDescent="0.15"/>
    <row r="587" ht="14" customHeight="1" x14ac:dyDescent="0.15"/>
    <row r="588" ht="14" customHeight="1" x14ac:dyDescent="0.15"/>
    <row r="589" ht="14" customHeight="1" x14ac:dyDescent="0.15"/>
    <row r="590" ht="14" customHeight="1" x14ac:dyDescent="0.15"/>
    <row r="591" ht="14" customHeight="1" x14ac:dyDescent="0.15"/>
    <row r="592" ht="14" customHeight="1" x14ac:dyDescent="0.15"/>
    <row r="593" ht="14" customHeight="1" x14ac:dyDescent="0.15"/>
    <row r="594" ht="14" customHeight="1" x14ac:dyDescent="0.15"/>
    <row r="595" ht="14" customHeight="1" x14ac:dyDescent="0.15"/>
    <row r="596" ht="14" customHeight="1" x14ac:dyDescent="0.15"/>
    <row r="597" ht="14" customHeight="1" x14ac:dyDescent="0.15"/>
    <row r="598" ht="14" customHeight="1" x14ac:dyDescent="0.15"/>
    <row r="599" ht="14" customHeight="1" x14ac:dyDescent="0.15"/>
    <row r="600" ht="14" customHeight="1" x14ac:dyDescent="0.15"/>
    <row r="601" ht="14" customHeight="1" x14ac:dyDescent="0.15"/>
    <row r="602" ht="14" customHeight="1" x14ac:dyDescent="0.15"/>
    <row r="603" ht="14" customHeight="1" x14ac:dyDescent="0.15"/>
    <row r="604" ht="14" customHeight="1" x14ac:dyDescent="0.15"/>
    <row r="605" ht="14" customHeight="1" x14ac:dyDescent="0.15"/>
    <row r="606" ht="14" customHeight="1" x14ac:dyDescent="0.15"/>
    <row r="607" ht="14" customHeight="1" x14ac:dyDescent="0.15"/>
    <row r="608" ht="14" customHeight="1" x14ac:dyDescent="0.15"/>
    <row r="609" ht="14" customHeight="1" x14ac:dyDescent="0.15"/>
    <row r="610" ht="14" customHeight="1" x14ac:dyDescent="0.15"/>
    <row r="611" ht="14" customHeight="1" x14ac:dyDescent="0.15"/>
    <row r="612" ht="14" customHeight="1" x14ac:dyDescent="0.15"/>
    <row r="613" ht="14" customHeight="1" x14ac:dyDescent="0.15"/>
    <row r="614" ht="14" customHeight="1" x14ac:dyDescent="0.15"/>
    <row r="615" ht="14" customHeight="1" x14ac:dyDescent="0.15"/>
    <row r="616" ht="14" customHeight="1" x14ac:dyDescent="0.15"/>
    <row r="617" ht="14" customHeight="1" x14ac:dyDescent="0.15"/>
    <row r="618" ht="14" customHeight="1" x14ac:dyDescent="0.15"/>
    <row r="619" ht="14" customHeight="1" x14ac:dyDescent="0.15"/>
    <row r="620" ht="14" customHeight="1" x14ac:dyDescent="0.15"/>
    <row r="621" ht="14" customHeight="1" x14ac:dyDescent="0.15"/>
    <row r="622" ht="14" customHeight="1" x14ac:dyDescent="0.15"/>
    <row r="623" ht="14" customHeight="1" x14ac:dyDescent="0.15"/>
    <row r="624" ht="14" customHeight="1" x14ac:dyDescent="0.15"/>
    <row r="625" ht="14" customHeight="1" x14ac:dyDescent="0.15"/>
    <row r="626" ht="14" customHeight="1" x14ac:dyDescent="0.15"/>
    <row r="627" ht="14" customHeight="1" x14ac:dyDescent="0.15"/>
    <row r="628" ht="14" customHeight="1" x14ac:dyDescent="0.15"/>
    <row r="629" ht="14" customHeight="1" x14ac:dyDescent="0.15"/>
    <row r="630" ht="14" customHeight="1" x14ac:dyDescent="0.15"/>
    <row r="631" ht="14" customHeight="1" x14ac:dyDescent="0.15"/>
    <row r="632" ht="14" customHeight="1" x14ac:dyDescent="0.15"/>
    <row r="633" ht="14" customHeight="1" x14ac:dyDescent="0.15"/>
    <row r="634" ht="14" customHeight="1" x14ac:dyDescent="0.15"/>
    <row r="635" ht="14" customHeight="1" x14ac:dyDescent="0.15"/>
    <row r="636" ht="14" customHeight="1" x14ac:dyDescent="0.15"/>
    <row r="637" ht="14" customHeight="1" x14ac:dyDescent="0.15"/>
    <row r="638" ht="14" customHeight="1" x14ac:dyDescent="0.15"/>
    <row r="639" ht="14" customHeight="1" x14ac:dyDescent="0.15"/>
    <row r="640" ht="14" customHeight="1" x14ac:dyDescent="0.15"/>
    <row r="641" ht="14" customHeight="1" x14ac:dyDescent="0.15"/>
    <row r="642" ht="14" customHeight="1" x14ac:dyDescent="0.15"/>
    <row r="643" ht="14" customHeight="1" x14ac:dyDescent="0.15"/>
    <row r="644" ht="14" customHeight="1" x14ac:dyDescent="0.15"/>
    <row r="645" ht="14" customHeight="1" x14ac:dyDescent="0.15"/>
    <row r="646" ht="14" customHeight="1" x14ac:dyDescent="0.15"/>
    <row r="647" ht="14" customHeight="1" x14ac:dyDescent="0.15"/>
    <row r="648" ht="14" customHeight="1" x14ac:dyDescent="0.15"/>
    <row r="649" ht="14" customHeight="1" x14ac:dyDescent="0.15"/>
    <row r="650" ht="14" customHeight="1" x14ac:dyDescent="0.15"/>
    <row r="651" ht="14" customHeight="1" x14ac:dyDescent="0.15"/>
    <row r="652" ht="14" customHeight="1" x14ac:dyDescent="0.15"/>
    <row r="653" ht="14" customHeight="1" x14ac:dyDescent="0.15"/>
    <row r="654" ht="14" customHeight="1" x14ac:dyDescent="0.15"/>
    <row r="655" ht="14" customHeight="1" x14ac:dyDescent="0.15"/>
    <row r="656" ht="14" customHeight="1" x14ac:dyDescent="0.15"/>
    <row r="657" ht="14" customHeight="1" x14ac:dyDescent="0.15"/>
    <row r="658" ht="14" customHeight="1" x14ac:dyDescent="0.15"/>
    <row r="659" ht="14" customHeight="1" x14ac:dyDescent="0.15"/>
    <row r="660" ht="14" customHeight="1" x14ac:dyDescent="0.15"/>
    <row r="661" ht="14" customHeight="1" x14ac:dyDescent="0.15"/>
    <row r="662" ht="14" customHeight="1" x14ac:dyDescent="0.15"/>
    <row r="663" ht="14" customHeight="1" x14ac:dyDescent="0.15"/>
    <row r="664" ht="14" customHeight="1" x14ac:dyDescent="0.15"/>
    <row r="665" ht="14" customHeight="1" x14ac:dyDescent="0.15"/>
    <row r="666" ht="14" customHeight="1" x14ac:dyDescent="0.15"/>
    <row r="667" ht="14" customHeight="1" x14ac:dyDescent="0.15"/>
    <row r="668" ht="14" customHeight="1" x14ac:dyDescent="0.15"/>
    <row r="669" ht="14" customHeight="1" x14ac:dyDescent="0.15"/>
    <row r="670" ht="14" customHeight="1" x14ac:dyDescent="0.15"/>
    <row r="671" ht="14" customHeight="1" x14ac:dyDescent="0.15"/>
    <row r="672" ht="14" customHeight="1" x14ac:dyDescent="0.15"/>
    <row r="673" ht="14" customHeight="1" x14ac:dyDescent="0.15"/>
    <row r="674" ht="14" customHeight="1" x14ac:dyDescent="0.15"/>
    <row r="675" ht="14" customHeight="1" x14ac:dyDescent="0.15"/>
    <row r="676" ht="14" customHeight="1" x14ac:dyDescent="0.15"/>
    <row r="677" ht="14" customHeight="1" x14ac:dyDescent="0.15"/>
    <row r="678" ht="14" customHeight="1" x14ac:dyDescent="0.15"/>
    <row r="679" ht="14" customHeight="1" x14ac:dyDescent="0.15"/>
    <row r="680" ht="14" customHeight="1" x14ac:dyDescent="0.15"/>
    <row r="681" ht="14" customHeight="1" x14ac:dyDescent="0.15"/>
    <row r="682" ht="14" customHeight="1" x14ac:dyDescent="0.15"/>
    <row r="683" ht="14" customHeight="1" x14ac:dyDescent="0.15"/>
    <row r="684" ht="14" customHeight="1" x14ac:dyDescent="0.15"/>
    <row r="685" ht="14" customHeight="1" x14ac:dyDescent="0.15"/>
    <row r="686" ht="14" customHeight="1" x14ac:dyDescent="0.15"/>
    <row r="687" ht="14" customHeight="1" x14ac:dyDescent="0.15"/>
    <row r="688" ht="14" customHeight="1" x14ac:dyDescent="0.15"/>
    <row r="689" ht="14" customHeight="1" x14ac:dyDescent="0.15"/>
    <row r="690" ht="14" customHeight="1" x14ac:dyDescent="0.15"/>
    <row r="691" ht="14" customHeight="1" x14ac:dyDescent="0.15"/>
    <row r="692" ht="14" customHeight="1" x14ac:dyDescent="0.15"/>
    <row r="693" ht="14" customHeight="1" x14ac:dyDescent="0.15"/>
    <row r="694" ht="14" customHeight="1" x14ac:dyDescent="0.15"/>
    <row r="695" ht="14" customHeight="1" x14ac:dyDescent="0.15"/>
    <row r="696" ht="14" customHeight="1" x14ac:dyDescent="0.15"/>
    <row r="697" ht="14" customHeight="1" x14ac:dyDescent="0.15"/>
    <row r="698" ht="14" customHeight="1" x14ac:dyDescent="0.15"/>
    <row r="699" ht="14" customHeight="1" x14ac:dyDescent="0.15"/>
    <row r="700" ht="14" customHeight="1" x14ac:dyDescent="0.15"/>
    <row r="701" ht="14" customHeight="1" x14ac:dyDescent="0.15"/>
    <row r="702" ht="14" customHeight="1" x14ac:dyDescent="0.15"/>
    <row r="703" ht="14" customHeight="1" x14ac:dyDescent="0.15"/>
    <row r="704" ht="14" customHeight="1" x14ac:dyDescent="0.15"/>
    <row r="705" ht="14" customHeight="1" x14ac:dyDescent="0.15"/>
    <row r="706" ht="14" customHeight="1" x14ac:dyDescent="0.15"/>
    <row r="707" ht="14" customHeight="1" x14ac:dyDescent="0.15"/>
    <row r="708" ht="14" customHeight="1" x14ac:dyDescent="0.15"/>
    <row r="709" ht="14" customHeight="1" x14ac:dyDescent="0.15"/>
    <row r="710" ht="14" customHeight="1" x14ac:dyDescent="0.15"/>
    <row r="711" ht="14" customHeight="1" x14ac:dyDescent="0.15"/>
    <row r="712" ht="14" customHeight="1" x14ac:dyDescent="0.15"/>
    <row r="713" ht="14" customHeight="1" x14ac:dyDescent="0.15"/>
    <row r="714" ht="14" customHeight="1" x14ac:dyDescent="0.15"/>
    <row r="715" ht="14" customHeight="1" x14ac:dyDescent="0.15"/>
    <row r="716" ht="14" customHeight="1" x14ac:dyDescent="0.15"/>
    <row r="717" ht="14" customHeight="1" x14ac:dyDescent="0.15"/>
    <row r="718" ht="14" customHeight="1" x14ac:dyDescent="0.15"/>
    <row r="719" ht="14" customHeight="1" x14ac:dyDescent="0.15"/>
    <row r="720" ht="14" customHeight="1" x14ac:dyDescent="0.15"/>
    <row r="721" ht="14" customHeight="1" x14ac:dyDescent="0.15"/>
    <row r="722" ht="14" customHeight="1" x14ac:dyDescent="0.15"/>
    <row r="723" ht="14" customHeight="1" x14ac:dyDescent="0.15"/>
    <row r="724" ht="14" customHeight="1" x14ac:dyDescent="0.15"/>
    <row r="725" ht="14" customHeight="1" x14ac:dyDescent="0.15"/>
    <row r="726" ht="14" customHeight="1" x14ac:dyDescent="0.15"/>
    <row r="727" ht="14" customHeight="1" x14ac:dyDescent="0.15"/>
    <row r="728" ht="14" customHeight="1" x14ac:dyDescent="0.15"/>
    <row r="729" ht="14" customHeight="1" x14ac:dyDescent="0.15"/>
    <row r="730" ht="14" customHeight="1" x14ac:dyDescent="0.15"/>
    <row r="731" ht="14" customHeight="1" x14ac:dyDescent="0.15"/>
    <row r="732" ht="14" customHeight="1" x14ac:dyDescent="0.15"/>
    <row r="733" ht="14" customHeight="1" x14ac:dyDescent="0.15"/>
    <row r="734" ht="14" customHeight="1" x14ac:dyDescent="0.15"/>
    <row r="735" ht="14" customHeight="1" x14ac:dyDescent="0.15"/>
    <row r="736" ht="14" customHeight="1" x14ac:dyDescent="0.15"/>
    <row r="737" ht="14" customHeight="1" x14ac:dyDescent="0.15"/>
    <row r="738" ht="14" customHeight="1" x14ac:dyDescent="0.15"/>
    <row r="739" ht="14" customHeight="1" x14ac:dyDescent="0.15"/>
    <row r="740" ht="14" customHeight="1" x14ac:dyDescent="0.15"/>
    <row r="741" ht="14" customHeight="1" x14ac:dyDescent="0.15"/>
    <row r="742" ht="14" customHeight="1" x14ac:dyDescent="0.15"/>
    <row r="743" ht="14" customHeight="1" x14ac:dyDescent="0.15"/>
    <row r="744" ht="14" customHeight="1" x14ac:dyDescent="0.15"/>
    <row r="745" ht="14" customHeight="1" x14ac:dyDescent="0.15"/>
    <row r="746" ht="14" customHeight="1" x14ac:dyDescent="0.15"/>
    <row r="747" ht="14" customHeight="1" x14ac:dyDescent="0.15"/>
    <row r="748" ht="14" customHeight="1" x14ac:dyDescent="0.15"/>
    <row r="749" ht="14" customHeight="1" x14ac:dyDescent="0.15"/>
    <row r="750" ht="14" customHeight="1" x14ac:dyDescent="0.15"/>
    <row r="751" ht="14" customHeight="1" x14ac:dyDescent="0.15"/>
    <row r="752" ht="14" customHeight="1" x14ac:dyDescent="0.15"/>
    <row r="753" ht="14" customHeight="1" x14ac:dyDescent="0.15"/>
    <row r="754" ht="14" customHeight="1" x14ac:dyDescent="0.15"/>
    <row r="755" ht="14" customHeight="1" x14ac:dyDescent="0.15"/>
    <row r="756" ht="14" customHeight="1" x14ac:dyDescent="0.15"/>
    <row r="757" ht="14" customHeight="1" x14ac:dyDescent="0.15"/>
    <row r="758" ht="14" customHeight="1" x14ac:dyDescent="0.15"/>
    <row r="759" ht="14" customHeight="1" x14ac:dyDescent="0.15"/>
    <row r="760" ht="14" customHeight="1" x14ac:dyDescent="0.15"/>
    <row r="761" ht="14" customHeight="1" x14ac:dyDescent="0.15"/>
    <row r="762" ht="14" customHeight="1" x14ac:dyDescent="0.15"/>
    <row r="763" ht="14" customHeight="1" x14ac:dyDescent="0.15"/>
    <row r="764" ht="14" customHeight="1" x14ac:dyDescent="0.15"/>
    <row r="765" ht="14" customHeight="1" x14ac:dyDescent="0.15"/>
    <row r="766" ht="14" customHeight="1" x14ac:dyDescent="0.15"/>
    <row r="767" ht="14" customHeight="1" x14ac:dyDescent="0.15"/>
    <row r="768" ht="14" customHeight="1" x14ac:dyDescent="0.15"/>
    <row r="769" ht="14" customHeight="1" x14ac:dyDescent="0.15"/>
    <row r="770" ht="14" customHeight="1" x14ac:dyDescent="0.15"/>
    <row r="771" ht="14" customHeight="1" x14ac:dyDescent="0.15"/>
    <row r="772" ht="14" customHeight="1" x14ac:dyDescent="0.15"/>
    <row r="773" ht="14" customHeight="1" x14ac:dyDescent="0.15"/>
    <row r="774" ht="14" customHeight="1" x14ac:dyDescent="0.15"/>
    <row r="775" ht="14" customHeight="1" x14ac:dyDescent="0.15"/>
    <row r="776" ht="14" customHeight="1" x14ac:dyDescent="0.15"/>
    <row r="777" ht="14" customHeight="1" x14ac:dyDescent="0.15"/>
    <row r="778" ht="14" customHeight="1" x14ac:dyDescent="0.15"/>
    <row r="779" ht="14" customHeight="1" x14ac:dyDescent="0.15"/>
    <row r="780" ht="14" customHeight="1" x14ac:dyDescent="0.15"/>
    <row r="781" ht="14" customHeight="1" x14ac:dyDescent="0.15"/>
    <row r="782" ht="14" customHeight="1" x14ac:dyDescent="0.15"/>
    <row r="783" ht="14" customHeight="1" x14ac:dyDescent="0.15"/>
    <row r="784" ht="14" customHeight="1" x14ac:dyDescent="0.15"/>
    <row r="785" ht="14" customHeight="1" x14ac:dyDescent="0.15"/>
    <row r="786" ht="14" customHeight="1" x14ac:dyDescent="0.15"/>
    <row r="787" ht="14" customHeight="1" x14ac:dyDescent="0.15"/>
    <row r="788" ht="14" customHeight="1" x14ac:dyDescent="0.15"/>
    <row r="789" ht="14" customHeight="1" x14ac:dyDescent="0.15"/>
    <row r="790" ht="14" customHeight="1" x14ac:dyDescent="0.15"/>
    <row r="791" ht="14" customHeight="1" x14ac:dyDescent="0.15"/>
    <row r="792" ht="14" customHeight="1" x14ac:dyDescent="0.15"/>
    <row r="793" ht="14" customHeight="1" x14ac:dyDescent="0.15"/>
    <row r="794" ht="14" customHeight="1" x14ac:dyDescent="0.15"/>
    <row r="795" ht="14" customHeight="1" x14ac:dyDescent="0.15"/>
    <row r="796" ht="14" customHeight="1" x14ac:dyDescent="0.15"/>
    <row r="797" ht="14" customHeight="1" x14ac:dyDescent="0.15"/>
    <row r="798" ht="14" customHeight="1" x14ac:dyDescent="0.15"/>
    <row r="799" ht="14" customHeight="1" x14ac:dyDescent="0.15"/>
    <row r="800" ht="14" customHeight="1" x14ac:dyDescent="0.15"/>
    <row r="801" ht="14" customHeight="1" x14ac:dyDescent="0.15"/>
    <row r="802" ht="14" customHeight="1" x14ac:dyDescent="0.15"/>
    <row r="803" ht="14" customHeight="1" x14ac:dyDescent="0.15"/>
    <row r="804" ht="14" customHeight="1" x14ac:dyDescent="0.15"/>
    <row r="805" ht="14" customHeight="1" x14ac:dyDescent="0.15"/>
    <row r="806" ht="14" customHeight="1" x14ac:dyDescent="0.15"/>
    <row r="807" ht="14" customHeight="1" x14ac:dyDescent="0.15"/>
    <row r="808" ht="14" customHeight="1" x14ac:dyDescent="0.15"/>
    <row r="809" ht="14" customHeight="1" x14ac:dyDescent="0.15"/>
    <row r="810" ht="14" customHeight="1" x14ac:dyDescent="0.15"/>
    <row r="811" ht="14" customHeight="1" x14ac:dyDescent="0.15"/>
    <row r="812" ht="14" customHeight="1" x14ac:dyDescent="0.15"/>
    <row r="813" ht="14" customHeight="1" x14ac:dyDescent="0.15"/>
    <row r="814" ht="14" customHeight="1" x14ac:dyDescent="0.15"/>
    <row r="815" ht="14" customHeight="1" x14ac:dyDescent="0.15"/>
    <row r="816" ht="14" customHeight="1" x14ac:dyDescent="0.15"/>
    <row r="817" ht="14" customHeight="1" x14ac:dyDescent="0.15"/>
    <row r="818" ht="14" customHeight="1" x14ac:dyDescent="0.15"/>
    <row r="819" ht="14" customHeight="1" x14ac:dyDescent="0.15"/>
    <row r="820" ht="14" customHeight="1" x14ac:dyDescent="0.15"/>
    <row r="821" ht="14" customHeight="1" x14ac:dyDescent="0.15"/>
    <row r="822" ht="14" customHeight="1" x14ac:dyDescent="0.15"/>
    <row r="823" ht="14" customHeight="1" x14ac:dyDescent="0.15"/>
    <row r="824" ht="14" customHeight="1" x14ac:dyDescent="0.15"/>
    <row r="825" ht="14" customHeight="1" x14ac:dyDescent="0.15"/>
    <row r="826" ht="14" customHeight="1" x14ac:dyDescent="0.15"/>
    <row r="827" ht="14" customHeight="1" x14ac:dyDescent="0.15"/>
    <row r="828" ht="14" customHeight="1" x14ac:dyDescent="0.15"/>
    <row r="829" ht="14" customHeight="1" x14ac:dyDescent="0.15"/>
    <row r="830" ht="14" customHeight="1" x14ac:dyDescent="0.15"/>
    <row r="831" ht="14" customHeight="1" x14ac:dyDescent="0.15"/>
    <row r="832" ht="14" customHeight="1" x14ac:dyDescent="0.15"/>
    <row r="833" ht="14" customHeight="1" x14ac:dyDescent="0.15"/>
    <row r="834" ht="14" customHeight="1" x14ac:dyDescent="0.15"/>
    <row r="835" ht="14" customHeight="1" x14ac:dyDescent="0.15"/>
    <row r="836" ht="14" customHeight="1" x14ac:dyDescent="0.15"/>
    <row r="837" ht="14" customHeight="1" x14ac:dyDescent="0.15"/>
    <row r="838" ht="14" customHeight="1" x14ac:dyDescent="0.15"/>
    <row r="839" ht="14" customHeight="1" x14ac:dyDescent="0.15"/>
    <row r="840" ht="14" customHeight="1" x14ac:dyDescent="0.15"/>
    <row r="841" ht="14" customHeight="1" x14ac:dyDescent="0.15"/>
    <row r="842" ht="14" customHeight="1" x14ac:dyDescent="0.15"/>
    <row r="843" ht="14" customHeight="1" x14ac:dyDescent="0.15"/>
    <row r="844" ht="14" customHeight="1" x14ac:dyDescent="0.15"/>
    <row r="845" ht="14" customHeight="1" x14ac:dyDescent="0.15"/>
    <row r="846" ht="14" customHeight="1" x14ac:dyDescent="0.15"/>
    <row r="847" ht="14" customHeight="1" x14ac:dyDescent="0.15"/>
    <row r="848" ht="14" customHeight="1" x14ac:dyDescent="0.15"/>
    <row r="849" ht="14" customHeight="1" x14ac:dyDescent="0.15"/>
    <row r="850" ht="14" customHeight="1" x14ac:dyDescent="0.15"/>
    <row r="851" ht="14" customHeight="1" x14ac:dyDescent="0.15"/>
    <row r="852" ht="14" customHeight="1" x14ac:dyDescent="0.15"/>
    <row r="853" ht="14" customHeight="1" x14ac:dyDescent="0.15"/>
    <row r="854" ht="14" customHeight="1" x14ac:dyDescent="0.15"/>
    <row r="855" ht="14" customHeight="1" x14ac:dyDescent="0.15"/>
    <row r="856" ht="14" customHeight="1" x14ac:dyDescent="0.15"/>
    <row r="857" ht="14" customHeight="1" x14ac:dyDescent="0.15"/>
    <row r="858" ht="14" customHeight="1" x14ac:dyDescent="0.15"/>
    <row r="859" ht="14" customHeight="1" x14ac:dyDescent="0.15"/>
    <row r="860" ht="14" customHeight="1" x14ac:dyDescent="0.15"/>
    <row r="861" ht="14" customHeight="1" x14ac:dyDescent="0.15"/>
    <row r="862" ht="14" customHeight="1" x14ac:dyDescent="0.15"/>
    <row r="863" ht="14" customHeight="1" x14ac:dyDescent="0.15"/>
    <row r="864" ht="14" customHeight="1" x14ac:dyDescent="0.15"/>
    <row r="865" ht="14" customHeight="1" x14ac:dyDescent="0.15"/>
    <row r="866" ht="14" customHeight="1" x14ac:dyDescent="0.15"/>
    <row r="867" ht="14" customHeight="1" x14ac:dyDescent="0.15"/>
    <row r="868" ht="14" customHeight="1" x14ac:dyDescent="0.15"/>
    <row r="869" ht="14" customHeight="1" x14ac:dyDescent="0.15"/>
    <row r="870" ht="14" customHeight="1" x14ac:dyDescent="0.15"/>
    <row r="871" ht="14" customHeight="1" x14ac:dyDescent="0.15"/>
    <row r="872" ht="14" customHeight="1" x14ac:dyDescent="0.15"/>
    <row r="873" ht="14" customHeight="1" x14ac:dyDescent="0.15"/>
    <row r="874" ht="14" customHeight="1" x14ac:dyDescent="0.15"/>
    <row r="875" ht="14" customHeight="1" x14ac:dyDescent="0.15"/>
    <row r="876" ht="14" customHeight="1" x14ac:dyDescent="0.15"/>
    <row r="877" ht="14" customHeight="1" x14ac:dyDescent="0.15"/>
    <row r="878" ht="14" customHeight="1" x14ac:dyDescent="0.15"/>
    <row r="879" ht="14" customHeight="1" x14ac:dyDescent="0.15"/>
    <row r="880" ht="14" customHeight="1" x14ac:dyDescent="0.15"/>
    <row r="881" ht="14" customHeight="1" x14ac:dyDescent="0.15"/>
    <row r="882" ht="14" customHeight="1" x14ac:dyDescent="0.15"/>
    <row r="883" ht="14" customHeight="1" x14ac:dyDescent="0.15"/>
    <row r="884" ht="14" customHeight="1" x14ac:dyDescent="0.15"/>
    <row r="885" ht="14" customHeight="1" x14ac:dyDescent="0.15"/>
    <row r="886" ht="14" customHeight="1" x14ac:dyDescent="0.15"/>
    <row r="887" ht="14" customHeight="1" x14ac:dyDescent="0.15"/>
    <row r="888" ht="14" customHeight="1" x14ac:dyDescent="0.15"/>
    <row r="889" ht="14" customHeight="1" x14ac:dyDescent="0.15"/>
    <row r="890" ht="14" customHeight="1" x14ac:dyDescent="0.15"/>
    <row r="891" ht="14" customHeight="1" x14ac:dyDescent="0.15"/>
    <row r="892" ht="14" customHeight="1" x14ac:dyDescent="0.15"/>
    <row r="893" ht="14" customHeight="1" x14ac:dyDescent="0.15"/>
    <row r="894" ht="14" customHeight="1" x14ac:dyDescent="0.15"/>
    <row r="895" ht="14" customHeight="1" x14ac:dyDescent="0.15"/>
    <row r="896" ht="14" customHeight="1" x14ac:dyDescent="0.15"/>
    <row r="897" ht="14" customHeight="1" x14ac:dyDescent="0.15"/>
    <row r="898" ht="14" customHeight="1" x14ac:dyDescent="0.15"/>
    <row r="899" ht="14" customHeight="1" x14ac:dyDescent="0.15"/>
    <row r="900" ht="14" customHeight="1" x14ac:dyDescent="0.15"/>
    <row r="901" ht="14" customHeight="1" x14ac:dyDescent="0.15"/>
    <row r="902" ht="14" customHeight="1" x14ac:dyDescent="0.15"/>
    <row r="903" ht="14" customHeight="1" x14ac:dyDescent="0.15"/>
    <row r="904" ht="14" customHeight="1" x14ac:dyDescent="0.15"/>
    <row r="905" ht="14" customHeight="1" x14ac:dyDescent="0.15"/>
    <row r="906" ht="14" customHeight="1" x14ac:dyDescent="0.15"/>
    <row r="907" ht="14" customHeight="1" x14ac:dyDescent="0.15"/>
    <row r="908" ht="14" customHeight="1" x14ac:dyDescent="0.15"/>
    <row r="909" ht="14" customHeight="1" x14ac:dyDescent="0.15"/>
    <row r="910" ht="14" customHeight="1" x14ac:dyDescent="0.15"/>
    <row r="911" ht="14" customHeight="1" x14ac:dyDescent="0.15"/>
    <row r="912" ht="14" customHeight="1" x14ac:dyDescent="0.15"/>
    <row r="913" ht="14" customHeight="1" x14ac:dyDescent="0.15"/>
    <row r="914" ht="14" customHeight="1" x14ac:dyDescent="0.15"/>
    <row r="915" ht="14" customHeight="1" x14ac:dyDescent="0.15"/>
    <row r="916" ht="14" customHeight="1" x14ac:dyDescent="0.15"/>
    <row r="917" ht="14" customHeight="1" x14ac:dyDescent="0.15"/>
    <row r="918" ht="14" customHeight="1" x14ac:dyDescent="0.15"/>
    <row r="919" ht="14" customHeight="1" x14ac:dyDescent="0.15"/>
    <row r="920" ht="14" customHeight="1" x14ac:dyDescent="0.15"/>
    <row r="921" ht="14" customHeight="1" x14ac:dyDescent="0.15"/>
    <row r="922" ht="14" customHeight="1" x14ac:dyDescent="0.15"/>
    <row r="923" ht="14" customHeight="1" x14ac:dyDescent="0.15"/>
    <row r="924" ht="14" customHeight="1" x14ac:dyDescent="0.15"/>
    <row r="925" ht="14" customHeight="1" x14ac:dyDescent="0.15"/>
    <row r="926" ht="14" customHeight="1" x14ac:dyDescent="0.15"/>
    <row r="927" ht="14" customHeight="1" x14ac:dyDescent="0.15"/>
    <row r="928" ht="14" customHeight="1" x14ac:dyDescent="0.15"/>
    <row r="929" ht="14" customHeight="1" x14ac:dyDescent="0.15"/>
    <row r="930" ht="14" customHeight="1" x14ac:dyDescent="0.15"/>
    <row r="931" ht="14" customHeight="1" x14ac:dyDescent="0.15"/>
    <row r="932" ht="14" customHeight="1" x14ac:dyDescent="0.15"/>
    <row r="933" ht="14" customHeight="1" x14ac:dyDescent="0.15"/>
    <row r="934" ht="14" customHeight="1" x14ac:dyDescent="0.15"/>
    <row r="935" ht="14" customHeight="1" x14ac:dyDescent="0.15"/>
    <row r="936" ht="14" customHeight="1" x14ac:dyDescent="0.15"/>
    <row r="937" ht="14" customHeight="1" x14ac:dyDescent="0.15"/>
    <row r="938" ht="14" customHeight="1" x14ac:dyDescent="0.15"/>
    <row r="939" ht="14" customHeight="1" x14ac:dyDescent="0.15"/>
    <row r="940" ht="14" customHeight="1" x14ac:dyDescent="0.15"/>
    <row r="941" ht="14" customHeight="1" x14ac:dyDescent="0.15"/>
    <row r="942" ht="14" customHeight="1" x14ac:dyDescent="0.15"/>
    <row r="943" ht="14" customHeight="1" x14ac:dyDescent="0.15"/>
    <row r="944" ht="14" customHeight="1" x14ac:dyDescent="0.15"/>
    <row r="945" ht="14" customHeight="1" x14ac:dyDescent="0.15"/>
    <row r="946" ht="14" customHeight="1" x14ac:dyDescent="0.15"/>
    <row r="947" ht="14" customHeight="1" x14ac:dyDescent="0.15"/>
    <row r="948" ht="14" customHeight="1" x14ac:dyDescent="0.15"/>
    <row r="949" ht="14" customHeight="1" x14ac:dyDescent="0.15"/>
    <row r="950" ht="14" customHeight="1" x14ac:dyDescent="0.15"/>
    <row r="951" ht="14" customHeight="1" x14ac:dyDescent="0.15"/>
    <row r="952" ht="14" customHeight="1" x14ac:dyDescent="0.15"/>
    <row r="953" ht="14" customHeight="1" x14ac:dyDescent="0.15"/>
    <row r="954" ht="14" customHeight="1" x14ac:dyDescent="0.15"/>
    <row r="955" ht="14" customHeight="1" x14ac:dyDescent="0.15"/>
    <row r="956" ht="14" customHeight="1" x14ac:dyDescent="0.15"/>
    <row r="957" ht="14" customHeight="1" x14ac:dyDescent="0.15"/>
    <row r="958" ht="14" customHeight="1" x14ac:dyDescent="0.15"/>
    <row r="959" ht="14" customHeight="1" x14ac:dyDescent="0.15"/>
    <row r="960" ht="14" customHeight="1" x14ac:dyDescent="0.15"/>
    <row r="961" ht="14" customHeight="1" x14ac:dyDescent="0.15"/>
    <row r="962" ht="14" customHeight="1" x14ac:dyDescent="0.15"/>
    <row r="963" ht="14" customHeight="1" x14ac:dyDescent="0.15"/>
    <row r="964" ht="14" customHeight="1" x14ac:dyDescent="0.15"/>
    <row r="965" ht="14" customHeight="1" x14ac:dyDescent="0.15"/>
    <row r="966" ht="14" customHeight="1" x14ac:dyDescent="0.15"/>
    <row r="967" ht="14" customHeight="1" x14ac:dyDescent="0.15"/>
    <row r="968" ht="14" customHeight="1" x14ac:dyDescent="0.15"/>
    <row r="969" ht="14" customHeight="1" x14ac:dyDescent="0.15"/>
    <row r="970" ht="14" customHeight="1" x14ac:dyDescent="0.15"/>
    <row r="971" ht="14" customHeight="1" x14ac:dyDescent="0.15"/>
    <row r="972" ht="14" customHeight="1" x14ac:dyDescent="0.15"/>
    <row r="973" ht="14" customHeight="1" x14ac:dyDescent="0.15"/>
    <row r="974" ht="14" customHeight="1" x14ac:dyDescent="0.15"/>
    <row r="975" ht="14" customHeight="1" x14ac:dyDescent="0.15"/>
    <row r="976" ht="14" customHeight="1" x14ac:dyDescent="0.15"/>
    <row r="977" ht="14" customHeight="1" x14ac:dyDescent="0.15"/>
    <row r="978" ht="14" customHeight="1" x14ac:dyDescent="0.15"/>
    <row r="979" ht="14" customHeight="1" x14ac:dyDescent="0.15"/>
    <row r="980" ht="14" customHeight="1" x14ac:dyDescent="0.15"/>
    <row r="981" ht="14" customHeight="1" x14ac:dyDescent="0.15"/>
    <row r="982" ht="14" customHeight="1" x14ac:dyDescent="0.15"/>
    <row r="983" ht="14" customHeight="1" x14ac:dyDescent="0.15"/>
    <row r="984" ht="14" customHeight="1" x14ac:dyDescent="0.15"/>
    <row r="985" ht="14" customHeight="1" x14ac:dyDescent="0.15"/>
    <row r="986" ht="14" customHeight="1" x14ac:dyDescent="0.15"/>
    <row r="987" ht="14" customHeight="1" x14ac:dyDescent="0.15"/>
    <row r="988" ht="14" customHeight="1" x14ac:dyDescent="0.15"/>
    <row r="989" ht="14" customHeight="1" x14ac:dyDescent="0.15"/>
    <row r="990" ht="14" customHeight="1" x14ac:dyDescent="0.15"/>
    <row r="991" ht="14" customHeight="1" x14ac:dyDescent="0.15"/>
    <row r="992" ht="14" customHeight="1" x14ac:dyDescent="0.15"/>
    <row r="993" ht="14" customHeight="1" x14ac:dyDescent="0.15"/>
    <row r="994" ht="14" customHeight="1" x14ac:dyDescent="0.15"/>
    <row r="995" ht="14" customHeight="1" x14ac:dyDescent="0.15"/>
    <row r="996" ht="14" customHeight="1" x14ac:dyDescent="0.15"/>
    <row r="997" ht="14" customHeight="1" x14ac:dyDescent="0.15"/>
    <row r="998" ht="14" customHeight="1" x14ac:dyDescent="0.15"/>
    <row r="999" ht="14" customHeight="1" x14ac:dyDescent="0.15"/>
    <row r="1000" ht="14" customHeight="1" x14ac:dyDescent="0.1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1000"/>
  <sheetViews>
    <sheetView workbookViewId="0">
      <selection activeCell="M10" sqref="M10"/>
    </sheetView>
  </sheetViews>
  <sheetFormatPr baseColWidth="10" defaultColWidth="8.83203125" defaultRowHeight="14" x14ac:dyDescent="0.15"/>
  <cols>
    <col min="1" max="1" width="39.83203125" style="48" customWidth="1"/>
    <col min="2" max="2" width="17.83203125" style="30" customWidth="1"/>
    <col min="3" max="3" width="9.5" style="48" customWidth="1"/>
    <col min="4" max="35" width="9.5" style="48" bestFit="1" customWidth="1"/>
    <col min="36" max="40" width="8.83203125" style="48" customWidth="1"/>
    <col min="41" max="16384" width="8.83203125" style="48"/>
  </cols>
  <sheetData>
    <row r="1" spans="1:35" ht="14.5" customHeight="1" x14ac:dyDescent="0.2">
      <c r="A1" s="28" t="s">
        <v>177</v>
      </c>
      <c r="B1" s="29">
        <v>2020</v>
      </c>
      <c r="C1" s="29">
        <v>2021</v>
      </c>
      <c r="D1" s="29">
        <v>2022</v>
      </c>
      <c r="E1" s="29">
        <v>2023</v>
      </c>
      <c r="F1" s="29">
        <v>2024</v>
      </c>
      <c r="G1" s="29">
        <v>2025</v>
      </c>
      <c r="H1" s="29">
        <v>2026</v>
      </c>
      <c r="I1" s="29">
        <v>2027</v>
      </c>
      <c r="J1" s="29">
        <v>2028</v>
      </c>
      <c r="K1" s="29">
        <v>2029</v>
      </c>
      <c r="L1" s="29">
        <v>2030</v>
      </c>
      <c r="M1" s="29">
        <v>2031</v>
      </c>
      <c r="N1" s="29">
        <v>2032</v>
      </c>
      <c r="O1" s="29">
        <v>2033</v>
      </c>
      <c r="P1" s="29">
        <v>2034</v>
      </c>
      <c r="Q1" s="29">
        <v>2035</v>
      </c>
      <c r="R1" s="29">
        <v>2036</v>
      </c>
      <c r="S1" s="29">
        <v>2037</v>
      </c>
      <c r="T1" s="29">
        <v>2038</v>
      </c>
      <c r="U1" s="29">
        <v>2039</v>
      </c>
      <c r="V1" s="29">
        <v>2040</v>
      </c>
      <c r="W1" s="29">
        <v>2041</v>
      </c>
      <c r="X1" s="29">
        <v>2042</v>
      </c>
      <c r="Y1" s="29">
        <v>2043</v>
      </c>
      <c r="Z1" s="29">
        <v>2044</v>
      </c>
      <c r="AA1" s="29">
        <v>2045</v>
      </c>
      <c r="AB1" s="29">
        <v>2046</v>
      </c>
      <c r="AC1" s="29">
        <v>2047</v>
      </c>
      <c r="AD1" s="29">
        <v>2048</v>
      </c>
      <c r="AE1" s="29">
        <v>2049</v>
      </c>
      <c r="AF1" s="29">
        <v>2050</v>
      </c>
      <c r="AH1" s="29"/>
      <c r="AI1" s="29"/>
    </row>
    <row r="2" spans="1:35" ht="14" customHeight="1" x14ac:dyDescent="0.15">
      <c r="A2" s="48" t="s">
        <v>178</v>
      </c>
      <c r="B2">
        <f>'BIFUbC-heavy-or-residual-oil'!B2</f>
        <v>0</v>
      </c>
      <c r="C2">
        <f>'BIFUbC-heavy-or-residual-oil'!C2</f>
        <v>0</v>
      </c>
      <c r="D2">
        <f>'BIFUbC-heavy-or-residual-oil'!D2</f>
        <v>0</v>
      </c>
      <c r="E2">
        <f>'BIFUbC-heavy-or-residual-oil'!E2</f>
        <v>0</v>
      </c>
      <c r="F2">
        <f>'BIFUbC-heavy-or-residual-oil'!F2</f>
        <v>0</v>
      </c>
      <c r="G2">
        <f>'BIFUbC-heavy-or-residual-oil'!G2</f>
        <v>0</v>
      </c>
      <c r="H2">
        <f>'BIFUbC-heavy-or-residual-oil'!H2</f>
        <v>0</v>
      </c>
      <c r="I2">
        <f>'BIFUbC-heavy-or-residual-oil'!I2</f>
        <v>0</v>
      </c>
      <c r="J2">
        <f>'BIFUbC-heavy-or-residual-oil'!J2</f>
        <v>0</v>
      </c>
      <c r="K2">
        <f>'BIFUbC-heavy-or-residual-oil'!K2</f>
        <v>0</v>
      </c>
      <c r="L2">
        <f>'BIFUbC-heavy-or-residual-oil'!L2</f>
        <v>0</v>
      </c>
      <c r="M2">
        <f>'BIFUbC-heavy-or-residual-oil'!M2</f>
        <v>0</v>
      </c>
      <c r="N2">
        <f>'BIFUbC-heavy-or-residual-oil'!N2</f>
        <v>0</v>
      </c>
      <c r="O2">
        <f>'BIFUbC-heavy-or-residual-oil'!O2</f>
        <v>0</v>
      </c>
      <c r="P2">
        <f>'BIFUbC-heavy-or-residual-oil'!P2</f>
        <v>0</v>
      </c>
      <c r="Q2">
        <f>'BIFUbC-heavy-or-residual-oil'!Q2</f>
        <v>0</v>
      </c>
      <c r="R2">
        <f>'BIFUbC-heavy-or-residual-oil'!R2</f>
        <v>0</v>
      </c>
      <c r="S2">
        <f>'BIFUbC-heavy-or-residual-oil'!S2</f>
        <v>0</v>
      </c>
      <c r="T2">
        <f>'BIFUbC-heavy-or-residual-oil'!T2</f>
        <v>0</v>
      </c>
      <c r="U2">
        <f>'BIFUbC-heavy-or-residual-oil'!U2</f>
        <v>0</v>
      </c>
      <c r="V2">
        <f>'BIFUbC-heavy-or-residual-oil'!V2</f>
        <v>0</v>
      </c>
      <c r="W2">
        <f>'BIFUbC-heavy-or-residual-oil'!W2</f>
        <v>0</v>
      </c>
      <c r="X2">
        <f>'BIFUbC-heavy-or-residual-oil'!X2</f>
        <v>0</v>
      </c>
      <c r="Y2">
        <f>'BIFUbC-heavy-or-residual-oil'!Y2</f>
        <v>0</v>
      </c>
      <c r="Z2">
        <f>'BIFUbC-heavy-or-residual-oil'!Z2</f>
        <v>0</v>
      </c>
      <c r="AA2">
        <f>'BIFUbC-heavy-or-residual-oil'!AA2</f>
        <v>0</v>
      </c>
      <c r="AB2">
        <f>'BIFUbC-heavy-or-residual-oil'!AB2</f>
        <v>0</v>
      </c>
      <c r="AC2">
        <f>'BIFUbC-heavy-or-residual-oil'!AC2</f>
        <v>0</v>
      </c>
      <c r="AD2">
        <f>'BIFUbC-heavy-or-residual-oil'!AD2</f>
        <v>0</v>
      </c>
      <c r="AE2">
        <f>'BIFUbC-heavy-or-residual-oil'!AE2</f>
        <v>0</v>
      </c>
      <c r="AF2">
        <f>'BIFUbC-heavy-or-residual-oil'!AF2</f>
        <v>0</v>
      </c>
      <c r="AG2" s="57"/>
    </row>
    <row r="3" spans="1:35" ht="14" customHeight="1" x14ac:dyDescent="0.15">
      <c r="A3" s="48" t="s">
        <v>179</v>
      </c>
      <c r="B3">
        <f>'BIFUbC-heavy-or-residual-oil'!B3</f>
        <v>0</v>
      </c>
      <c r="C3">
        <f>'BIFUbC-heavy-or-residual-oil'!C3</f>
        <v>0</v>
      </c>
      <c r="D3">
        <f>'BIFUbC-heavy-or-residual-oil'!D3</f>
        <v>0</v>
      </c>
      <c r="E3">
        <f>'BIFUbC-heavy-or-residual-oil'!E3</f>
        <v>0</v>
      </c>
      <c r="F3">
        <f>'BIFUbC-heavy-or-residual-oil'!F3</f>
        <v>0</v>
      </c>
      <c r="G3">
        <f>'BIFUbC-heavy-or-residual-oil'!G3</f>
        <v>0</v>
      </c>
      <c r="H3">
        <f>'BIFUbC-heavy-or-residual-oil'!H3</f>
        <v>0</v>
      </c>
      <c r="I3">
        <f>'BIFUbC-heavy-or-residual-oil'!I3</f>
        <v>0</v>
      </c>
      <c r="J3">
        <f>'BIFUbC-heavy-or-residual-oil'!J3</f>
        <v>0</v>
      </c>
      <c r="K3">
        <f>'BIFUbC-heavy-or-residual-oil'!K3</f>
        <v>0</v>
      </c>
      <c r="L3">
        <f>'BIFUbC-heavy-or-residual-oil'!L3</f>
        <v>0</v>
      </c>
      <c r="M3">
        <f>'BIFUbC-heavy-or-residual-oil'!M3</f>
        <v>0</v>
      </c>
      <c r="N3">
        <f>'BIFUbC-heavy-or-residual-oil'!N3</f>
        <v>0</v>
      </c>
      <c r="O3">
        <f>'BIFUbC-heavy-or-residual-oil'!O3</f>
        <v>0</v>
      </c>
      <c r="P3">
        <f>'BIFUbC-heavy-or-residual-oil'!P3</f>
        <v>0</v>
      </c>
      <c r="Q3">
        <f>'BIFUbC-heavy-or-residual-oil'!Q3</f>
        <v>0</v>
      </c>
      <c r="R3">
        <f>'BIFUbC-heavy-or-residual-oil'!R3</f>
        <v>0</v>
      </c>
      <c r="S3">
        <f>'BIFUbC-heavy-or-residual-oil'!S3</f>
        <v>0</v>
      </c>
      <c r="T3">
        <f>'BIFUbC-heavy-or-residual-oil'!T3</f>
        <v>0</v>
      </c>
      <c r="U3">
        <f>'BIFUbC-heavy-or-residual-oil'!U3</f>
        <v>0</v>
      </c>
      <c r="V3">
        <f>'BIFUbC-heavy-or-residual-oil'!V3</f>
        <v>0</v>
      </c>
      <c r="W3">
        <f>'BIFUbC-heavy-or-residual-oil'!W3</f>
        <v>0</v>
      </c>
      <c r="X3">
        <f>'BIFUbC-heavy-or-residual-oil'!X3</f>
        <v>0</v>
      </c>
      <c r="Y3">
        <f>'BIFUbC-heavy-or-residual-oil'!Y3</f>
        <v>0</v>
      </c>
      <c r="Z3">
        <f>'BIFUbC-heavy-or-residual-oil'!Z3</f>
        <v>0</v>
      </c>
      <c r="AA3">
        <f>'BIFUbC-heavy-or-residual-oil'!AA3</f>
        <v>0</v>
      </c>
      <c r="AB3">
        <f>'BIFUbC-heavy-or-residual-oil'!AB3</f>
        <v>0</v>
      </c>
      <c r="AC3">
        <f>'BIFUbC-heavy-or-residual-oil'!AC3</f>
        <v>0</v>
      </c>
      <c r="AD3">
        <f>'BIFUbC-heavy-or-residual-oil'!AD3</f>
        <v>0</v>
      </c>
      <c r="AE3">
        <f>'BIFUbC-heavy-or-residual-oil'!AE3</f>
        <v>0</v>
      </c>
      <c r="AF3">
        <f>'BIFUbC-heavy-or-residual-oil'!AF3</f>
        <v>0</v>
      </c>
    </row>
    <row r="4" spans="1:35" ht="14" customHeight="1" x14ac:dyDescent="0.15">
      <c r="A4" s="48" t="s">
        <v>135</v>
      </c>
      <c r="B4">
        <f>'BIFUbC-heavy-or-residual-oil'!B4+('E3 Oil + Gas Ext vs. Refi'!B82*1000000000000)</f>
        <v>982627778514.96594</v>
      </c>
      <c r="C4">
        <f>'BIFUbC-heavy-or-residual-oil'!C4+('E3 Oil + Gas Ext vs. Refi'!C82*1000000000000)</f>
        <v>982627778514.96594</v>
      </c>
      <c r="D4">
        <f>'BIFUbC-heavy-or-residual-oil'!D4+('E3 Oil + Gas Ext vs. Refi'!D82*1000000000000)</f>
        <v>982627778514.96594</v>
      </c>
      <c r="E4">
        <f>'BIFUbC-heavy-or-residual-oil'!E4+('E3 Oil + Gas Ext vs. Refi'!E82*1000000000000)</f>
        <v>982627778514.96594</v>
      </c>
      <c r="F4">
        <f>'BIFUbC-heavy-or-residual-oil'!F4+('E3 Oil + Gas Ext vs. Refi'!F82*1000000000000)</f>
        <v>982627778514.96594</v>
      </c>
      <c r="G4">
        <f>'BIFUbC-heavy-or-residual-oil'!G4+('E3 Oil + Gas Ext vs. Refi'!G82*1000000000000)</f>
        <v>982627778514.96594</v>
      </c>
      <c r="H4">
        <f>'BIFUbC-heavy-or-residual-oil'!H4+('E3 Oil + Gas Ext vs. Refi'!H82*1000000000000)</f>
        <v>982627778514.96594</v>
      </c>
      <c r="I4">
        <f>'BIFUbC-heavy-or-residual-oil'!I4+('E3 Oil + Gas Ext vs. Refi'!I82*1000000000000)</f>
        <v>982627778514.96594</v>
      </c>
      <c r="J4">
        <f>'BIFUbC-heavy-or-residual-oil'!J4+('E3 Oil + Gas Ext vs. Refi'!J82*1000000000000)</f>
        <v>982627778514.96594</v>
      </c>
      <c r="K4">
        <f>'BIFUbC-heavy-or-residual-oil'!K4+('E3 Oil + Gas Ext vs. Refi'!K82*1000000000000)</f>
        <v>982627778514.96594</v>
      </c>
      <c r="L4">
        <f>'BIFUbC-heavy-or-residual-oil'!L4+('E3 Oil + Gas Ext vs. Refi'!L82*1000000000000)</f>
        <v>982627778514.96594</v>
      </c>
      <c r="M4">
        <f>'BIFUbC-heavy-or-residual-oil'!M4+('E3 Oil + Gas Ext vs. Refi'!M82*1000000000000)</f>
        <v>982627778514.96594</v>
      </c>
      <c r="N4">
        <f>'BIFUbC-heavy-or-residual-oil'!N4+('E3 Oil + Gas Ext vs. Refi'!N82*1000000000000)</f>
        <v>982627778514.96594</v>
      </c>
      <c r="O4">
        <f>'BIFUbC-heavy-or-residual-oil'!O4+('E3 Oil + Gas Ext vs. Refi'!O82*1000000000000)</f>
        <v>982627778514.96594</v>
      </c>
      <c r="P4">
        <f>'BIFUbC-heavy-or-residual-oil'!P4+('E3 Oil + Gas Ext vs. Refi'!P82*1000000000000)</f>
        <v>982627778514.96594</v>
      </c>
      <c r="Q4">
        <f>'BIFUbC-heavy-or-residual-oil'!Q4+('E3 Oil + Gas Ext vs. Refi'!Q82*1000000000000)</f>
        <v>982627778514.96594</v>
      </c>
      <c r="R4">
        <f>'BIFUbC-heavy-or-residual-oil'!R4+('E3 Oil + Gas Ext vs. Refi'!R82*1000000000000)</f>
        <v>982627778514.96594</v>
      </c>
      <c r="S4">
        <f>'BIFUbC-heavy-or-residual-oil'!S4+('E3 Oil + Gas Ext vs. Refi'!S82*1000000000000)</f>
        <v>982627778514.96594</v>
      </c>
      <c r="T4">
        <f>'BIFUbC-heavy-or-residual-oil'!T4+('E3 Oil + Gas Ext vs. Refi'!T82*1000000000000)</f>
        <v>982627778514.96594</v>
      </c>
      <c r="U4">
        <f>'BIFUbC-heavy-or-residual-oil'!U4+('E3 Oil + Gas Ext vs. Refi'!U82*1000000000000)</f>
        <v>982627778514.96594</v>
      </c>
      <c r="V4">
        <f>'BIFUbC-heavy-or-residual-oil'!V4+('E3 Oil + Gas Ext vs. Refi'!V82*1000000000000)</f>
        <v>982627778514.96594</v>
      </c>
      <c r="W4">
        <f>'BIFUbC-heavy-or-residual-oil'!W4+('E3 Oil + Gas Ext vs. Refi'!W82*1000000000000)</f>
        <v>982627778514.96594</v>
      </c>
      <c r="X4">
        <f>'BIFUbC-heavy-or-residual-oil'!X4+('E3 Oil + Gas Ext vs. Refi'!X82*1000000000000)</f>
        <v>982627778514.96594</v>
      </c>
      <c r="Y4">
        <f>'BIFUbC-heavy-or-residual-oil'!Y4+('E3 Oil + Gas Ext vs. Refi'!Y82*1000000000000)</f>
        <v>982627778514.96594</v>
      </c>
      <c r="Z4">
        <f>'BIFUbC-heavy-or-residual-oil'!Z4+('E3 Oil + Gas Ext vs. Refi'!Z82*1000000000000)</f>
        <v>982627778514.96594</v>
      </c>
      <c r="AA4">
        <f>'BIFUbC-heavy-or-residual-oil'!AA4+('E3 Oil + Gas Ext vs. Refi'!AA82*1000000000000)</f>
        <v>982627778514.96594</v>
      </c>
      <c r="AB4">
        <f>'BIFUbC-heavy-or-residual-oil'!AB4+('E3 Oil + Gas Ext vs. Refi'!AB82*1000000000000)</f>
        <v>982627778514.96594</v>
      </c>
      <c r="AC4">
        <f>'BIFUbC-heavy-or-residual-oil'!AC4+('E3 Oil + Gas Ext vs. Refi'!AC82*1000000000000)</f>
        <v>982627778514.96594</v>
      </c>
      <c r="AD4">
        <f>'BIFUbC-heavy-or-residual-oil'!AD4+('E3 Oil + Gas Ext vs. Refi'!AD82*1000000000000)</f>
        <v>982627778514.96594</v>
      </c>
      <c r="AE4">
        <f>'BIFUbC-heavy-or-residual-oil'!AE4+('E3 Oil + Gas Ext vs. Refi'!AE82*1000000000000)</f>
        <v>982627778514.96594</v>
      </c>
      <c r="AF4">
        <f>'BIFUbC-heavy-or-residual-oil'!AF4+('E3 Oil + Gas Ext vs. Refi'!AF82*1000000000000)</f>
        <v>982627778514.96594</v>
      </c>
    </row>
    <row r="5" spans="1:35" ht="14" customHeight="1" x14ac:dyDescent="0.15">
      <c r="A5" s="48" t="s">
        <v>180</v>
      </c>
      <c r="B5">
        <f>'BIFUbC-heavy-or-residual-oil'!B5</f>
        <v>0</v>
      </c>
      <c r="C5">
        <f>'BIFUbC-heavy-or-residual-oil'!C5</f>
        <v>0</v>
      </c>
      <c r="D5">
        <f>'BIFUbC-heavy-or-residual-oil'!D5</f>
        <v>0</v>
      </c>
      <c r="E5">
        <f>'BIFUbC-heavy-or-residual-oil'!E5</f>
        <v>0</v>
      </c>
      <c r="F5">
        <f>'BIFUbC-heavy-or-residual-oil'!F5</f>
        <v>0</v>
      </c>
      <c r="G5">
        <f>'BIFUbC-heavy-or-residual-oil'!G5</f>
        <v>0</v>
      </c>
      <c r="H5">
        <f>'BIFUbC-heavy-or-residual-oil'!H5</f>
        <v>0</v>
      </c>
      <c r="I5">
        <f>'BIFUbC-heavy-or-residual-oil'!I5</f>
        <v>0</v>
      </c>
      <c r="J5">
        <f>'BIFUbC-heavy-or-residual-oil'!J5</f>
        <v>0</v>
      </c>
      <c r="K5">
        <f>'BIFUbC-heavy-or-residual-oil'!K5</f>
        <v>0</v>
      </c>
      <c r="L5">
        <f>'BIFUbC-heavy-or-residual-oil'!L5</f>
        <v>0</v>
      </c>
      <c r="M5">
        <f>'BIFUbC-heavy-or-residual-oil'!M5</f>
        <v>0</v>
      </c>
      <c r="N5">
        <f>'BIFUbC-heavy-or-residual-oil'!N5</f>
        <v>0</v>
      </c>
      <c r="O5">
        <f>'BIFUbC-heavy-or-residual-oil'!O5</f>
        <v>0</v>
      </c>
      <c r="P5">
        <f>'BIFUbC-heavy-or-residual-oil'!P5</f>
        <v>0</v>
      </c>
      <c r="Q5">
        <f>'BIFUbC-heavy-or-residual-oil'!Q5</f>
        <v>0</v>
      </c>
      <c r="R5">
        <f>'BIFUbC-heavy-or-residual-oil'!R5</f>
        <v>0</v>
      </c>
      <c r="S5">
        <f>'BIFUbC-heavy-or-residual-oil'!S5</f>
        <v>0</v>
      </c>
      <c r="T5">
        <f>'BIFUbC-heavy-or-residual-oil'!T5</f>
        <v>0</v>
      </c>
      <c r="U5">
        <f>'BIFUbC-heavy-or-residual-oil'!U5</f>
        <v>0</v>
      </c>
      <c r="V5">
        <f>'BIFUbC-heavy-or-residual-oil'!V5</f>
        <v>0</v>
      </c>
      <c r="W5">
        <f>'BIFUbC-heavy-or-residual-oil'!W5</f>
        <v>0</v>
      </c>
      <c r="X5">
        <f>'BIFUbC-heavy-or-residual-oil'!X5</f>
        <v>0</v>
      </c>
      <c r="Y5">
        <f>'BIFUbC-heavy-or-residual-oil'!Y5</f>
        <v>0</v>
      </c>
      <c r="Z5">
        <f>'BIFUbC-heavy-or-residual-oil'!Z5</f>
        <v>0</v>
      </c>
      <c r="AA5">
        <f>'BIFUbC-heavy-or-residual-oil'!AA5</f>
        <v>0</v>
      </c>
      <c r="AB5">
        <f>'BIFUbC-heavy-or-residual-oil'!AB5</f>
        <v>0</v>
      </c>
      <c r="AC5">
        <f>'BIFUbC-heavy-or-residual-oil'!AC5</f>
        <v>0</v>
      </c>
      <c r="AD5">
        <f>'BIFUbC-heavy-or-residual-oil'!AD5</f>
        <v>0</v>
      </c>
      <c r="AE5">
        <f>'BIFUbC-heavy-or-residual-oil'!AE5</f>
        <v>0</v>
      </c>
      <c r="AF5">
        <f>'BIFUbC-heavy-or-residual-oil'!AF5</f>
        <v>0</v>
      </c>
    </row>
    <row r="6" spans="1:35" ht="14" customHeight="1" x14ac:dyDescent="0.15">
      <c r="A6" s="48" t="s">
        <v>181</v>
      </c>
      <c r="B6">
        <f>'BIFUbC-heavy-or-residual-oil'!B6</f>
        <v>0</v>
      </c>
      <c r="C6">
        <f>'BIFUbC-heavy-or-residual-oil'!C6</f>
        <v>0</v>
      </c>
      <c r="D6">
        <f>'BIFUbC-heavy-or-residual-oil'!D6</f>
        <v>0</v>
      </c>
      <c r="E6">
        <f>'BIFUbC-heavy-or-residual-oil'!E6</f>
        <v>0</v>
      </c>
      <c r="F6">
        <f>'BIFUbC-heavy-or-residual-oil'!F6</f>
        <v>0</v>
      </c>
      <c r="G6">
        <f>'BIFUbC-heavy-or-residual-oil'!G6</f>
        <v>0</v>
      </c>
      <c r="H6">
        <f>'BIFUbC-heavy-or-residual-oil'!H6</f>
        <v>0</v>
      </c>
      <c r="I6">
        <f>'BIFUbC-heavy-or-residual-oil'!I6</f>
        <v>0</v>
      </c>
      <c r="J6">
        <f>'BIFUbC-heavy-or-residual-oil'!J6</f>
        <v>0</v>
      </c>
      <c r="K6">
        <f>'BIFUbC-heavy-or-residual-oil'!K6</f>
        <v>0</v>
      </c>
      <c r="L6">
        <f>'BIFUbC-heavy-or-residual-oil'!L6</f>
        <v>0</v>
      </c>
      <c r="M6">
        <f>'BIFUbC-heavy-or-residual-oil'!M6</f>
        <v>0</v>
      </c>
      <c r="N6">
        <f>'BIFUbC-heavy-or-residual-oil'!N6</f>
        <v>0</v>
      </c>
      <c r="O6">
        <f>'BIFUbC-heavy-or-residual-oil'!O6</f>
        <v>0</v>
      </c>
      <c r="P6">
        <f>'BIFUbC-heavy-or-residual-oil'!P6</f>
        <v>0</v>
      </c>
      <c r="Q6">
        <f>'BIFUbC-heavy-or-residual-oil'!Q6</f>
        <v>0</v>
      </c>
      <c r="R6">
        <f>'BIFUbC-heavy-or-residual-oil'!R6</f>
        <v>0</v>
      </c>
      <c r="S6">
        <f>'BIFUbC-heavy-or-residual-oil'!S6</f>
        <v>0</v>
      </c>
      <c r="T6">
        <f>'BIFUbC-heavy-or-residual-oil'!T6</f>
        <v>0</v>
      </c>
      <c r="U6">
        <f>'BIFUbC-heavy-or-residual-oil'!U6</f>
        <v>0</v>
      </c>
      <c r="V6">
        <f>'BIFUbC-heavy-or-residual-oil'!V6</f>
        <v>0</v>
      </c>
      <c r="W6">
        <f>'BIFUbC-heavy-or-residual-oil'!W6</f>
        <v>0</v>
      </c>
      <c r="X6">
        <f>'BIFUbC-heavy-or-residual-oil'!X6</f>
        <v>0</v>
      </c>
      <c r="Y6">
        <f>'BIFUbC-heavy-or-residual-oil'!Y6</f>
        <v>0</v>
      </c>
      <c r="Z6">
        <f>'BIFUbC-heavy-or-residual-oil'!Z6</f>
        <v>0</v>
      </c>
      <c r="AA6">
        <f>'BIFUbC-heavy-or-residual-oil'!AA6</f>
        <v>0</v>
      </c>
      <c r="AB6">
        <f>'BIFUbC-heavy-or-residual-oil'!AB6</f>
        <v>0</v>
      </c>
      <c r="AC6">
        <f>'BIFUbC-heavy-or-residual-oil'!AC6</f>
        <v>0</v>
      </c>
      <c r="AD6">
        <f>'BIFUbC-heavy-or-residual-oil'!AD6</f>
        <v>0</v>
      </c>
      <c r="AE6">
        <f>'BIFUbC-heavy-or-residual-oil'!AE6</f>
        <v>0</v>
      </c>
      <c r="AF6">
        <f>'BIFUbC-heavy-or-residual-oil'!AF6</f>
        <v>0</v>
      </c>
    </row>
    <row r="7" spans="1:35" ht="14" customHeight="1" x14ac:dyDescent="0.15">
      <c r="A7" s="48" t="s">
        <v>182</v>
      </c>
      <c r="B7">
        <f>'BIFUbC-heavy-or-residual-oil'!B7</f>
        <v>0</v>
      </c>
      <c r="C7">
        <f>'BIFUbC-heavy-or-residual-oil'!C7</f>
        <v>0</v>
      </c>
      <c r="D7">
        <f>'BIFUbC-heavy-or-residual-oil'!D7</f>
        <v>0</v>
      </c>
      <c r="E7">
        <f>'BIFUbC-heavy-or-residual-oil'!E7</f>
        <v>0</v>
      </c>
      <c r="F7">
        <f>'BIFUbC-heavy-or-residual-oil'!F7</f>
        <v>0</v>
      </c>
      <c r="G7">
        <f>'BIFUbC-heavy-or-residual-oil'!G7</f>
        <v>0</v>
      </c>
      <c r="H7">
        <f>'BIFUbC-heavy-or-residual-oil'!H7</f>
        <v>0</v>
      </c>
      <c r="I7">
        <f>'BIFUbC-heavy-or-residual-oil'!I7</f>
        <v>0</v>
      </c>
      <c r="J7">
        <f>'BIFUbC-heavy-or-residual-oil'!J7</f>
        <v>0</v>
      </c>
      <c r="K7">
        <f>'BIFUbC-heavy-or-residual-oil'!K7</f>
        <v>0</v>
      </c>
      <c r="L7">
        <f>'BIFUbC-heavy-or-residual-oil'!L7</f>
        <v>0</v>
      </c>
      <c r="M7">
        <f>'BIFUbC-heavy-or-residual-oil'!M7</f>
        <v>0</v>
      </c>
      <c r="N7">
        <f>'BIFUbC-heavy-or-residual-oil'!N7</f>
        <v>0</v>
      </c>
      <c r="O7">
        <f>'BIFUbC-heavy-or-residual-oil'!O7</f>
        <v>0</v>
      </c>
      <c r="P7">
        <f>'BIFUbC-heavy-or-residual-oil'!P7</f>
        <v>0</v>
      </c>
      <c r="Q7">
        <f>'BIFUbC-heavy-or-residual-oil'!Q7</f>
        <v>0</v>
      </c>
      <c r="R7">
        <f>'BIFUbC-heavy-or-residual-oil'!R7</f>
        <v>0</v>
      </c>
      <c r="S7">
        <f>'BIFUbC-heavy-or-residual-oil'!S7</f>
        <v>0</v>
      </c>
      <c r="T7">
        <f>'BIFUbC-heavy-or-residual-oil'!T7</f>
        <v>0</v>
      </c>
      <c r="U7">
        <f>'BIFUbC-heavy-or-residual-oil'!U7</f>
        <v>0</v>
      </c>
      <c r="V7">
        <f>'BIFUbC-heavy-or-residual-oil'!V7</f>
        <v>0</v>
      </c>
      <c r="W7">
        <f>'BIFUbC-heavy-or-residual-oil'!W7</f>
        <v>0</v>
      </c>
      <c r="X7">
        <f>'BIFUbC-heavy-or-residual-oil'!X7</f>
        <v>0</v>
      </c>
      <c r="Y7">
        <f>'BIFUbC-heavy-or-residual-oil'!Y7</f>
        <v>0</v>
      </c>
      <c r="Z7">
        <f>'BIFUbC-heavy-or-residual-oil'!Z7</f>
        <v>0</v>
      </c>
      <c r="AA7">
        <f>'BIFUbC-heavy-or-residual-oil'!AA7</f>
        <v>0</v>
      </c>
      <c r="AB7">
        <f>'BIFUbC-heavy-or-residual-oil'!AB7</f>
        <v>0</v>
      </c>
      <c r="AC7">
        <f>'BIFUbC-heavy-or-residual-oil'!AC7</f>
        <v>0</v>
      </c>
      <c r="AD7">
        <f>'BIFUbC-heavy-or-residual-oil'!AD7</f>
        <v>0</v>
      </c>
      <c r="AE7">
        <f>'BIFUbC-heavy-or-residual-oil'!AE7</f>
        <v>0</v>
      </c>
      <c r="AF7">
        <f>'BIFUbC-heavy-or-residual-oil'!AF7</f>
        <v>0</v>
      </c>
    </row>
    <row r="8" spans="1:35" ht="14" customHeight="1" x14ac:dyDescent="0.15">
      <c r="A8" s="48" t="s">
        <v>183</v>
      </c>
      <c r="B8">
        <f>'BIFUbC-heavy-or-residual-oil'!B8</f>
        <v>0</v>
      </c>
      <c r="C8">
        <f>'BIFUbC-heavy-or-residual-oil'!C8</f>
        <v>0</v>
      </c>
      <c r="D8">
        <f>'BIFUbC-heavy-or-residual-oil'!D8</f>
        <v>0</v>
      </c>
      <c r="E8">
        <f>'BIFUbC-heavy-or-residual-oil'!E8</f>
        <v>0</v>
      </c>
      <c r="F8">
        <f>'BIFUbC-heavy-or-residual-oil'!F8</f>
        <v>0</v>
      </c>
      <c r="G8">
        <f>'BIFUbC-heavy-or-residual-oil'!G8</f>
        <v>0</v>
      </c>
      <c r="H8">
        <f>'BIFUbC-heavy-or-residual-oil'!H8</f>
        <v>0</v>
      </c>
      <c r="I8">
        <f>'BIFUbC-heavy-or-residual-oil'!I8</f>
        <v>0</v>
      </c>
      <c r="J8">
        <f>'BIFUbC-heavy-or-residual-oil'!J8</f>
        <v>0</v>
      </c>
      <c r="K8">
        <f>'BIFUbC-heavy-or-residual-oil'!K8</f>
        <v>0</v>
      </c>
      <c r="L8">
        <f>'BIFUbC-heavy-or-residual-oil'!L8</f>
        <v>0</v>
      </c>
      <c r="M8">
        <f>'BIFUbC-heavy-or-residual-oil'!M8</f>
        <v>0</v>
      </c>
      <c r="N8">
        <f>'BIFUbC-heavy-or-residual-oil'!N8</f>
        <v>0</v>
      </c>
      <c r="O8">
        <f>'BIFUbC-heavy-or-residual-oil'!O8</f>
        <v>0</v>
      </c>
      <c r="P8">
        <f>'BIFUbC-heavy-or-residual-oil'!P8</f>
        <v>0</v>
      </c>
      <c r="Q8">
        <f>'BIFUbC-heavy-or-residual-oil'!Q8</f>
        <v>0</v>
      </c>
      <c r="R8">
        <f>'BIFUbC-heavy-or-residual-oil'!R8</f>
        <v>0</v>
      </c>
      <c r="S8">
        <f>'BIFUbC-heavy-or-residual-oil'!S8</f>
        <v>0</v>
      </c>
      <c r="T8">
        <f>'BIFUbC-heavy-or-residual-oil'!T8</f>
        <v>0</v>
      </c>
      <c r="U8">
        <f>'BIFUbC-heavy-or-residual-oil'!U8</f>
        <v>0</v>
      </c>
      <c r="V8">
        <f>'BIFUbC-heavy-or-residual-oil'!V8</f>
        <v>0</v>
      </c>
      <c r="W8">
        <f>'BIFUbC-heavy-or-residual-oil'!W8</f>
        <v>0</v>
      </c>
      <c r="X8">
        <f>'BIFUbC-heavy-or-residual-oil'!X8</f>
        <v>0</v>
      </c>
      <c r="Y8">
        <f>'BIFUbC-heavy-or-residual-oil'!Y8</f>
        <v>0</v>
      </c>
      <c r="Z8">
        <f>'BIFUbC-heavy-or-residual-oil'!Z8</f>
        <v>0</v>
      </c>
      <c r="AA8">
        <f>'BIFUbC-heavy-or-residual-oil'!AA8</f>
        <v>0</v>
      </c>
      <c r="AB8">
        <f>'BIFUbC-heavy-or-residual-oil'!AB8</f>
        <v>0</v>
      </c>
      <c r="AC8">
        <f>'BIFUbC-heavy-or-residual-oil'!AC8</f>
        <v>0</v>
      </c>
      <c r="AD8">
        <f>'BIFUbC-heavy-or-residual-oil'!AD8</f>
        <v>0</v>
      </c>
      <c r="AE8">
        <f>'BIFUbC-heavy-or-residual-oil'!AE8</f>
        <v>0</v>
      </c>
      <c r="AF8">
        <f>'BIFUbC-heavy-or-residual-oil'!AF8</f>
        <v>0</v>
      </c>
    </row>
    <row r="9" spans="1:35" ht="14" customHeight="1" x14ac:dyDescent="0.15">
      <c r="A9" s="48" t="s">
        <v>184</v>
      </c>
      <c r="B9">
        <f>'BIFUbC-heavy-or-residual-oil'!B9</f>
        <v>0</v>
      </c>
      <c r="C9">
        <f>'BIFUbC-heavy-or-residual-oil'!C9</f>
        <v>0</v>
      </c>
      <c r="D9">
        <f>'BIFUbC-heavy-or-residual-oil'!D9</f>
        <v>0</v>
      </c>
      <c r="E9">
        <f>'BIFUbC-heavy-or-residual-oil'!E9</f>
        <v>0</v>
      </c>
      <c r="F9">
        <f>'BIFUbC-heavy-or-residual-oil'!F9</f>
        <v>0</v>
      </c>
      <c r="G9">
        <f>'BIFUbC-heavy-or-residual-oil'!G9</f>
        <v>0</v>
      </c>
      <c r="H9">
        <f>'BIFUbC-heavy-or-residual-oil'!H9</f>
        <v>0</v>
      </c>
      <c r="I9">
        <f>'BIFUbC-heavy-or-residual-oil'!I9</f>
        <v>0</v>
      </c>
      <c r="J9">
        <f>'BIFUbC-heavy-or-residual-oil'!J9</f>
        <v>0</v>
      </c>
      <c r="K9">
        <f>'BIFUbC-heavy-or-residual-oil'!K9</f>
        <v>0</v>
      </c>
      <c r="L9">
        <f>'BIFUbC-heavy-or-residual-oil'!L9</f>
        <v>0</v>
      </c>
      <c r="M9">
        <f>'BIFUbC-heavy-or-residual-oil'!M9</f>
        <v>0</v>
      </c>
      <c r="N9">
        <f>'BIFUbC-heavy-or-residual-oil'!N9</f>
        <v>0</v>
      </c>
      <c r="O9">
        <f>'BIFUbC-heavy-or-residual-oil'!O9</f>
        <v>0</v>
      </c>
      <c r="P9">
        <f>'BIFUbC-heavy-or-residual-oil'!P9</f>
        <v>0</v>
      </c>
      <c r="Q9">
        <f>'BIFUbC-heavy-or-residual-oil'!Q9</f>
        <v>0</v>
      </c>
      <c r="R9">
        <f>'BIFUbC-heavy-or-residual-oil'!R9</f>
        <v>0</v>
      </c>
      <c r="S9">
        <f>'BIFUbC-heavy-or-residual-oil'!S9</f>
        <v>0</v>
      </c>
      <c r="T9">
        <f>'BIFUbC-heavy-or-residual-oil'!T9</f>
        <v>0</v>
      </c>
      <c r="U9">
        <f>'BIFUbC-heavy-or-residual-oil'!U9</f>
        <v>0</v>
      </c>
      <c r="V9">
        <f>'BIFUbC-heavy-or-residual-oil'!V9</f>
        <v>0</v>
      </c>
      <c r="W9">
        <f>'BIFUbC-heavy-or-residual-oil'!W9</f>
        <v>0</v>
      </c>
      <c r="X9">
        <f>'BIFUbC-heavy-or-residual-oil'!X9</f>
        <v>0</v>
      </c>
      <c r="Y9">
        <f>'BIFUbC-heavy-or-residual-oil'!Y9</f>
        <v>0</v>
      </c>
      <c r="Z9">
        <f>'BIFUbC-heavy-or-residual-oil'!Z9</f>
        <v>0</v>
      </c>
      <c r="AA9">
        <f>'BIFUbC-heavy-or-residual-oil'!AA9</f>
        <v>0</v>
      </c>
      <c r="AB9">
        <f>'BIFUbC-heavy-or-residual-oil'!AB9</f>
        <v>0</v>
      </c>
      <c r="AC9">
        <f>'BIFUbC-heavy-or-residual-oil'!AC9</f>
        <v>0</v>
      </c>
      <c r="AD9">
        <f>'BIFUbC-heavy-or-residual-oil'!AD9</f>
        <v>0</v>
      </c>
      <c r="AE9">
        <f>'BIFUbC-heavy-or-residual-oil'!AE9</f>
        <v>0</v>
      </c>
      <c r="AF9">
        <f>'BIFUbC-heavy-or-residual-oil'!AF9</f>
        <v>0</v>
      </c>
      <c r="AG9" s="57"/>
    </row>
    <row r="10" spans="1:35" ht="14" customHeight="1" x14ac:dyDescent="0.15">
      <c r="A10" s="48" t="s">
        <v>136</v>
      </c>
      <c r="B10">
        <f>'BIFUbC-heavy-or-residual-oil'!B10+('E3 Oil + Gas Ext vs. Refi'!B83*1000000000000)</f>
        <v>982627778514.96594</v>
      </c>
      <c r="C10">
        <f>'BIFUbC-heavy-or-residual-oil'!C10+('E3 Oil + Gas Ext vs. Refi'!C83*1000000000000)</f>
        <v>982627778514.96594</v>
      </c>
      <c r="D10">
        <f>'BIFUbC-heavy-or-residual-oil'!D10+('E3 Oil + Gas Ext vs. Refi'!D83*1000000000000)</f>
        <v>982627778514.96594</v>
      </c>
      <c r="E10">
        <f>'BIFUbC-heavy-or-residual-oil'!E10+('E3 Oil + Gas Ext vs. Refi'!E83*1000000000000)</f>
        <v>982627778514.96594</v>
      </c>
      <c r="F10">
        <f>'BIFUbC-heavy-or-residual-oil'!F10+('E3 Oil + Gas Ext vs. Refi'!F83*1000000000000)</f>
        <v>982627778514.96594</v>
      </c>
      <c r="G10">
        <f>'BIFUbC-heavy-or-residual-oil'!G10+('E3 Oil + Gas Ext vs. Refi'!G83*1000000000000)</f>
        <v>982627778514.96594</v>
      </c>
      <c r="H10">
        <f>'BIFUbC-heavy-or-residual-oil'!H10+('E3 Oil + Gas Ext vs. Refi'!H83*1000000000000)</f>
        <v>982627778514.96594</v>
      </c>
      <c r="I10">
        <f>'BIFUbC-heavy-or-residual-oil'!I10+('E3 Oil + Gas Ext vs. Refi'!I83*1000000000000)</f>
        <v>982627778514.96594</v>
      </c>
      <c r="J10">
        <f>'BIFUbC-heavy-or-residual-oil'!J10+('E3 Oil + Gas Ext vs. Refi'!J83*1000000000000)</f>
        <v>982627778514.96594</v>
      </c>
      <c r="K10">
        <f>'BIFUbC-heavy-or-residual-oil'!K10+('E3 Oil + Gas Ext vs. Refi'!K83*1000000000000)</f>
        <v>982627778514.96594</v>
      </c>
      <c r="L10">
        <f>'BIFUbC-heavy-or-residual-oil'!L10+('E3 Oil + Gas Ext vs. Refi'!L83*1000000000000)</f>
        <v>982627778514.96594</v>
      </c>
      <c r="M10">
        <f>'BIFUbC-heavy-or-residual-oil'!M10+('E3 Oil + Gas Ext vs. Refi'!M83*1000000000000)</f>
        <v>982627778514.96594</v>
      </c>
      <c r="N10">
        <f>'BIFUbC-heavy-or-residual-oil'!N10+('E3 Oil + Gas Ext vs. Refi'!N83*1000000000000)</f>
        <v>982627778514.96594</v>
      </c>
      <c r="O10">
        <f>'BIFUbC-heavy-or-residual-oil'!O10+('E3 Oil + Gas Ext vs. Refi'!O83*1000000000000)</f>
        <v>982627778514.96594</v>
      </c>
      <c r="P10">
        <f>'BIFUbC-heavy-or-residual-oil'!P10+('E3 Oil + Gas Ext vs. Refi'!P83*1000000000000)</f>
        <v>982627778514.96594</v>
      </c>
      <c r="Q10">
        <f>'BIFUbC-heavy-or-residual-oil'!Q10+('E3 Oil + Gas Ext vs. Refi'!Q83*1000000000000)</f>
        <v>982627778514.96594</v>
      </c>
      <c r="R10">
        <f>'BIFUbC-heavy-or-residual-oil'!R10+('E3 Oil + Gas Ext vs. Refi'!R83*1000000000000)</f>
        <v>982627778514.96594</v>
      </c>
      <c r="S10">
        <f>'BIFUbC-heavy-or-residual-oil'!S10+('E3 Oil + Gas Ext vs. Refi'!S83*1000000000000)</f>
        <v>982627778514.96594</v>
      </c>
      <c r="T10">
        <f>'BIFUbC-heavy-or-residual-oil'!T10+('E3 Oil + Gas Ext vs. Refi'!T83*1000000000000)</f>
        <v>982627778514.96594</v>
      </c>
      <c r="U10">
        <f>'BIFUbC-heavy-or-residual-oil'!U10+('E3 Oil + Gas Ext vs. Refi'!U83*1000000000000)</f>
        <v>982627778514.96594</v>
      </c>
      <c r="V10">
        <f>'BIFUbC-heavy-or-residual-oil'!V10+('E3 Oil + Gas Ext vs. Refi'!V83*1000000000000)</f>
        <v>982627778514.96594</v>
      </c>
      <c r="W10">
        <f>'BIFUbC-heavy-or-residual-oil'!W10+('E3 Oil + Gas Ext vs. Refi'!W83*1000000000000)</f>
        <v>982627778514.96594</v>
      </c>
      <c r="X10">
        <f>'BIFUbC-heavy-or-residual-oil'!X10+('E3 Oil + Gas Ext vs. Refi'!X83*1000000000000)</f>
        <v>982627778514.96594</v>
      </c>
      <c r="Y10">
        <f>'BIFUbC-heavy-or-residual-oil'!Y10+('E3 Oil + Gas Ext vs. Refi'!Y83*1000000000000)</f>
        <v>982627778514.96594</v>
      </c>
      <c r="Z10">
        <f>'BIFUbC-heavy-or-residual-oil'!Z10+('E3 Oil + Gas Ext vs. Refi'!Z83*1000000000000)</f>
        <v>982627778514.96594</v>
      </c>
      <c r="AA10">
        <f>'BIFUbC-heavy-or-residual-oil'!AA10+('E3 Oil + Gas Ext vs. Refi'!AA83*1000000000000)</f>
        <v>982627778514.96594</v>
      </c>
      <c r="AB10">
        <f>'BIFUbC-heavy-or-residual-oil'!AB10+('E3 Oil + Gas Ext vs. Refi'!AB83*1000000000000)</f>
        <v>982627778514.96594</v>
      </c>
      <c r="AC10">
        <f>'BIFUbC-heavy-or-residual-oil'!AC10+('E3 Oil + Gas Ext vs. Refi'!AC83*1000000000000)</f>
        <v>982627778514.96594</v>
      </c>
      <c r="AD10">
        <f>'BIFUbC-heavy-or-residual-oil'!AD10+('E3 Oil + Gas Ext vs. Refi'!AD83*1000000000000)</f>
        <v>982627778514.96594</v>
      </c>
      <c r="AE10">
        <f>'BIFUbC-heavy-or-residual-oil'!AE10+('E3 Oil + Gas Ext vs. Refi'!AE83*1000000000000)</f>
        <v>982627778514.96594</v>
      </c>
      <c r="AF10">
        <f>'BIFUbC-heavy-or-residual-oil'!AF10+('E3 Oil + Gas Ext vs. Refi'!AF83*1000000000000)</f>
        <v>982627778514.96594</v>
      </c>
    </row>
    <row r="11" spans="1:35" ht="14" customHeight="1" x14ac:dyDescent="0.15">
      <c r="A11" s="48" t="s">
        <v>185</v>
      </c>
      <c r="B11">
        <f>'BIFUbC-heavy-or-residual-oil'!B11</f>
        <v>0</v>
      </c>
      <c r="C11">
        <f>'BIFUbC-heavy-or-residual-oil'!C11</f>
        <v>0</v>
      </c>
      <c r="D11">
        <f>'BIFUbC-heavy-or-residual-oil'!D11</f>
        <v>0</v>
      </c>
      <c r="E11">
        <f>'BIFUbC-heavy-or-residual-oil'!E11</f>
        <v>0</v>
      </c>
      <c r="F11">
        <f>'BIFUbC-heavy-or-residual-oil'!F11</f>
        <v>0</v>
      </c>
      <c r="G11">
        <f>'BIFUbC-heavy-or-residual-oil'!G11</f>
        <v>0</v>
      </c>
      <c r="H11">
        <f>'BIFUbC-heavy-or-residual-oil'!H11</f>
        <v>0</v>
      </c>
      <c r="I11">
        <f>'BIFUbC-heavy-or-residual-oil'!I11</f>
        <v>0</v>
      </c>
      <c r="J11">
        <f>'BIFUbC-heavy-or-residual-oil'!J11</f>
        <v>0</v>
      </c>
      <c r="K11">
        <f>'BIFUbC-heavy-or-residual-oil'!K11</f>
        <v>0</v>
      </c>
      <c r="L11">
        <f>'BIFUbC-heavy-or-residual-oil'!L11</f>
        <v>0</v>
      </c>
      <c r="M11">
        <f>'BIFUbC-heavy-or-residual-oil'!M11</f>
        <v>0</v>
      </c>
      <c r="N11">
        <f>'BIFUbC-heavy-or-residual-oil'!N11</f>
        <v>0</v>
      </c>
      <c r="O11">
        <f>'BIFUbC-heavy-or-residual-oil'!O11</f>
        <v>0</v>
      </c>
      <c r="P11">
        <f>'BIFUbC-heavy-or-residual-oil'!P11</f>
        <v>0</v>
      </c>
      <c r="Q11">
        <f>'BIFUbC-heavy-or-residual-oil'!Q11</f>
        <v>0</v>
      </c>
      <c r="R11">
        <f>'BIFUbC-heavy-or-residual-oil'!R11</f>
        <v>0</v>
      </c>
      <c r="S11">
        <f>'BIFUbC-heavy-or-residual-oil'!S11</f>
        <v>0</v>
      </c>
      <c r="T11">
        <f>'BIFUbC-heavy-or-residual-oil'!T11</f>
        <v>0</v>
      </c>
      <c r="U11">
        <f>'BIFUbC-heavy-or-residual-oil'!U11</f>
        <v>0</v>
      </c>
      <c r="V11">
        <f>'BIFUbC-heavy-or-residual-oil'!V11</f>
        <v>0</v>
      </c>
      <c r="W11">
        <f>'BIFUbC-heavy-or-residual-oil'!W11</f>
        <v>0</v>
      </c>
      <c r="X11">
        <f>'BIFUbC-heavy-or-residual-oil'!X11</f>
        <v>0</v>
      </c>
      <c r="Y11">
        <f>'BIFUbC-heavy-or-residual-oil'!Y11</f>
        <v>0</v>
      </c>
      <c r="Z11">
        <f>'BIFUbC-heavy-or-residual-oil'!Z11</f>
        <v>0</v>
      </c>
      <c r="AA11">
        <f>'BIFUbC-heavy-or-residual-oil'!AA11</f>
        <v>0</v>
      </c>
      <c r="AB11">
        <f>'BIFUbC-heavy-or-residual-oil'!AB11</f>
        <v>0</v>
      </c>
      <c r="AC11">
        <f>'BIFUbC-heavy-or-residual-oil'!AC11</f>
        <v>0</v>
      </c>
      <c r="AD11">
        <f>'BIFUbC-heavy-or-residual-oil'!AD11</f>
        <v>0</v>
      </c>
      <c r="AE11">
        <f>'BIFUbC-heavy-or-residual-oil'!AE11</f>
        <v>0</v>
      </c>
      <c r="AF11">
        <f>'BIFUbC-heavy-or-residual-oil'!AF11</f>
        <v>0</v>
      </c>
    </row>
    <row r="12" spans="1:35" ht="14" customHeight="1" x14ac:dyDescent="0.15">
      <c r="A12" s="48" t="s">
        <v>186</v>
      </c>
      <c r="B12">
        <f>'BIFUbC-heavy-or-residual-oil'!B12</f>
        <v>0</v>
      </c>
      <c r="C12">
        <f>'BIFUbC-heavy-or-residual-oil'!C12</f>
        <v>0</v>
      </c>
      <c r="D12">
        <f>'BIFUbC-heavy-or-residual-oil'!D12</f>
        <v>0</v>
      </c>
      <c r="E12">
        <f>'BIFUbC-heavy-or-residual-oil'!E12</f>
        <v>0</v>
      </c>
      <c r="F12">
        <f>'BIFUbC-heavy-or-residual-oil'!F12</f>
        <v>0</v>
      </c>
      <c r="G12">
        <f>'BIFUbC-heavy-or-residual-oil'!G12</f>
        <v>0</v>
      </c>
      <c r="H12">
        <f>'BIFUbC-heavy-or-residual-oil'!H12</f>
        <v>0</v>
      </c>
      <c r="I12">
        <f>'BIFUbC-heavy-or-residual-oil'!I12</f>
        <v>0</v>
      </c>
      <c r="J12">
        <f>'BIFUbC-heavy-or-residual-oil'!J12</f>
        <v>0</v>
      </c>
      <c r="K12">
        <f>'BIFUbC-heavy-or-residual-oil'!K12</f>
        <v>0</v>
      </c>
      <c r="L12">
        <f>'BIFUbC-heavy-or-residual-oil'!L12</f>
        <v>0</v>
      </c>
      <c r="M12">
        <f>'BIFUbC-heavy-or-residual-oil'!M12</f>
        <v>0</v>
      </c>
      <c r="N12">
        <f>'BIFUbC-heavy-or-residual-oil'!N12</f>
        <v>0</v>
      </c>
      <c r="O12">
        <f>'BIFUbC-heavy-or-residual-oil'!O12</f>
        <v>0</v>
      </c>
      <c r="P12">
        <f>'BIFUbC-heavy-or-residual-oil'!P12</f>
        <v>0</v>
      </c>
      <c r="Q12">
        <f>'BIFUbC-heavy-or-residual-oil'!Q12</f>
        <v>0</v>
      </c>
      <c r="R12">
        <f>'BIFUbC-heavy-or-residual-oil'!R12</f>
        <v>0</v>
      </c>
      <c r="S12">
        <f>'BIFUbC-heavy-or-residual-oil'!S12</f>
        <v>0</v>
      </c>
      <c r="T12">
        <f>'BIFUbC-heavy-or-residual-oil'!T12</f>
        <v>0</v>
      </c>
      <c r="U12">
        <f>'BIFUbC-heavy-or-residual-oil'!U12</f>
        <v>0</v>
      </c>
      <c r="V12">
        <f>'BIFUbC-heavy-or-residual-oil'!V12</f>
        <v>0</v>
      </c>
      <c r="W12">
        <f>'BIFUbC-heavy-or-residual-oil'!W12</f>
        <v>0</v>
      </c>
      <c r="X12">
        <f>'BIFUbC-heavy-or-residual-oil'!X12</f>
        <v>0</v>
      </c>
      <c r="Y12">
        <f>'BIFUbC-heavy-or-residual-oil'!Y12</f>
        <v>0</v>
      </c>
      <c r="Z12">
        <f>'BIFUbC-heavy-or-residual-oil'!Z12</f>
        <v>0</v>
      </c>
      <c r="AA12">
        <f>'BIFUbC-heavy-or-residual-oil'!AA12</f>
        <v>0</v>
      </c>
      <c r="AB12">
        <f>'BIFUbC-heavy-or-residual-oil'!AB12</f>
        <v>0</v>
      </c>
      <c r="AC12">
        <f>'BIFUbC-heavy-or-residual-oil'!AC12</f>
        <v>0</v>
      </c>
      <c r="AD12">
        <f>'BIFUbC-heavy-or-residual-oil'!AD12</f>
        <v>0</v>
      </c>
      <c r="AE12">
        <f>'BIFUbC-heavy-or-residual-oil'!AE12</f>
        <v>0</v>
      </c>
      <c r="AF12">
        <f>'BIFUbC-heavy-or-residual-oil'!AF12</f>
        <v>0</v>
      </c>
    </row>
    <row r="13" spans="1:35" ht="14" customHeight="1" x14ac:dyDescent="0.15">
      <c r="A13" s="48" t="s">
        <v>187</v>
      </c>
      <c r="B13">
        <f>'BIFUbC-heavy-or-residual-oil'!B13</f>
        <v>0</v>
      </c>
      <c r="C13">
        <f>'BIFUbC-heavy-or-residual-oil'!C13</f>
        <v>0</v>
      </c>
      <c r="D13">
        <f>'BIFUbC-heavy-or-residual-oil'!D13</f>
        <v>0</v>
      </c>
      <c r="E13">
        <f>'BIFUbC-heavy-or-residual-oil'!E13</f>
        <v>0</v>
      </c>
      <c r="F13">
        <f>'BIFUbC-heavy-or-residual-oil'!F13</f>
        <v>0</v>
      </c>
      <c r="G13">
        <f>'BIFUbC-heavy-or-residual-oil'!G13</f>
        <v>0</v>
      </c>
      <c r="H13">
        <f>'BIFUbC-heavy-or-residual-oil'!H13</f>
        <v>0</v>
      </c>
      <c r="I13">
        <f>'BIFUbC-heavy-or-residual-oil'!I13</f>
        <v>0</v>
      </c>
      <c r="J13">
        <f>'BIFUbC-heavy-or-residual-oil'!J13</f>
        <v>0</v>
      </c>
      <c r="K13">
        <f>'BIFUbC-heavy-or-residual-oil'!K13</f>
        <v>0</v>
      </c>
      <c r="L13">
        <f>'BIFUbC-heavy-or-residual-oil'!L13</f>
        <v>0</v>
      </c>
      <c r="M13">
        <f>'BIFUbC-heavy-or-residual-oil'!M13</f>
        <v>0</v>
      </c>
      <c r="N13">
        <f>'BIFUbC-heavy-or-residual-oil'!N13</f>
        <v>0</v>
      </c>
      <c r="O13">
        <f>'BIFUbC-heavy-or-residual-oil'!O13</f>
        <v>0</v>
      </c>
      <c r="P13">
        <f>'BIFUbC-heavy-or-residual-oil'!P13</f>
        <v>0</v>
      </c>
      <c r="Q13">
        <f>'BIFUbC-heavy-or-residual-oil'!Q13</f>
        <v>0</v>
      </c>
      <c r="R13">
        <f>'BIFUbC-heavy-or-residual-oil'!R13</f>
        <v>0</v>
      </c>
      <c r="S13">
        <f>'BIFUbC-heavy-or-residual-oil'!S13</f>
        <v>0</v>
      </c>
      <c r="T13">
        <f>'BIFUbC-heavy-or-residual-oil'!T13</f>
        <v>0</v>
      </c>
      <c r="U13">
        <f>'BIFUbC-heavy-or-residual-oil'!U13</f>
        <v>0</v>
      </c>
      <c r="V13">
        <f>'BIFUbC-heavy-or-residual-oil'!V13</f>
        <v>0</v>
      </c>
      <c r="W13">
        <f>'BIFUbC-heavy-or-residual-oil'!W13</f>
        <v>0</v>
      </c>
      <c r="X13">
        <f>'BIFUbC-heavy-or-residual-oil'!X13</f>
        <v>0</v>
      </c>
      <c r="Y13">
        <f>'BIFUbC-heavy-or-residual-oil'!Y13</f>
        <v>0</v>
      </c>
      <c r="Z13">
        <f>'BIFUbC-heavy-or-residual-oil'!Z13</f>
        <v>0</v>
      </c>
      <c r="AA13">
        <f>'BIFUbC-heavy-or-residual-oil'!AA13</f>
        <v>0</v>
      </c>
      <c r="AB13">
        <f>'BIFUbC-heavy-or-residual-oil'!AB13</f>
        <v>0</v>
      </c>
      <c r="AC13">
        <f>'BIFUbC-heavy-or-residual-oil'!AC13</f>
        <v>0</v>
      </c>
      <c r="AD13">
        <f>'BIFUbC-heavy-or-residual-oil'!AD13</f>
        <v>0</v>
      </c>
      <c r="AE13">
        <f>'BIFUbC-heavy-or-residual-oil'!AE13</f>
        <v>0</v>
      </c>
      <c r="AF13">
        <f>'BIFUbC-heavy-or-residual-oil'!AF13</f>
        <v>0</v>
      </c>
    </row>
    <row r="14" spans="1:35" ht="14" customHeight="1" x14ac:dyDescent="0.15">
      <c r="A14" s="48" t="s">
        <v>188</v>
      </c>
      <c r="B14">
        <f>'BIFUbC-heavy-or-residual-oil'!B14</f>
        <v>0</v>
      </c>
      <c r="C14">
        <f>'BIFUbC-heavy-or-residual-oil'!C14</f>
        <v>0</v>
      </c>
      <c r="D14">
        <f>'BIFUbC-heavy-or-residual-oil'!D14</f>
        <v>0</v>
      </c>
      <c r="E14">
        <f>'BIFUbC-heavy-or-residual-oil'!E14</f>
        <v>0</v>
      </c>
      <c r="F14">
        <f>'BIFUbC-heavy-or-residual-oil'!F14</f>
        <v>0</v>
      </c>
      <c r="G14">
        <f>'BIFUbC-heavy-or-residual-oil'!G14</f>
        <v>0</v>
      </c>
      <c r="H14">
        <f>'BIFUbC-heavy-or-residual-oil'!H14</f>
        <v>0</v>
      </c>
      <c r="I14">
        <f>'BIFUbC-heavy-or-residual-oil'!I14</f>
        <v>0</v>
      </c>
      <c r="J14">
        <f>'BIFUbC-heavy-or-residual-oil'!J14</f>
        <v>0</v>
      </c>
      <c r="K14">
        <f>'BIFUbC-heavy-or-residual-oil'!K14</f>
        <v>0</v>
      </c>
      <c r="L14">
        <f>'BIFUbC-heavy-or-residual-oil'!L14</f>
        <v>0</v>
      </c>
      <c r="M14">
        <f>'BIFUbC-heavy-or-residual-oil'!M14</f>
        <v>0</v>
      </c>
      <c r="N14">
        <f>'BIFUbC-heavy-or-residual-oil'!N14</f>
        <v>0</v>
      </c>
      <c r="O14">
        <f>'BIFUbC-heavy-or-residual-oil'!O14</f>
        <v>0</v>
      </c>
      <c r="P14">
        <f>'BIFUbC-heavy-or-residual-oil'!P14</f>
        <v>0</v>
      </c>
      <c r="Q14">
        <f>'BIFUbC-heavy-or-residual-oil'!Q14</f>
        <v>0</v>
      </c>
      <c r="R14">
        <f>'BIFUbC-heavy-or-residual-oil'!R14</f>
        <v>0</v>
      </c>
      <c r="S14">
        <f>'BIFUbC-heavy-or-residual-oil'!S14</f>
        <v>0</v>
      </c>
      <c r="T14">
        <f>'BIFUbC-heavy-or-residual-oil'!T14</f>
        <v>0</v>
      </c>
      <c r="U14">
        <f>'BIFUbC-heavy-or-residual-oil'!U14</f>
        <v>0</v>
      </c>
      <c r="V14">
        <f>'BIFUbC-heavy-or-residual-oil'!V14</f>
        <v>0</v>
      </c>
      <c r="W14">
        <f>'BIFUbC-heavy-or-residual-oil'!W14</f>
        <v>0</v>
      </c>
      <c r="X14">
        <f>'BIFUbC-heavy-or-residual-oil'!X14</f>
        <v>0</v>
      </c>
      <c r="Y14">
        <f>'BIFUbC-heavy-or-residual-oil'!Y14</f>
        <v>0</v>
      </c>
      <c r="Z14">
        <f>'BIFUbC-heavy-or-residual-oil'!Z14</f>
        <v>0</v>
      </c>
      <c r="AA14">
        <f>'BIFUbC-heavy-or-residual-oil'!AA14</f>
        <v>0</v>
      </c>
      <c r="AB14">
        <f>'BIFUbC-heavy-or-residual-oil'!AB14</f>
        <v>0</v>
      </c>
      <c r="AC14">
        <f>'BIFUbC-heavy-or-residual-oil'!AC14</f>
        <v>0</v>
      </c>
      <c r="AD14">
        <f>'BIFUbC-heavy-or-residual-oil'!AD14</f>
        <v>0</v>
      </c>
      <c r="AE14">
        <f>'BIFUbC-heavy-or-residual-oil'!AE14</f>
        <v>0</v>
      </c>
      <c r="AF14">
        <f>'BIFUbC-heavy-or-residual-oil'!AF14</f>
        <v>0</v>
      </c>
    </row>
    <row r="15" spans="1:35" ht="14" customHeight="1" x14ac:dyDescent="0.15">
      <c r="A15" s="48" t="s">
        <v>189</v>
      </c>
      <c r="B15">
        <f>'BIFUbC-heavy-or-residual-oil'!B15</f>
        <v>0</v>
      </c>
      <c r="C15">
        <f>'BIFUbC-heavy-or-residual-oil'!C15</f>
        <v>0</v>
      </c>
      <c r="D15">
        <f>'BIFUbC-heavy-or-residual-oil'!D15</f>
        <v>0</v>
      </c>
      <c r="E15">
        <f>'BIFUbC-heavy-or-residual-oil'!E15</f>
        <v>0</v>
      </c>
      <c r="F15">
        <f>'BIFUbC-heavy-or-residual-oil'!F15</f>
        <v>0</v>
      </c>
      <c r="G15">
        <f>'BIFUbC-heavy-or-residual-oil'!G15</f>
        <v>0</v>
      </c>
      <c r="H15">
        <f>'BIFUbC-heavy-or-residual-oil'!H15</f>
        <v>0</v>
      </c>
      <c r="I15">
        <f>'BIFUbC-heavy-or-residual-oil'!I15</f>
        <v>0</v>
      </c>
      <c r="J15">
        <f>'BIFUbC-heavy-or-residual-oil'!J15</f>
        <v>0</v>
      </c>
      <c r="K15">
        <f>'BIFUbC-heavy-or-residual-oil'!K15</f>
        <v>0</v>
      </c>
      <c r="L15">
        <f>'BIFUbC-heavy-or-residual-oil'!L15</f>
        <v>0</v>
      </c>
      <c r="M15">
        <f>'BIFUbC-heavy-or-residual-oil'!M15</f>
        <v>0</v>
      </c>
      <c r="N15">
        <f>'BIFUbC-heavy-or-residual-oil'!N15</f>
        <v>0</v>
      </c>
      <c r="O15">
        <f>'BIFUbC-heavy-or-residual-oil'!O15</f>
        <v>0</v>
      </c>
      <c r="P15">
        <f>'BIFUbC-heavy-or-residual-oil'!P15</f>
        <v>0</v>
      </c>
      <c r="Q15">
        <f>'BIFUbC-heavy-or-residual-oil'!Q15</f>
        <v>0</v>
      </c>
      <c r="R15">
        <f>'BIFUbC-heavy-or-residual-oil'!R15</f>
        <v>0</v>
      </c>
      <c r="S15">
        <f>'BIFUbC-heavy-or-residual-oil'!S15</f>
        <v>0</v>
      </c>
      <c r="T15">
        <f>'BIFUbC-heavy-or-residual-oil'!T15</f>
        <v>0</v>
      </c>
      <c r="U15">
        <f>'BIFUbC-heavy-or-residual-oil'!U15</f>
        <v>0</v>
      </c>
      <c r="V15">
        <f>'BIFUbC-heavy-or-residual-oil'!V15</f>
        <v>0</v>
      </c>
      <c r="W15">
        <f>'BIFUbC-heavy-or-residual-oil'!W15</f>
        <v>0</v>
      </c>
      <c r="X15">
        <f>'BIFUbC-heavy-or-residual-oil'!X15</f>
        <v>0</v>
      </c>
      <c r="Y15">
        <f>'BIFUbC-heavy-or-residual-oil'!Y15</f>
        <v>0</v>
      </c>
      <c r="Z15">
        <f>'BIFUbC-heavy-or-residual-oil'!Z15</f>
        <v>0</v>
      </c>
      <c r="AA15">
        <f>'BIFUbC-heavy-or-residual-oil'!AA15</f>
        <v>0</v>
      </c>
      <c r="AB15">
        <f>'BIFUbC-heavy-or-residual-oil'!AB15</f>
        <v>0</v>
      </c>
      <c r="AC15">
        <f>'BIFUbC-heavy-or-residual-oil'!AC15</f>
        <v>0</v>
      </c>
      <c r="AD15">
        <f>'BIFUbC-heavy-or-residual-oil'!AD15</f>
        <v>0</v>
      </c>
      <c r="AE15">
        <f>'BIFUbC-heavy-or-residual-oil'!AE15</f>
        <v>0</v>
      </c>
      <c r="AF15">
        <f>'BIFUbC-heavy-or-residual-oil'!AF15</f>
        <v>0</v>
      </c>
      <c r="AG15" s="57"/>
    </row>
    <row r="16" spans="1:35" ht="14" customHeight="1" x14ac:dyDescent="0.15">
      <c r="A16" s="48" t="s">
        <v>190</v>
      </c>
      <c r="B16">
        <f>'BIFUbC-heavy-or-residual-oil'!B16</f>
        <v>0</v>
      </c>
      <c r="C16">
        <f>'BIFUbC-heavy-or-residual-oil'!C16</f>
        <v>0</v>
      </c>
      <c r="D16">
        <f>'BIFUbC-heavy-or-residual-oil'!D16</f>
        <v>0</v>
      </c>
      <c r="E16">
        <f>'BIFUbC-heavy-or-residual-oil'!E16</f>
        <v>0</v>
      </c>
      <c r="F16">
        <f>'BIFUbC-heavy-or-residual-oil'!F16</f>
        <v>0</v>
      </c>
      <c r="G16">
        <f>'BIFUbC-heavy-or-residual-oil'!G16</f>
        <v>0</v>
      </c>
      <c r="H16">
        <f>'BIFUbC-heavy-or-residual-oil'!H16</f>
        <v>0</v>
      </c>
      <c r="I16">
        <f>'BIFUbC-heavy-or-residual-oil'!I16</f>
        <v>0</v>
      </c>
      <c r="J16">
        <f>'BIFUbC-heavy-or-residual-oil'!J16</f>
        <v>0</v>
      </c>
      <c r="K16">
        <f>'BIFUbC-heavy-or-residual-oil'!K16</f>
        <v>0</v>
      </c>
      <c r="L16">
        <f>'BIFUbC-heavy-or-residual-oil'!L16</f>
        <v>0</v>
      </c>
      <c r="M16">
        <f>'BIFUbC-heavy-or-residual-oil'!M16</f>
        <v>0</v>
      </c>
      <c r="N16">
        <f>'BIFUbC-heavy-or-residual-oil'!N16</f>
        <v>0</v>
      </c>
      <c r="O16">
        <f>'BIFUbC-heavy-or-residual-oil'!O16</f>
        <v>0</v>
      </c>
      <c r="P16">
        <f>'BIFUbC-heavy-or-residual-oil'!P16</f>
        <v>0</v>
      </c>
      <c r="Q16">
        <f>'BIFUbC-heavy-or-residual-oil'!Q16</f>
        <v>0</v>
      </c>
      <c r="R16">
        <f>'BIFUbC-heavy-or-residual-oil'!R16</f>
        <v>0</v>
      </c>
      <c r="S16">
        <f>'BIFUbC-heavy-or-residual-oil'!S16</f>
        <v>0</v>
      </c>
      <c r="T16">
        <f>'BIFUbC-heavy-or-residual-oil'!T16</f>
        <v>0</v>
      </c>
      <c r="U16">
        <f>'BIFUbC-heavy-or-residual-oil'!U16</f>
        <v>0</v>
      </c>
      <c r="V16">
        <f>'BIFUbC-heavy-or-residual-oil'!V16</f>
        <v>0</v>
      </c>
      <c r="W16">
        <f>'BIFUbC-heavy-or-residual-oil'!W16</f>
        <v>0</v>
      </c>
      <c r="X16">
        <f>'BIFUbC-heavy-or-residual-oil'!X16</f>
        <v>0</v>
      </c>
      <c r="Y16">
        <f>'BIFUbC-heavy-or-residual-oil'!Y16</f>
        <v>0</v>
      </c>
      <c r="Z16">
        <f>'BIFUbC-heavy-or-residual-oil'!Z16</f>
        <v>0</v>
      </c>
      <c r="AA16">
        <f>'BIFUbC-heavy-or-residual-oil'!AA16</f>
        <v>0</v>
      </c>
      <c r="AB16">
        <f>'BIFUbC-heavy-or-residual-oil'!AB16</f>
        <v>0</v>
      </c>
      <c r="AC16">
        <f>'BIFUbC-heavy-or-residual-oil'!AC16</f>
        <v>0</v>
      </c>
      <c r="AD16">
        <f>'BIFUbC-heavy-or-residual-oil'!AD16</f>
        <v>0</v>
      </c>
      <c r="AE16">
        <f>'BIFUbC-heavy-or-residual-oil'!AE16</f>
        <v>0</v>
      </c>
      <c r="AF16">
        <f>'BIFUbC-heavy-or-residual-oil'!AF16</f>
        <v>0</v>
      </c>
    </row>
    <row r="17" spans="1:33" ht="14" customHeight="1" x14ac:dyDescent="0.15">
      <c r="A17" s="48" t="s">
        <v>191</v>
      </c>
      <c r="B17">
        <f>'BIFUbC-heavy-or-residual-oil'!B17</f>
        <v>0</v>
      </c>
      <c r="C17">
        <f>'BIFUbC-heavy-or-residual-oil'!C17</f>
        <v>0</v>
      </c>
      <c r="D17">
        <f>'BIFUbC-heavy-or-residual-oil'!D17</f>
        <v>0</v>
      </c>
      <c r="E17">
        <f>'BIFUbC-heavy-or-residual-oil'!E17</f>
        <v>0</v>
      </c>
      <c r="F17">
        <f>'BIFUbC-heavy-or-residual-oil'!F17</f>
        <v>0</v>
      </c>
      <c r="G17">
        <f>'BIFUbC-heavy-or-residual-oil'!G17</f>
        <v>0</v>
      </c>
      <c r="H17">
        <f>'BIFUbC-heavy-or-residual-oil'!H17</f>
        <v>0</v>
      </c>
      <c r="I17">
        <f>'BIFUbC-heavy-or-residual-oil'!I17</f>
        <v>0</v>
      </c>
      <c r="J17">
        <f>'BIFUbC-heavy-or-residual-oil'!J17</f>
        <v>0</v>
      </c>
      <c r="K17">
        <f>'BIFUbC-heavy-or-residual-oil'!K17</f>
        <v>0</v>
      </c>
      <c r="L17">
        <f>'BIFUbC-heavy-or-residual-oil'!L17</f>
        <v>0</v>
      </c>
      <c r="M17">
        <f>'BIFUbC-heavy-or-residual-oil'!M17</f>
        <v>0</v>
      </c>
      <c r="N17">
        <f>'BIFUbC-heavy-or-residual-oil'!N17</f>
        <v>0</v>
      </c>
      <c r="O17">
        <f>'BIFUbC-heavy-or-residual-oil'!O17</f>
        <v>0</v>
      </c>
      <c r="P17">
        <f>'BIFUbC-heavy-or-residual-oil'!P17</f>
        <v>0</v>
      </c>
      <c r="Q17">
        <f>'BIFUbC-heavy-or-residual-oil'!Q17</f>
        <v>0</v>
      </c>
      <c r="R17">
        <f>'BIFUbC-heavy-or-residual-oil'!R17</f>
        <v>0</v>
      </c>
      <c r="S17">
        <f>'BIFUbC-heavy-or-residual-oil'!S17</f>
        <v>0</v>
      </c>
      <c r="T17">
        <f>'BIFUbC-heavy-or-residual-oil'!T17</f>
        <v>0</v>
      </c>
      <c r="U17">
        <f>'BIFUbC-heavy-or-residual-oil'!U17</f>
        <v>0</v>
      </c>
      <c r="V17">
        <f>'BIFUbC-heavy-or-residual-oil'!V17</f>
        <v>0</v>
      </c>
      <c r="W17">
        <f>'BIFUbC-heavy-or-residual-oil'!W17</f>
        <v>0</v>
      </c>
      <c r="X17">
        <f>'BIFUbC-heavy-or-residual-oil'!X17</f>
        <v>0</v>
      </c>
      <c r="Y17">
        <f>'BIFUbC-heavy-or-residual-oil'!Y17</f>
        <v>0</v>
      </c>
      <c r="Z17">
        <f>'BIFUbC-heavy-or-residual-oil'!Z17</f>
        <v>0</v>
      </c>
      <c r="AA17">
        <f>'BIFUbC-heavy-or-residual-oil'!AA17</f>
        <v>0</v>
      </c>
      <c r="AB17">
        <f>'BIFUbC-heavy-or-residual-oil'!AB17</f>
        <v>0</v>
      </c>
      <c r="AC17">
        <f>'BIFUbC-heavy-or-residual-oil'!AC17</f>
        <v>0</v>
      </c>
      <c r="AD17">
        <f>'BIFUbC-heavy-or-residual-oil'!AD17</f>
        <v>0</v>
      </c>
      <c r="AE17">
        <f>'BIFUbC-heavy-or-residual-oil'!AE17</f>
        <v>0</v>
      </c>
      <c r="AF17">
        <f>'BIFUbC-heavy-or-residual-oil'!AF17</f>
        <v>0</v>
      </c>
    </row>
    <row r="18" spans="1:33" ht="14" customHeight="1" x14ac:dyDescent="0.15">
      <c r="A18" s="48" t="s">
        <v>192</v>
      </c>
      <c r="B18">
        <f>'BIFUbC-heavy-or-residual-oil'!B18</f>
        <v>0</v>
      </c>
      <c r="C18" s="56">
        <f>'BIFUbC-heavy-or-residual-oil'!C18</f>
        <v>0</v>
      </c>
      <c r="D18" s="56">
        <f>'BIFUbC-heavy-or-residual-oil'!D18</f>
        <v>0</v>
      </c>
      <c r="E18" s="56">
        <f>'BIFUbC-heavy-or-residual-oil'!E18</f>
        <v>0</v>
      </c>
      <c r="F18" s="56">
        <f>'BIFUbC-heavy-or-residual-oil'!F18</f>
        <v>0</v>
      </c>
      <c r="G18" s="56">
        <f>'BIFUbC-heavy-or-residual-oil'!G18</f>
        <v>0</v>
      </c>
      <c r="H18" s="56">
        <f>'BIFUbC-heavy-or-residual-oil'!H18</f>
        <v>0</v>
      </c>
      <c r="I18" s="56">
        <f>'BIFUbC-heavy-or-residual-oil'!I18</f>
        <v>0</v>
      </c>
      <c r="J18" s="56">
        <f>'BIFUbC-heavy-or-residual-oil'!J18</f>
        <v>0</v>
      </c>
      <c r="K18" s="56">
        <f>'BIFUbC-heavy-or-residual-oil'!K18</f>
        <v>0</v>
      </c>
      <c r="L18" s="56">
        <f>'BIFUbC-heavy-or-residual-oil'!L18</f>
        <v>0</v>
      </c>
      <c r="M18" s="56">
        <f>'BIFUbC-heavy-or-residual-oil'!M18</f>
        <v>0</v>
      </c>
      <c r="N18" s="56">
        <f>'BIFUbC-heavy-or-residual-oil'!N18</f>
        <v>0</v>
      </c>
      <c r="O18" s="56">
        <f>'BIFUbC-heavy-or-residual-oil'!O18</f>
        <v>0</v>
      </c>
      <c r="P18" s="56">
        <f>'BIFUbC-heavy-or-residual-oil'!P18</f>
        <v>0</v>
      </c>
      <c r="Q18" s="56">
        <f>'BIFUbC-heavy-or-residual-oil'!Q18</f>
        <v>0</v>
      </c>
      <c r="R18" s="56">
        <f>'BIFUbC-heavy-or-residual-oil'!R18</f>
        <v>0</v>
      </c>
      <c r="S18" s="56">
        <f>'BIFUbC-heavy-or-residual-oil'!S18</f>
        <v>0</v>
      </c>
      <c r="T18" s="56">
        <f>'BIFUbC-heavy-or-residual-oil'!T18</f>
        <v>0</v>
      </c>
      <c r="U18" s="56">
        <f>'BIFUbC-heavy-or-residual-oil'!U18</f>
        <v>0</v>
      </c>
      <c r="V18" s="56">
        <f>'BIFUbC-heavy-or-residual-oil'!V18</f>
        <v>0</v>
      </c>
      <c r="W18" s="56">
        <f>'BIFUbC-heavy-or-residual-oil'!W18</f>
        <v>0</v>
      </c>
      <c r="X18" s="56">
        <f>'BIFUbC-heavy-or-residual-oil'!X18</f>
        <v>0</v>
      </c>
      <c r="Y18" s="56">
        <f>'BIFUbC-heavy-or-residual-oil'!Y18</f>
        <v>0</v>
      </c>
      <c r="Z18" s="56">
        <f>'BIFUbC-heavy-or-residual-oil'!Z18</f>
        <v>0</v>
      </c>
      <c r="AA18" s="56">
        <f>'BIFUbC-heavy-or-residual-oil'!AA18</f>
        <v>0</v>
      </c>
      <c r="AB18" s="56">
        <f>'BIFUbC-heavy-or-residual-oil'!AB18</f>
        <v>0</v>
      </c>
      <c r="AC18" s="56">
        <f>'BIFUbC-heavy-or-residual-oil'!AC18</f>
        <v>0</v>
      </c>
      <c r="AD18" s="56">
        <f>'BIFUbC-heavy-or-residual-oil'!AD18</f>
        <v>0</v>
      </c>
      <c r="AE18" s="56">
        <f>'BIFUbC-heavy-or-residual-oil'!AE18</f>
        <v>0</v>
      </c>
      <c r="AF18" s="56">
        <f>'BIFUbC-heavy-or-residual-oil'!AF18</f>
        <v>0</v>
      </c>
      <c r="AG18" s="30"/>
    </row>
    <row r="19" spans="1:33" ht="14" customHeight="1" x14ac:dyDescent="0.15">
      <c r="A19" s="48" t="s">
        <v>193</v>
      </c>
      <c r="B19">
        <f>'BIFUbC-heavy-or-residual-oil'!B19</f>
        <v>0</v>
      </c>
      <c r="C19">
        <f>'BIFUbC-heavy-or-residual-oil'!C19</f>
        <v>0</v>
      </c>
      <c r="D19">
        <f>'BIFUbC-heavy-or-residual-oil'!D19</f>
        <v>0</v>
      </c>
      <c r="E19">
        <f>'BIFUbC-heavy-or-residual-oil'!E19</f>
        <v>0</v>
      </c>
      <c r="F19">
        <f>'BIFUbC-heavy-or-residual-oil'!F19</f>
        <v>0</v>
      </c>
      <c r="G19">
        <f>'BIFUbC-heavy-or-residual-oil'!G19</f>
        <v>0</v>
      </c>
      <c r="H19">
        <f>'BIFUbC-heavy-or-residual-oil'!H19</f>
        <v>0</v>
      </c>
      <c r="I19">
        <f>'BIFUbC-heavy-or-residual-oil'!I19</f>
        <v>0</v>
      </c>
      <c r="J19">
        <f>'BIFUbC-heavy-or-residual-oil'!J19</f>
        <v>0</v>
      </c>
      <c r="K19">
        <f>'BIFUbC-heavy-or-residual-oil'!K19</f>
        <v>0</v>
      </c>
      <c r="L19">
        <f>'BIFUbC-heavy-or-residual-oil'!L19</f>
        <v>0</v>
      </c>
      <c r="M19">
        <f>'BIFUbC-heavy-or-residual-oil'!M19</f>
        <v>0</v>
      </c>
      <c r="N19">
        <f>'BIFUbC-heavy-or-residual-oil'!N19</f>
        <v>0</v>
      </c>
      <c r="O19">
        <f>'BIFUbC-heavy-or-residual-oil'!O19</f>
        <v>0</v>
      </c>
      <c r="P19">
        <f>'BIFUbC-heavy-or-residual-oil'!P19</f>
        <v>0</v>
      </c>
      <c r="Q19">
        <f>'BIFUbC-heavy-or-residual-oil'!Q19</f>
        <v>0</v>
      </c>
      <c r="R19">
        <f>'BIFUbC-heavy-or-residual-oil'!R19</f>
        <v>0</v>
      </c>
      <c r="S19">
        <f>'BIFUbC-heavy-or-residual-oil'!S19</f>
        <v>0</v>
      </c>
      <c r="T19">
        <f>'BIFUbC-heavy-or-residual-oil'!T19</f>
        <v>0</v>
      </c>
      <c r="U19">
        <f>'BIFUbC-heavy-or-residual-oil'!U19</f>
        <v>0</v>
      </c>
      <c r="V19">
        <f>'BIFUbC-heavy-or-residual-oil'!V19</f>
        <v>0</v>
      </c>
      <c r="W19">
        <f>'BIFUbC-heavy-or-residual-oil'!W19</f>
        <v>0</v>
      </c>
      <c r="X19">
        <f>'BIFUbC-heavy-or-residual-oil'!X19</f>
        <v>0</v>
      </c>
      <c r="Y19">
        <f>'BIFUbC-heavy-or-residual-oil'!Y19</f>
        <v>0</v>
      </c>
      <c r="Z19">
        <f>'BIFUbC-heavy-or-residual-oil'!Z19</f>
        <v>0</v>
      </c>
      <c r="AA19">
        <f>'BIFUbC-heavy-or-residual-oil'!AA19</f>
        <v>0</v>
      </c>
      <c r="AB19">
        <f>'BIFUbC-heavy-or-residual-oil'!AB19</f>
        <v>0</v>
      </c>
      <c r="AC19">
        <f>'BIFUbC-heavy-or-residual-oil'!AC19</f>
        <v>0</v>
      </c>
      <c r="AD19">
        <f>'BIFUbC-heavy-or-residual-oil'!AD19</f>
        <v>0</v>
      </c>
      <c r="AE19">
        <f>'BIFUbC-heavy-or-residual-oil'!AE19</f>
        <v>0</v>
      </c>
      <c r="AF19">
        <f>'BIFUbC-heavy-or-residual-oil'!AF19</f>
        <v>0</v>
      </c>
    </row>
    <row r="20" spans="1:33" ht="14" customHeight="1" x14ac:dyDescent="0.15">
      <c r="A20" s="48" t="s">
        <v>194</v>
      </c>
      <c r="B20">
        <f>'BIFUbC-heavy-or-residual-oil'!B20</f>
        <v>0</v>
      </c>
      <c r="C20">
        <f>'BIFUbC-heavy-or-residual-oil'!C20</f>
        <v>0</v>
      </c>
      <c r="D20">
        <f>'BIFUbC-heavy-or-residual-oil'!D20</f>
        <v>0</v>
      </c>
      <c r="E20">
        <f>'BIFUbC-heavy-or-residual-oil'!E20</f>
        <v>0</v>
      </c>
      <c r="F20">
        <f>'BIFUbC-heavy-or-residual-oil'!F20</f>
        <v>0</v>
      </c>
      <c r="G20">
        <f>'BIFUbC-heavy-or-residual-oil'!G20</f>
        <v>0</v>
      </c>
      <c r="H20">
        <f>'BIFUbC-heavy-or-residual-oil'!H20</f>
        <v>0</v>
      </c>
      <c r="I20">
        <f>'BIFUbC-heavy-or-residual-oil'!I20</f>
        <v>0</v>
      </c>
      <c r="J20">
        <f>'BIFUbC-heavy-or-residual-oil'!J20</f>
        <v>0</v>
      </c>
      <c r="K20">
        <f>'BIFUbC-heavy-or-residual-oil'!K20</f>
        <v>0</v>
      </c>
      <c r="L20">
        <f>'BIFUbC-heavy-or-residual-oil'!L20</f>
        <v>0</v>
      </c>
      <c r="M20">
        <f>'BIFUbC-heavy-or-residual-oil'!M20</f>
        <v>0</v>
      </c>
      <c r="N20">
        <f>'BIFUbC-heavy-or-residual-oil'!N20</f>
        <v>0</v>
      </c>
      <c r="O20">
        <f>'BIFUbC-heavy-or-residual-oil'!O20</f>
        <v>0</v>
      </c>
      <c r="P20">
        <f>'BIFUbC-heavy-or-residual-oil'!P20</f>
        <v>0</v>
      </c>
      <c r="Q20">
        <f>'BIFUbC-heavy-or-residual-oil'!Q20</f>
        <v>0</v>
      </c>
      <c r="R20">
        <f>'BIFUbC-heavy-or-residual-oil'!R20</f>
        <v>0</v>
      </c>
      <c r="S20">
        <f>'BIFUbC-heavy-or-residual-oil'!S20</f>
        <v>0</v>
      </c>
      <c r="T20">
        <f>'BIFUbC-heavy-or-residual-oil'!T20</f>
        <v>0</v>
      </c>
      <c r="U20">
        <f>'BIFUbC-heavy-or-residual-oil'!U20</f>
        <v>0</v>
      </c>
      <c r="V20">
        <f>'BIFUbC-heavy-or-residual-oil'!V20</f>
        <v>0</v>
      </c>
      <c r="W20">
        <f>'BIFUbC-heavy-or-residual-oil'!W20</f>
        <v>0</v>
      </c>
      <c r="X20">
        <f>'BIFUbC-heavy-or-residual-oil'!X20</f>
        <v>0</v>
      </c>
      <c r="Y20">
        <f>'BIFUbC-heavy-or-residual-oil'!Y20</f>
        <v>0</v>
      </c>
      <c r="Z20">
        <f>'BIFUbC-heavy-or-residual-oil'!Z20</f>
        <v>0</v>
      </c>
      <c r="AA20">
        <f>'BIFUbC-heavy-or-residual-oil'!AA20</f>
        <v>0</v>
      </c>
      <c r="AB20">
        <f>'BIFUbC-heavy-or-residual-oil'!AB20</f>
        <v>0</v>
      </c>
      <c r="AC20">
        <f>'BIFUbC-heavy-or-residual-oil'!AC20</f>
        <v>0</v>
      </c>
      <c r="AD20">
        <f>'BIFUbC-heavy-or-residual-oil'!AD20</f>
        <v>0</v>
      </c>
      <c r="AE20">
        <f>'BIFUbC-heavy-or-residual-oil'!AE20</f>
        <v>0</v>
      </c>
      <c r="AF20">
        <f>'BIFUbC-heavy-or-residual-oil'!AF20</f>
        <v>0</v>
      </c>
      <c r="AG20" s="57"/>
    </row>
    <row r="21" spans="1:33" ht="14" customHeight="1" x14ac:dyDescent="0.15">
      <c r="A21" s="48" t="s">
        <v>195</v>
      </c>
      <c r="B21">
        <f>'BIFUbC-heavy-or-residual-oil'!B21</f>
        <v>0</v>
      </c>
      <c r="C21">
        <f>'BIFUbC-heavy-or-residual-oil'!C21</f>
        <v>0</v>
      </c>
      <c r="D21">
        <f>'BIFUbC-heavy-or-residual-oil'!D21</f>
        <v>0</v>
      </c>
      <c r="E21">
        <f>'BIFUbC-heavy-or-residual-oil'!E21</f>
        <v>0</v>
      </c>
      <c r="F21">
        <f>'BIFUbC-heavy-or-residual-oil'!F21</f>
        <v>0</v>
      </c>
      <c r="G21">
        <f>'BIFUbC-heavy-or-residual-oil'!G21</f>
        <v>0</v>
      </c>
      <c r="H21">
        <f>'BIFUbC-heavy-or-residual-oil'!H21</f>
        <v>0</v>
      </c>
      <c r="I21">
        <f>'BIFUbC-heavy-or-residual-oil'!I21</f>
        <v>0</v>
      </c>
      <c r="J21">
        <f>'BIFUbC-heavy-or-residual-oil'!J21</f>
        <v>0</v>
      </c>
      <c r="K21">
        <f>'BIFUbC-heavy-or-residual-oil'!K21</f>
        <v>0</v>
      </c>
      <c r="L21">
        <f>'BIFUbC-heavy-or-residual-oil'!L21</f>
        <v>0</v>
      </c>
      <c r="M21">
        <f>'BIFUbC-heavy-or-residual-oil'!M21</f>
        <v>0</v>
      </c>
      <c r="N21">
        <f>'BIFUbC-heavy-or-residual-oil'!N21</f>
        <v>0</v>
      </c>
      <c r="O21">
        <f>'BIFUbC-heavy-or-residual-oil'!O21</f>
        <v>0</v>
      </c>
      <c r="P21">
        <f>'BIFUbC-heavy-or-residual-oil'!P21</f>
        <v>0</v>
      </c>
      <c r="Q21">
        <f>'BIFUbC-heavy-or-residual-oil'!Q21</f>
        <v>0</v>
      </c>
      <c r="R21">
        <f>'BIFUbC-heavy-or-residual-oil'!R21</f>
        <v>0</v>
      </c>
      <c r="S21">
        <f>'BIFUbC-heavy-or-residual-oil'!S21</f>
        <v>0</v>
      </c>
      <c r="T21">
        <f>'BIFUbC-heavy-or-residual-oil'!T21</f>
        <v>0</v>
      </c>
      <c r="U21">
        <f>'BIFUbC-heavy-or-residual-oil'!U21</f>
        <v>0</v>
      </c>
      <c r="V21">
        <f>'BIFUbC-heavy-or-residual-oil'!V21</f>
        <v>0</v>
      </c>
      <c r="W21">
        <f>'BIFUbC-heavy-or-residual-oil'!W21</f>
        <v>0</v>
      </c>
      <c r="X21">
        <f>'BIFUbC-heavy-or-residual-oil'!X21</f>
        <v>0</v>
      </c>
      <c r="Y21">
        <f>'BIFUbC-heavy-or-residual-oil'!Y21</f>
        <v>0</v>
      </c>
      <c r="Z21">
        <f>'BIFUbC-heavy-or-residual-oil'!Z21</f>
        <v>0</v>
      </c>
      <c r="AA21">
        <f>'BIFUbC-heavy-or-residual-oil'!AA21</f>
        <v>0</v>
      </c>
      <c r="AB21">
        <f>'BIFUbC-heavy-or-residual-oil'!AB21</f>
        <v>0</v>
      </c>
      <c r="AC21">
        <f>'BIFUbC-heavy-or-residual-oil'!AC21</f>
        <v>0</v>
      </c>
      <c r="AD21">
        <f>'BIFUbC-heavy-or-residual-oil'!AD21</f>
        <v>0</v>
      </c>
      <c r="AE21">
        <f>'BIFUbC-heavy-or-residual-oil'!AE21</f>
        <v>0</v>
      </c>
      <c r="AF21">
        <f>'BIFUbC-heavy-or-residual-oil'!AF21</f>
        <v>0</v>
      </c>
    </row>
    <row r="22" spans="1:33" ht="14" customHeight="1" x14ac:dyDescent="0.15">
      <c r="A22" s="48" t="s">
        <v>196</v>
      </c>
      <c r="B22">
        <f>'BIFUbC-heavy-or-residual-oil'!B22</f>
        <v>0</v>
      </c>
      <c r="C22">
        <f>'BIFUbC-heavy-or-residual-oil'!C22</f>
        <v>0</v>
      </c>
      <c r="D22">
        <f>'BIFUbC-heavy-or-residual-oil'!D22</f>
        <v>0</v>
      </c>
      <c r="E22">
        <f>'BIFUbC-heavy-or-residual-oil'!E22</f>
        <v>0</v>
      </c>
      <c r="F22">
        <f>'BIFUbC-heavy-or-residual-oil'!F22</f>
        <v>0</v>
      </c>
      <c r="G22">
        <f>'BIFUbC-heavy-or-residual-oil'!G22</f>
        <v>0</v>
      </c>
      <c r="H22">
        <f>'BIFUbC-heavy-or-residual-oil'!H22</f>
        <v>0</v>
      </c>
      <c r="I22">
        <f>'BIFUbC-heavy-or-residual-oil'!I22</f>
        <v>0</v>
      </c>
      <c r="J22">
        <f>'BIFUbC-heavy-or-residual-oil'!J22</f>
        <v>0</v>
      </c>
      <c r="K22">
        <f>'BIFUbC-heavy-or-residual-oil'!K22</f>
        <v>0</v>
      </c>
      <c r="L22">
        <f>'BIFUbC-heavy-or-residual-oil'!L22</f>
        <v>0</v>
      </c>
      <c r="M22">
        <f>'BIFUbC-heavy-or-residual-oil'!M22</f>
        <v>0</v>
      </c>
      <c r="N22">
        <f>'BIFUbC-heavy-or-residual-oil'!N22</f>
        <v>0</v>
      </c>
      <c r="O22">
        <f>'BIFUbC-heavy-or-residual-oil'!O22</f>
        <v>0</v>
      </c>
      <c r="P22">
        <f>'BIFUbC-heavy-or-residual-oil'!P22</f>
        <v>0</v>
      </c>
      <c r="Q22">
        <f>'BIFUbC-heavy-or-residual-oil'!Q22</f>
        <v>0</v>
      </c>
      <c r="R22">
        <f>'BIFUbC-heavy-or-residual-oil'!R22</f>
        <v>0</v>
      </c>
      <c r="S22">
        <f>'BIFUbC-heavy-or-residual-oil'!S22</f>
        <v>0</v>
      </c>
      <c r="T22">
        <f>'BIFUbC-heavy-or-residual-oil'!T22</f>
        <v>0</v>
      </c>
      <c r="U22">
        <f>'BIFUbC-heavy-or-residual-oil'!U22</f>
        <v>0</v>
      </c>
      <c r="V22">
        <f>'BIFUbC-heavy-or-residual-oil'!V22</f>
        <v>0</v>
      </c>
      <c r="W22">
        <f>'BIFUbC-heavy-or-residual-oil'!W22</f>
        <v>0</v>
      </c>
      <c r="X22">
        <f>'BIFUbC-heavy-or-residual-oil'!X22</f>
        <v>0</v>
      </c>
      <c r="Y22">
        <f>'BIFUbC-heavy-or-residual-oil'!Y22</f>
        <v>0</v>
      </c>
      <c r="Z22">
        <f>'BIFUbC-heavy-or-residual-oil'!Z22</f>
        <v>0</v>
      </c>
      <c r="AA22">
        <f>'BIFUbC-heavy-or-residual-oil'!AA22</f>
        <v>0</v>
      </c>
      <c r="AB22">
        <f>'BIFUbC-heavy-or-residual-oil'!AB22</f>
        <v>0</v>
      </c>
      <c r="AC22">
        <f>'BIFUbC-heavy-or-residual-oil'!AC22</f>
        <v>0</v>
      </c>
      <c r="AD22">
        <f>'BIFUbC-heavy-or-residual-oil'!AD22</f>
        <v>0</v>
      </c>
      <c r="AE22">
        <f>'BIFUbC-heavy-or-residual-oil'!AE22</f>
        <v>0</v>
      </c>
      <c r="AF22">
        <f>'BIFUbC-heavy-or-residual-oil'!AF22</f>
        <v>0</v>
      </c>
    </row>
    <row r="23" spans="1:33" ht="14" customHeight="1" x14ac:dyDescent="0.15">
      <c r="A23" s="48" t="s">
        <v>197</v>
      </c>
      <c r="B23">
        <f>'BIFUbC-heavy-or-residual-oil'!B23</f>
        <v>0</v>
      </c>
      <c r="C23">
        <f>'BIFUbC-heavy-or-residual-oil'!C23</f>
        <v>0</v>
      </c>
      <c r="D23">
        <f>'BIFUbC-heavy-or-residual-oil'!D23</f>
        <v>0</v>
      </c>
      <c r="E23">
        <f>'BIFUbC-heavy-or-residual-oil'!E23</f>
        <v>0</v>
      </c>
      <c r="F23">
        <f>'BIFUbC-heavy-or-residual-oil'!F23</f>
        <v>0</v>
      </c>
      <c r="G23">
        <f>'BIFUbC-heavy-or-residual-oil'!G23</f>
        <v>0</v>
      </c>
      <c r="H23">
        <f>'BIFUbC-heavy-or-residual-oil'!H23</f>
        <v>0</v>
      </c>
      <c r="I23">
        <f>'BIFUbC-heavy-or-residual-oil'!I23</f>
        <v>0</v>
      </c>
      <c r="J23">
        <f>'BIFUbC-heavy-or-residual-oil'!J23</f>
        <v>0</v>
      </c>
      <c r="K23">
        <f>'BIFUbC-heavy-or-residual-oil'!K23</f>
        <v>0</v>
      </c>
      <c r="L23">
        <f>'BIFUbC-heavy-or-residual-oil'!L23</f>
        <v>0</v>
      </c>
      <c r="M23">
        <f>'BIFUbC-heavy-or-residual-oil'!M23</f>
        <v>0</v>
      </c>
      <c r="N23">
        <f>'BIFUbC-heavy-or-residual-oil'!N23</f>
        <v>0</v>
      </c>
      <c r="O23">
        <f>'BIFUbC-heavy-or-residual-oil'!O23</f>
        <v>0</v>
      </c>
      <c r="P23">
        <f>'BIFUbC-heavy-or-residual-oil'!P23</f>
        <v>0</v>
      </c>
      <c r="Q23">
        <f>'BIFUbC-heavy-or-residual-oil'!Q23</f>
        <v>0</v>
      </c>
      <c r="R23">
        <f>'BIFUbC-heavy-or-residual-oil'!R23</f>
        <v>0</v>
      </c>
      <c r="S23">
        <f>'BIFUbC-heavy-or-residual-oil'!S23</f>
        <v>0</v>
      </c>
      <c r="T23">
        <f>'BIFUbC-heavy-or-residual-oil'!T23</f>
        <v>0</v>
      </c>
      <c r="U23">
        <f>'BIFUbC-heavy-or-residual-oil'!U23</f>
        <v>0</v>
      </c>
      <c r="V23">
        <f>'BIFUbC-heavy-or-residual-oil'!V23</f>
        <v>0</v>
      </c>
      <c r="W23">
        <f>'BIFUbC-heavy-or-residual-oil'!W23</f>
        <v>0</v>
      </c>
      <c r="X23">
        <f>'BIFUbC-heavy-or-residual-oil'!X23</f>
        <v>0</v>
      </c>
      <c r="Y23">
        <f>'BIFUbC-heavy-or-residual-oil'!Y23</f>
        <v>0</v>
      </c>
      <c r="Z23">
        <f>'BIFUbC-heavy-or-residual-oil'!Z23</f>
        <v>0</v>
      </c>
      <c r="AA23">
        <f>'BIFUbC-heavy-or-residual-oil'!AA23</f>
        <v>0</v>
      </c>
      <c r="AB23">
        <f>'BIFUbC-heavy-or-residual-oil'!AB23</f>
        <v>0</v>
      </c>
      <c r="AC23">
        <f>'BIFUbC-heavy-or-residual-oil'!AC23</f>
        <v>0</v>
      </c>
      <c r="AD23">
        <f>'BIFUbC-heavy-or-residual-oil'!AD23</f>
        <v>0</v>
      </c>
      <c r="AE23">
        <f>'BIFUbC-heavy-or-residual-oil'!AE23</f>
        <v>0</v>
      </c>
      <c r="AF23">
        <f>'BIFUbC-heavy-or-residual-oil'!AF23</f>
        <v>0</v>
      </c>
    </row>
    <row r="24" spans="1:33" ht="14" customHeight="1" x14ac:dyDescent="0.15">
      <c r="A24" s="48" t="s">
        <v>198</v>
      </c>
      <c r="B24">
        <f>'BIFUbC-heavy-or-residual-oil'!B24</f>
        <v>0</v>
      </c>
      <c r="C24">
        <f>'BIFUbC-heavy-or-residual-oil'!C24</f>
        <v>0</v>
      </c>
      <c r="D24">
        <f>'BIFUbC-heavy-or-residual-oil'!D24</f>
        <v>0</v>
      </c>
      <c r="E24">
        <f>'BIFUbC-heavy-or-residual-oil'!E24</f>
        <v>0</v>
      </c>
      <c r="F24">
        <f>'BIFUbC-heavy-or-residual-oil'!F24</f>
        <v>0</v>
      </c>
      <c r="G24">
        <f>'BIFUbC-heavy-or-residual-oil'!G24</f>
        <v>0</v>
      </c>
      <c r="H24">
        <f>'BIFUbC-heavy-or-residual-oil'!H24</f>
        <v>0</v>
      </c>
      <c r="I24">
        <f>'BIFUbC-heavy-or-residual-oil'!I24</f>
        <v>0</v>
      </c>
      <c r="J24">
        <f>'BIFUbC-heavy-or-residual-oil'!J24</f>
        <v>0</v>
      </c>
      <c r="K24">
        <f>'BIFUbC-heavy-or-residual-oil'!K24</f>
        <v>0</v>
      </c>
      <c r="L24">
        <f>'BIFUbC-heavy-or-residual-oil'!L24</f>
        <v>0</v>
      </c>
      <c r="M24">
        <f>'BIFUbC-heavy-or-residual-oil'!M24</f>
        <v>0</v>
      </c>
      <c r="N24">
        <f>'BIFUbC-heavy-or-residual-oil'!N24</f>
        <v>0</v>
      </c>
      <c r="O24">
        <f>'BIFUbC-heavy-or-residual-oil'!O24</f>
        <v>0</v>
      </c>
      <c r="P24">
        <f>'BIFUbC-heavy-or-residual-oil'!P24</f>
        <v>0</v>
      </c>
      <c r="Q24">
        <f>'BIFUbC-heavy-or-residual-oil'!Q24</f>
        <v>0</v>
      </c>
      <c r="R24">
        <f>'BIFUbC-heavy-or-residual-oil'!R24</f>
        <v>0</v>
      </c>
      <c r="S24">
        <f>'BIFUbC-heavy-or-residual-oil'!S24</f>
        <v>0</v>
      </c>
      <c r="T24">
        <f>'BIFUbC-heavy-or-residual-oil'!T24</f>
        <v>0</v>
      </c>
      <c r="U24">
        <f>'BIFUbC-heavy-or-residual-oil'!U24</f>
        <v>0</v>
      </c>
      <c r="V24">
        <f>'BIFUbC-heavy-or-residual-oil'!V24</f>
        <v>0</v>
      </c>
      <c r="W24">
        <f>'BIFUbC-heavy-or-residual-oil'!W24</f>
        <v>0</v>
      </c>
      <c r="X24">
        <f>'BIFUbC-heavy-or-residual-oil'!X24</f>
        <v>0</v>
      </c>
      <c r="Y24">
        <f>'BIFUbC-heavy-or-residual-oil'!Y24</f>
        <v>0</v>
      </c>
      <c r="Z24">
        <f>'BIFUbC-heavy-or-residual-oil'!Z24</f>
        <v>0</v>
      </c>
      <c r="AA24">
        <f>'BIFUbC-heavy-or-residual-oil'!AA24</f>
        <v>0</v>
      </c>
      <c r="AB24">
        <f>'BIFUbC-heavy-or-residual-oil'!AB24</f>
        <v>0</v>
      </c>
      <c r="AC24">
        <f>'BIFUbC-heavy-or-residual-oil'!AC24</f>
        <v>0</v>
      </c>
      <c r="AD24">
        <f>'BIFUbC-heavy-or-residual-oil'!AD24</f>
        <v>0</v>
      </c>
      <c r="AE24">
        <f>'BIFUbC-heavy-or-residual-oil'!AE24</f>
        <v>0</v>
      </c>
      <c r="AF24">
        <f>'BIFUbC-heavy-or-residual-oil'!AF24</f>
        <v>0</v>
      </c>
    </row>
    <row r="25" spans="1:33" ht="14" customHeight="1" x14ac:dyDescent="0.15">
      <c r="A25" s="48" t="s">
        <v>199</v>
      </c>
      <c r="B25">
        <f>'BIFUbC-heavy-or-residual-oil'!B25</f>
        <v>0</v>
      </c>
      <c r="C25">
        <f>'BIFUbC-heavy-or-residual-oil'!C25</f>
        <v>0</v>
      </c>
      <c r="D25">
        <f>'BIFUbC-heavy-or-residual-oil'!D25</f>
        <v>0</v>
      </c>
      <c r="E25">
        <f>'BIFUbC-heavy-or-residual-oil'!E25</f>
        <v>0</v>
      </c>
      <c r="F25">
        <f>'BIFUbC-heavy-or-residual-oil'!F25</f>
        <v>0</v>
      </c>
      <c r="G25">
        <f>'BIFUbC-heavy-or-residual-oil'!G25</f>
        <v>0</v>
      </c>
      <c r="H25">
        <f>'BIFUbC-heavy-or-residual-oil'!H25</f>
        <v>0</v>
      </c>
      <c r="I25">
        <f>'BIFUbC-heavy-or-residual-oil'!I25</f>
        <v>0</v>
      </c>
      <c r="J25">
        <f>'BIFUbC-heavy-or-residual-oil'!J25</f>
        <v>0</v>
      </c>
      <c r="K25">
        <f>'BIFUbC-heavy-or-residual-oil'!K25</f>
        <v>0</v>
      </c>
      <c r="L25">
        <f>'BIFUbC-heavy-or-residual-oil'!L25</f>
        <v>0</v>
      </c>
      <c r="M25">
        <f>'BIFUbC-heavy-or-residual-oil'!M25</f>
        <v>0</v>
      </c>
      <c r="N25">
        <f>'BIFUbC-heavy-or-residual-oil'!N25</f>
        <v>0</v>
      </c>
      <c r="O25">
        <f>'BIFUbC-heavy-or-residual-oil'!O25</f>
        <v>0</v>
      </c>
      <c r="P25">
        <f>'BIFUbC-heavy-or-residual-oil'!P25</f>
        <v>0</v>
      </c>
      <c r="Q25">
        <f>'BIFUbC-heavy-or-residual-oil'!Q25</f>
        <v>0</v>
      </c>
      <c r="R25">
        <f>'BIFUbC-heavy-or-residual-oil'!R25</f>
        <v>0</v>
      </c>
      <c r="S25">
        <f>'BIFUbC-heavy-or-residual-oil'!S25</f>
        <v>0</v>
      </c>
      <c r="T25">
        <f>'BIFUbC-heavy-or-residual-oil'!T25</f>
        <v>0</v>
      </c>
      <c r="U25">
        <f>'BIFUbC-heavy-or-residual-oil'!U25</f>
        <v>0</v>
      </c>
      <c r="V25">
        <f>'BIFUbC-heavy-or-residual-oil'!V25</f>
        <v>0</v>
      </c>
      <c r="W25">
        <f>'BIFUbC-heavy-or-residual-oil'!W25</f>
        <v>0</v>
      </c>
      <c r="X25">
        <f>'BIFUbC-heavy-or-residual-oil'!X25</f>
        <v>0</v>
      </c>
      <c r="Y25">
        <f>'BIFUbC-heavy-or-residual-oil'!Y25</f>
        <v>0</v>
      </c>
      <c r="Z25">
        <f>'BIFUbC-heavy-or-residual-oil'!Z25</f>
        <v>0</v>
      </c>
      <c r="AA25">
        <f>'BIFUbC-heavy-or-residual-oil'!AA25</f>
        <v>0</v>
      </c>
      <c r="AB25">
        <f>'BIFUbC-heavy-or-residual-oil'!AB25</f>
        <v>0</v>
      </c>
      <c r="AC25">
        <f>'BIFUbC-heavy-or-residual-oil'!AC25</f>
        <v>0</v>
      </c>
      <c r="AD25">
        <f>'BIFUbC-heavy-or-residual-oil'!AD25</f>
        <v>0</v>
      </c>
      <c r="AE25">
        <f>'BIFUbC-heavy-or-residual-oil'!AE25</f>
        <v>0</v>
      </c>
      <c r="AF25">
        <f>'BIFUbC-heavy-or-residual-oil'!AF25</f>
        <v>0</v>
      </c>
    </row>
    <row r="26" spans="1:33" ht="14" customHeight="1" x14ac:dyDescent="0.15">
      <c r="A26" s="48" t="s">
        <v>200</v>
      </c>
      <c r="B26">
        <f>'BIFUbC-heavy-or-residual-oil'!B26</f>
        <v>0</v>
      </c>
      <c r="C26">
        <f>'BIFUbC-heavy-or-residual-oil'!C26</f>
        <v>0</v>
      </c>
      <c r="D26">
        <f>'BIFUbC-heavy-or-residual-oil'!D26</f>
        <v>0</v>
      </c>
      <c r="E26">
        <f>'BIFUbC-heavy-or-residual-oil'!E26</f>
        <v>0</v>
      </c>
      <c r="F26">
        <f>'BIFUbC-heavy-or-residual-oil'!F26</f>
        <v>0</v>
      </c>
      <c r="G26">
        <f>'BIFUbC-heavy-or-residual-oil'!G26</f>
        <v>0</v>
      </c>
      <c r="H26">
        <f>'BIFUbC-heavy-or-residual-oil'!H26</f>
        <v>0</v>
      </c>
      <c r="I26">
        <f>'BIFUbC-heavy-or-residual-oil'!I26</f>
        <v>0</v>
      </c>
      <c r="J26">
        <f>'BIFUbC-heavy-or-residual-oil'!J26</f>
        <v>0</v>
      </c>
      <c r="K26">
        <f>'BIFUbC-heavy-or-residual-oil'!K26</f>
        <v>0</v>
      </c>
      <c r="L26">
        <f>'BIFUbC-heavy-or-residual-oil'!L26</f>
        <v>0</v>
      </c>
      <c r="M26">
        <f>'BIFUbC-heavy-or-residual-oil'!M26</f>
        <v>0</v>
      </c>
      <c r="N26">
        <f>'BIFUbC-heavy-or-residual-oil'!N26</f>
        <v>0</v>
      </c>
      <c r="O26">
        <f>'BIFUbC-heavy-or-residual-oil'!O26</f>
        <v>0</v>
      </c>
      <c r="P26">
        <f>'BIFUbC-heavy-or-residual-oil'!P26</f>
        <v>0</v>
      </c>
      <c r="Q26">
        <f>'BIFUbC-heavy-or-residual-oil'!Q26</f>
        <v>0</v>
      </c>
      <c r="R26">
        <f>'BIFUbC-heavy-or-residual-oil'!R26</f>
        <v>0</v>
      </c>
      <c r="S26">
        <f>'BIFUbC-heavy-or-residual-oil'!S26</f>
        <v>0</v>
      </c>
      <c r="T26">
        <f>'BIFUbC-heavy-or-residual-oil'!T26</f>
        <v>0</v>
      </c>
      <c r="U26">
        <f>'BIFUbC-heavy-or-residual-oil'!U26</f>
        <v>0</v>
      </c>
      <c r="V26">
        <f>'BIFUbC-heavy-or-residual-oil'!V26</f>
        <v>0</v>
      </c>
      <c r="W26">
        <f>'BIFUbC-heavy-or-residual-oil'!W26</f>
        <v>0</v>
      </c>
      <c r="X26">
        <f>'BIFUbC-heavy-or-residual-oil'!X26</f>
        <v>0</v>
      </c>
      <c r="Y26">
        <f>'BIFUbC-heavy-or-residual-oil'!Y26</f>
        <v>0</v>
      </c>
      <c r="Z26">
        <f>'BIFUbC-heavy-or-residual-oil'!Z26</f>
        <v>0</v>
      </c>
      <c r="AA26">
        <f>'BIFUbC-heavy-or-residual-oil'!AA26</f>
        <v>0</v>
      </c>
      <c r="AB26">
        <f>'BIFUbC-heavy-or-residual-oil'!AB26</f>
        <v>0</v>
      </c>
      <c r="AC26">
        <f>'BIFUbC-heavy-or-residual-oil'!AC26</f>
        <v>0</v>
      </c>
      <c r="AD26">
        <f>'BIFUbC-heavy-or-residual-oil'!AD26</f>
        <v>0</v>
      </c>
      <c r="AE26">
        <f>'BIFUbC-heavy-or-residual-oil'!AE26</f>
        <v>0</v>
      </c>
      <c r="AF26">
        <f>'BIFUbC-heavy-or-residual-oil'!AF26</f>
        <v>0</v>
      </c>
    </row>
    <row r="27" spans="1:33" ht="14" customHeight="1" x14ac:dyDescent="0.15"/>
    <row r="28" spans="1:33" ht="14.5" customHeight="1" x14ac:dyDescent="0.2">
      <c r="A28" s="29"/>
    </row>
    <row r="29" spans="1:33" ht="14" customHeight="1" x14ac:dyDescent="0.15"/>
    <row r="30" spans="1:33" ht="14.5" customHeight="1" x14ac:dyDescent="0.2">
      <c r="A30" s="29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 spans="1:33" ht="14" customHeight="1" x14ac:dyDescent="0.15"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 spans="1:33" ht="14" customHeight="1" x14ac:dyDescent="0.15"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 spans="1:35" ht="14.5" customHeight="1" x14ac:dyDescent="0.2">
      <c r="A33" s="29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 spans="1:35" ht="14" customHeight="1" x14ac:dyDescent="0.15">
      <c r="A34" s="31"/>
      <c r="B34" s="32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</row>
    <row r="35" spans="1:35" ht="14" customHeight="1" x14ac:dyDescent="0.15">
      <c r="A35" s="31"/>
      <c r="B35" s="32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58"/>
    </row>
    <row r="36" spans="1:35" ht="14" customHeight="1" x14ac:dyDescent="0.15">
      <c r="A36" s="31"/>
      <c r="B36" s="32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</row>
    <row r="37" spans="1:35" ht="14" customHeight="1" x14ac:dyDescent="0.15">
      <c r="A37" s="31"/>
      <c r="B37" s="32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</row>
    <row r="38" spans="1:35" ht="14" customHeight="1" x14ac:dyDescent="0.15">
      <c r="A38" s="31"/>
      <c r="B38" s="32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</row>
    <row r="39" spans="1:35" ht="14" customHeight="1" x14ac:dyDescent="0.15">
      <c r="A39" s="31"/>
      <c r="B39" s="32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</row>
    <row r="40" spans="1:35" ht="14" customHeight="1" x14ac:dyDescent="0.15">
      <c r="A40" s="31"/>
      <c r="B40" s="32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</row>
    <row r="41" spans="1:35" ht="14" customHeight="1" x14ac:dyDescent="0.15">
      <c r="A41" s="31"/>
      <c r="B41" s="32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</row>
    <row r="42" spans="1:35" ht="14" customHeight="1" x14ac:dyDescent="0.15">
      <c r="A42" s="31"/>
      <c r="B42" s="32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58"/>
      <c r="AG42" s="58"/>
      <c r="AH42" s="58"/>
      <c r="AI42" s="58"/>
    </row>
    <row r="43" spans="1:35" ht="14" customHeight="1" x14ac:dyDescent="0.15">
      <c r="A43" s="31"/>
      <c r="B43" s="32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  <c r="AD43" s="58"/>
      <c r="AE43" s="58"/>
      <c r="AF43" s="58"/>
      <c r="AG43" s="58"/>
      <c r="AH43" s="58"/>
      <c r="AI43" s="58"/>
    </row>
    <row r="44" spans="1:35" ht="14" customHeight="1" x14ac:dyDescent="0.15">
      <c r="A44" s="31"/>
      <c r="B44" s="32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</row>
    <row r="45" spans="1:35" ht="14" customHeight="1" x14ac:dyDescent="0.15">
      <c r="A45" s="31"/>
      <c r="B45" s="32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</row>
    <row r="46" spans="1:35" ht="14" customHeight="1" x14ac:dyDescent="0.15">
      <c r="A46" s="33"/>
      <c r="B46" s="34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</row>
    <row r="47" spans="1:35" ht="14.5" customHeight="1" x14ac:dyDescent="0.2">
      <c r="A47" s="29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 spans="1:35" ht="14" customHeight="1" x14ac:dyDescent="0.15">
      <c r="A48" s="31"/>
      <c r="B48" s="32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  <c r="AD48" s="58"/>
      <c r="AE48" s="58"/>
      <c r="AF48" s="58"/>
      <c r="AG48" s="58"/>
      <c r="AH48" s="58"/>
      <c r="AI48" s="58"/>
    </row>
    <row r="49" spans="1:35" ht="14" customHeight="1" x14ac:dyDescent="0.15">
      <c r="A49" s="31"/>
      <c r="B49" s="32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  <c r="AC49" s="58"/>
      <c r="AD49" s="58"/>
      <c r="AE49" s="58"/>
      <c r="AF49" s="58"/>
      <c r="AG49" s="58"/>
      <c r="AH49" s="58"/>
      <c r="AI49" s="58"/>
    </row>
    <row r="50" spans="1:35" ht="14.5" customHeight="1" x14ac:dyDescent="0.2">
      <c r="A50" s="35"/>
      <c r="B50" s="32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  <c r="AD50" s="58"/>
      <c r="AE50" s="58"/>
      <c r="AF50" s="58"/>
      <c r="AG50" s="58"/>
      <c r="AH50" s="58"/>
      <c r="AI50" s="58"/>
    </row>
    <row r="51" spans="1:35" ht="14" customHeight="1" x14ac:dyDescent="0.15">
      <c r="A51" s="31"/>
      <c r="B51" s="32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  <c r="AD51" s="58"/>
      <c r="AE51" s="58"/>
      <c r="AF51" s="58"/>
      <c r="AG51" s="58"/>
      <c r="AH51" s="58"/>
      <c r="AI51" s="58"/>
    </row>
    <row r="52" spans="1:35" ht="14" customHeight="1" x14ac:dyDescent="0.15">
      <c r="A52" s="31"/>
      <c r="B52" s="32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</row>
    <row r="53" spans="1:35" ht="14" customHeight="1" x14ac:dyDescent="0.15">
      <c r="A53" s="31"/>
      <c r="B53" s="32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</row>
    <row r="54" spans="1:35" ht="14" customHeight="1" x14ac:dyDescent="0.15">
      <c r="A54" s="31"/>
      <c r="B54" s="32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</row>
    <row r="55" spans="1:35" ht="14" customHeight="1" x14ac:dyDescent="0.15">
      <c r="A55" s="31"/>
      <c r="B55" s="32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  <c r="AB55" s="58"/>
      <c r="AC55" s="58"/>
      <c r="AD55" s="58"/>
      <c r="AE55" s="58"/>
      <c r="AF55" s="58"/>
      <c r="AG55" s="58"/>
      <c r="AH55" s="58"/>
      <c r="AI55" s="58"/>
    </row>
    <row r="56" spans="1:35" ht="14" customHeight="1" x14ac:dyDescent="0.15">
      <c r="A56" s="31"/>
      <c r="B56" s="36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  <c r="AD56" s="58"/>
      <c r="AE56" s="58"/>
      <c r="AF56" s="58"/>
      <c r="AG56" s="58"/>
      <c r="AH56" s="58"/>
      <c r="AI56" s="58"/>
    </row>
    <row r="57" spans="1:35" ht="14" customHeight="1" x14ac:dyDescent="0.15">
      <c r="A57" s="31"/>
      <c r="B57" s="36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  <c r="AI57" s="58"/>
    </row>
    <row r="58" spans="1:35" ht="14" customHeight="1" x14ac:dyDescent="0.15">
      <c r="A58" s="31"/>
      <c r="B58" s="36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</row>
    <row r="59" spans="1:35" ht="14" customHeight="1" x14ac:dyDescent="0.15">
      <c r="A59" s="31"/>
      <c r="B59" s="36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</row>
    <row r="60" spans="1:35" ht="14" customHeight="1" x14ac:dyDescent="0.15">
      <c r="A60" s="31"/>
      <c r="B60" s="36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  <c r="AB60" s="58"/>
      <c r="AC60" s="58"/>
      <c r="AD60" s="58"/>
      <c r="AE60" s="58"/>
      <c r="AF60" s="58"/>
      <c r="AG60" s="58"/>
      <c r="AH60" s="58"/>
      <c r="AI60" s="58"/>
    </row>
    <row r="61" spans="1:35" ht="14" customHeight="1" x14ac:dyDescent="0.15">
      <c r="A61" s="31"/>
      <c r="B61" s="3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</row>
    <row r="62" spans="1:35" ht="14" customHeight="1" x14ac:dyDescent="0.15">
      <c r="A62" s="33"/>
      <c r="B62" s="36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</row>
    <row r="63" spans="1:35" ht="14.5" customHeight="1" x14ac:dyDescent="0.2">
      <c r="A63" s="37"/>
      <c r="B63" s="36"/>
    </row>
    <row r="64" spans="1:35" ht="14" customHeight="1" x14ac:dyDescent="0.15">
      <c r="A64" s="31"/>
      <c r="B64" s="36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</row>
    <row r="65" spans="1:35" ht="14" customHeight="1" x14ac:dyDescent="0.15">
      <c r="A65" s="31"/>
      <c r="B65" s="36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</row>
    <row r="66" spans="1:35" ht="14" customHeight="1" x14ac:dyDescent="0.15">
      <c r="A66" s="31"/>
      <c r="B66" s="36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  <c r="AD66" s="58"/>
      <c r="AE66" s="58"/>
      <c r="AF66" s="58"/>
      <c r="AG66" s="58"/>
      <c r="AH66" s="58"/>
      <c r="AI66" s="58"/>
    </row>
    <row r="67" spans="1:35" ht="14" customHeight="1" x14ac:dyDescent="0.15">
      <c r="A67" s="31"/>
      <c r="B67" s="36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  <c r="AG67" s="58"/>
      <c r="AH67" s="58"/>
      <c r="AI67" s="58"/>
    </row>
    <row r="68" spans="1:35" ht="14" customHeight="1" x14ac:dyDescent="0.15">
      <c r="A68" s="31"/>
      <c r="B68" s="36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</row>
    <row r="69" spans="1:35" ht="14" customHeight="1" x14ac:dyDescent="0.15">
      <c r="A69" s="31"/>
      <c r="B69" s="36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</row>
    <row r="70" spans="1:35" ht="14" customHeight="1" x14ac:dyDescent="0.15">
      <c r="A70" s="31"/>
      <c r="B70" s="36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</row>
    <row r="71" spans="1:35" ht="14" customHeight="1" x14ac:dyDescent="0.15">
      <c r="A71" s="31"/>
      <c r="B71" s="36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</row>
    <row r="72" spans="1:35" ht="14" customHeight="1" x14ac:dyDescent="0.15">
      <c r="A72" s="31"/>
      <c r="B72" s="36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</row>
    <row r="73" spans="1:35" ht="14" customHeight="1" x14ac:dyDescent="0.15">
      <c r="A73" s="31"/>
      <c r="B73" s="36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  <c r="AD73" s="58"/>
      <c r="AE73" s="58"/>
      <c r="AF73" s="58"/>
      <c r="AG73" s="58"/>
      <c r="AH73" s="58"/>
      <c r="AI73" s="58"/>
    </row>
    <row r="74" spans="1:35" ht="14" customHeight="1" x14ac:dyDescent="0.15">
      <c r="A74" s="31"/>
      <c r="B74" s="36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  <c r="AD74" s="58"/>
      <c r="AE74" s="58"/>
      <c r="AF74" s="58"/>
      <c r="AG74" s="58"/>
      <c r="AH74" s="58"/>
      <c r="AI74" s="58"/>
    </row>
    <row r="75" spans="1:35" ht="14" customHeight="1" x14ac:dyDescent="0.15">
      <c r="A75" s="31"/>
      <c r="B75" s="36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</row>
    <row r="76" spans="1:35" ht="14" customHeight="1" x14ac:dyDescent="0.15">
      <c r="A76" s="33"/>
      <c r="B76" s="36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</row>
    <row r="77" spans="1:35" ht="14.5" customHeight="1" x14ac:dyDescent="0.2">
      <c r="A77" s="37"/>
      <c r="B77" s="36"/>
    </row>
    <row r="78" spans="1:35" ht="14.5" customHeight="1" x14ac:dyDescent="0.2">
      <c r="A78" s="37"/>
      <c r="B78" s="36"/>
    </row>
    <row r="79" spans="1:35" ht="14" customHeight="1" x14ac:dyDescent="0.15">
      <c r="A79" s="31"/>
      <c r="B79" s="36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  <c r="AB79" s="58"/>
      <c r="AC79" s="58"/>
      <c r="AD79" s="58"/>
      <c r="AE79" s="58"/>
      <c r="AF79" s="58"/>
      <c r="AG79" s="58"/>
      <c r="AH79" s="58"/>
      <c r="AI79" s="58"/>
    </row>
    <row r="80" spans="1:35" ht="14" customHeight="1" x14ac:dyDescent="0.15">
      <c r="A80" s="31"/>
      <c r="B80" s="36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</row>
    <row r="81" spans="1:35" ht="14" customHeight="1" x14ac:dyDescent="0.15">
      <c r="A81" s="31"/>
      <c r="B81" s="36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</row>
    <row r="82" spans="1:35" ht="14" customHeight="1" x14ac:dyDescent="0.15">
      <c r="A82" s="31"/>
      <c r="B82" s="32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  <c r="AD82" s="58"/>
      <c r="AE82" s="58"/>
      <c r="AF82" s="58"/>
      <c r="AG82" s="58"/>
      <c r="AH82" s="58"/>
      <c r="AI82" s="58"/>
    </row>
    <row r="83" spans="1:35" ht="14" customHeight="1" x14ac:dyDescent="0.15">
      <c r="A83" s="31"/>
      <c r="B83" s="32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  <c r="AB83" s="58"/>
      <c r="AC83" s="58"/>
      <c r="AD83" s="58"/>
      <c r="AE83" s="58"/>
      <c r="AF83" s="58"/>
      <c r="AG83" s="58"/>
      <c r="AH83" s="58"/>
      <c r="AI83" s="58"/>
    </row>
    <row r="84" spans="1:35" ht="14" customHeight="1" x14ac:dyDescent="0.15">
      <c r="A84" s="31"/>
      <c r="B84" s="32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</row>
    <row r="85" spans="1:35" ht="14" customHeight="1" x14ac:dyDescent="0.15">
      <c r="A85" s="31"/>
      <c r="B85" s="32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  <c r="AC85" s="58"/>
      <c r="AD85" s="58"/>
      <c r="AE85" s="58"/>
      <c r="AF85" s="58"/>
      <c r="AG85" s="58"/>
      <c r="AH85" s="58"/>
      <c r="AI85" s="58"/>
    </row>
    <row r="86" spans="1:35" ht="14" customHeight="1" x14ac:dyDescent="0.15">
      <c r="A86" s="31"/>
      <c r="B86" s="32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</row>
    <row r="87" spans="1:35" ht="14" customHeight="1" x14ac:dyDescent="0.15">
      <c r="A87" s="31"/>
      <c r="B87" s="32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  <c r="AC87" s="58"/>
      <c r="AD87" s="58"/>
      <c r="AE87" s="58"/>
      <c r="AF87" s="58"/>
      <c r="AG87" s="58"/>
      <c r="AH87" s="58"/>
      <c r="AI87" s="58"/>
    </row>
    <row r="88" spans="1:35" ht="14" customHeight="1" x14ac:dyDescent="0.15">
      <c r="A88" s="31"/>
      <c r="B88" s="32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  <c r="AB88" s="58"/>
      <c r="AC88" s="58"/>
      <c r="AD88" s="58"/>
      <c r="AE88" s="58"/>
      <c r="AF88" s="58"/>
      <c r="AG88" s="58"/>
      <c r="AH88" s="58"/>
      <c r="AI88" s="58"/>
    </row>
    <row r="89" spans="1:35" ht="14" customHeight="1" x14ac:dyDescent="0.15">
      <c r="A89" s="31"/>
      <c r="B89" s="32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  <c r="AD89" s="58"/>
      <c r="AE89" s="58"/>
      <c r="AF89" s="58"/>
      <c r="AG89" s="58"/>
      <c r="AH89" s="58"/>
      <c r="AI89" s="58"/>
    </row>
    <row r="90" spans="1:35" ht="14.5" customHeight="1" x14ac:dyDescent="0.2">
      <c r="A90" s="38"/>
      <c r="B90" s="32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  <c r="AB90" s="58"/>
      <c r="AC90" s="58"/>
      <c r="AD90" s="58"/>
      <c r="AE90" s="58"/>
      <c r="AF90" s="58"/>
      <c r="AG90" s="58"/>
      <c r="AH90" s="58"/>
      <c r="AI90" s="58"/>
    </row>
    <row r="91" spans="1:35" ht="14.5" customHeight="1" x14ac:dyDescent="0.2">
      <c r="A91" s="35"/>
      <c r="B91" s="32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</row>
    <row r="92" spans="1:35" ht="14" customHeight="1" x14ac:dyDescent="0.15">
      <c r="A92" s="31"/>
      <c r="B92" s="32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</row>
    <row r="93" spans="1:35" ht="14" customHeight="1" x14ac:dyDescent="0.15">
      <c r="A93" s="31"/>
      <c r="B93" s="32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  <c r="AB93" s="58"/>
      <c r="AC93" s="58"/>
      <c r="AD93" s="58"/>
      <c r="AE93" s="58"/>
      <c r="AF93" s="58"/>
      <c r="AG93" s="58"/>
      <c r="AH93" s="58"/>
      <c r="AI93" s="58"/>
    </row>
    <row r="94" spans="1:35" ht="14" customHeight="1" x14ac:dyDescent="0.15">
      <c r="A94" s="31"/>
      <c r="B94" s="32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  <c r="AB94" s="58"/>
      <c r="AC94" s="58"/>
      <c r="AD94" s="58"/>
      <c r="AE94" s="58"/>
      <c r="AF94" s="58"/>
      <c r="AG94" s="58"/>
      <c r="AH94" s="58"/>
      <c r="AI94" s="58"/>
    </row>
    <row r="95" spans="1:35" ht="14.5" customHeight="1" x14ac:dyDescent="0.2">
      <c r="A95" s="37"/>
    </row>
    <row r="96" spans="1:35" ht="14" customHeight="1" x14ac:dyDescent="0.15">
      <c r="A96" s="31"/>
      <c r="B96" s="32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  <c r="AB96" s="58"/>
      <c r="AC96" s="58"/>
      <c r="AD96" s="58"/>
      <c r="AE96" s="58"/>
      <c r="AF96" s="58"/>
      <c r="AG96" s="58"/>
      <c r="AH96" s="58"/>
      <c r="AI96" s="58"/>
    </row>
    <row r="97" spans="1:35" ht="14" customHeight="1" x14ac:dyDescent="0.15">
      <c r="A97" s="31"/>
      <c r="B97" s="32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  <c r="AA97" s="58"/>
      <c r="AB97" s="58"/>
      <c r="AC97" s="58"/>
      <c r="AD97" s="58"/>
      <c r="AE97" s="58"/>
      <c r="AF97" s="58"/>
      <c r="AG97" s="58"/>
      <c r="AH97" s="58"/>
      <c r="AI97" s="58"/>
    </row>
    <row r="98" spans="1:35" ht="14" customHeight="1" x14ac:dyDescent="0.15">
      <c r="A98" s="31"/>
      <c r="B98" s="32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  <c r="AA98" s="58"/>
      <c r="AB98" s="58"/>
      <c r="AC98" s="58"/>
      <c r="AD98" s="58"/>
      <c r="AE98" s="58"/>
      <c r="AF98" s="58"/>
      <c r="AG98" s="58"/>
      <c r="AH98" s="58"/>
      <c r="AI98" s="58"/>
    </row>
    <row r="99" spans="1:35" ht="14" customHeight="1" x14ac:dyDescent="0.15">
      <c r="A99" s="31"/>
      <c r="B99" s="32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  <c r="AA99" s="58"/>
      <c r="AB99" s="58"/>
      <c r="AC99" s="58"/>
      <c r="AD99" s="58"/>
      <c r="AE99" s="58"/>
      <c r="AF99" s="58"/>
      <c r="AG99" s="58"/>
      <c r="AH99" s="58"/>
      <c r="AI99" s="58"/>
    </row>
    <row r="100" spans="1:35" ht="14" customHeight="1" x14ac:dyDescent="0.15">
      <c r="A100" s="31"/>
      <c r="B100" s="32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  <c r="AB100" s="58"/>
      <c r="AC100" s="58"/>
      <c r="AD100" s="58"/>
      <c r="AE100" s="58"/>
      <c r="AF100" s="58"/>
      <c r="AG100" s="58"/>
      <c r="AH100" s="58"/>
      <c r="AI100" s="58"/>
    </row>
    <row r="101" spans="1:35" ht="14" customHeight="1" x14ac:dyDescent="0.15">
      <c r="A101" s="31"/>
      <c r="B101" s="32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  <c r="AA101" s="58"/>
      <c r="AB101" s="58"/>
      <c r="AC101" s="58"/>
      <c r="AD101" s="58"/>
      <c r="AE101" s="58"/>
      <c r="AF101" s="58"/>
      <c r="AG101" s="58"/>
      <c r="AH101" s="58"/>
      <c r="AI101" s="58"/>
    </row>
    <row r="102" spans="1:35" ht="14" customHeight="1" x14ac:dyDescent="0.15">
      <c r="A102" s="31"/>
      <c r="B102" s="32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</row>
    <row r="103" spans="1:35" ht="14" customHeight="1" x14ac:dyDescent="0.15">
      <c r="A103" s="31"/>
      <c r="B103" s="32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  <c r="AA103" s="58"/>
      <c r="AB103" s="58"/>
      <c r="AC103" s="58"/>
      <c r="AD103" s="58"/>
      <c r="AE103" s="58"/>
      <c r="AF103" s="58"/>
      <c r="AG103" s="58"/>
      <c r="AH103" s="58"/>
      <c r="AI103" s="58"/>
    </row>
    <row r="104" spans="1:35" ht="14" customHeight="1" x14ac:dyDescent="0.15">
      <c r="A104" s="31"/>
      <c r="B104" s="32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</row>
    <row r="105" spans="1:35" ht="14" customHeight="1" x14ac:dyDescent="0.15">
      <c r="A105" s="31"/>
      <c r="B105" s="32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  <c r="AH105" s="58"/>
      <c r="AI105" s="58"/>
    </row>
    <row r="106" spans="1:35" ht="14" customHeight="1" x14ac:dyDescent="0.15">
      <c r="A106" s="31"/>
      <c r="B106" s="32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</row>
    <row r="107" spans="1:35" ht="14" customHeight="1" x14ac:dyDescent="0.15">
      <c r="A107" s="33"/>
      <c r="B107" s="34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</row>
    <row r="108" spans="1:35" ht="14.5" customHeight="1" x14ac:dyDescent="0.2">
      <c r="A108" s="29"/>
    </row>
    <row r="109" spans="1:35" ht="14" customHeight="1" x14ac:dyDescent="0.15">
      <c r="A109" s="39"/>
      <c r="B109" s="40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</row>
    <row r="110" spans="1:35" ht="14" customHeight="1" x14ac:dyDescent="0.15">
      <c r="A110" s="39"/>
      <c r="B110" s="40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</row>
    <row r="111" spans="1:35" ht="14" customHeight="1" x14ac:dyDescent="0.15">
      <c r="A111" s="39"/>
      <c r="B111" s="43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</row>
    <row r="112" spans="1:35" ht="14" customHeight="1" x14ac:dyDescent="0.15">
      <c r="A112" s="39"/>
      <c r="B112" s="43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</row>
    <row r="113" spans="1:35" ht="14.5" customHeight="1" x14ac:dyDescent="0.2">
      <c r="A113" s="29"/>
    </row>
    <row r="114" spans="1:35" ht="14" customHeight="1" x14ac:dyDescent="0.15">
      <c r="A114" s="31"/>
      <c r="B114" s="32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</row>
    <row r="115" spans="1:35" ht="14" customHeight="1" x14ac:dyDescent="0.15">
      <c r="A115" s="31"/>
      <c r="B115" s="32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</row>
    <row r="116" spans="1:35" ht="14" customHeight="1" x14ac:dyDescent="0.15">
      <c r="A116" s="31"/>
      <c r="B116" s="32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</row>
    <row r="117" spans="1:35" ht="14" customHeight="1" x14ac:dyDescent="0.15">
      <c r="A117" s="31"/>
      <c r="B117" s="32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</row>
    <row r="118" spans="1:35" ht="14" customHeight="1" x14ac:dyDescent="0.15">
      <c r="A118" s="31"/>
      <c r="B118" s="32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  <c r="AA118" s="58"/>
      <c r="AB118" s="58"/>
      <c r="AC118" s="58"/>
      <c r="AD118" s="58"/>
      <c r="AE118" s="58"/>
      <c r="AF118" s="58"/>
      <c r="AG118" s="58"/>
      <c r="AH118" s="58"/>
      <c r="AI118" s="58"/>
    </row>
    <row r="119" spans="1:35" ht="14" customHeight="1" x14ac:dyDescent="0.15">
      <c r="A119" s="31"/>
      <c r="B119" s="32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  <c r="AA119" s="58"/>
      <c r="AB119" s="58"/>
      <c r="AC119" s="58"/>
      <c r="AD119" s="58"/>
      <c r="AE119" s="58"/>
      <c r="AF119" s="58"/>
      <c r="AG119" s="58"/>
      <c r="AH119" s="58"/>
      <c r="AI119" s="58"/>
    </row>
    <row r="120" spans="1:35" ht="14" customHeight="1" x14ac:dyDescent="0.15">
      <c r="A120" s="31"/>
      <c r="B120" s="32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  <c r="AA120" s="58"/>
      <c r="AB120" s="58"/>
      <c r="AC120" s="58"/>
      <c r="AD120" s="58"/>
      <c r="AE120" s="58"/>
      <c r="AF120" s="58"/>
      <c r="AG120" s="58"/>
      <c r="AH120" s="58"/>
      <c r="AI120" s="58"/>
    </row>
    <row r="121" spans="1:35" ht="14" customHeight="1" x14ac:dyDescent="0.15">
      <c r="A121" s="31"/>
      <c r="B121" s="32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</row>
    <row r="122" spans="1:35" ht="14" customHeight="1" x14ac:dyDescent="0.15">
      <c r="A122" s="31"/>
      <c r="B122" s="32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</row>
    <row r="123" spans="1:35" ht="14" customHeight="1" x14ac:dyDescent="0.15">
      <c r="A123" s="31"/>
      <c r="B123" s="32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</row>
    <row r="124" spans="1:35" ht="14" customHeight="1" x14ac:dyDescent="0.15">
      <c r="A124" s="33"/>
      <c r="B124" s="34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</row>
    <row r="125" spans="1:35" ht="14.5" customHeight="1" x14ac:dyDescent="0.2">
      <c r="A125" s="29"/>
    </row>
    <row r="126" spans="1:35" ht="14.5" customHeight="1" x14ac:dyDescent="0.2">
      <c r="A126" s="35"/>
      <c r="B126" s="32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</row>
    <row r="127" spans="1:35" ht="14" customHeight="1" x14ac:dyDescent="0.15">
      <c r="A127" s="31"/>
      <c r="B127" s="32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</row>
    <row r="128" spans="1:35" ht="14" customHeight="1" x14ac:dyDescent="0.15">
      <c r="A128" s="31"/>
      <c r="B128" s="32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</row>
    <row r="129" spans="1:35" ht="14" customHeight="1" x14ac:dyDescent="0.15">
      <c r="A129" s="31"/>
      <c r="B129" s="32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</row>
    <row r="130" spans="1:35" ht="14" customHeight="1" x14ac:dyDescent="0.15">
      <c r="A130" s="31"/>
      <c r="B130" s="32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</row>
    <row r="131" spans="1:35" ht="14" customHeight="1" x14ac:dyDescent="0.15">
      <c r="A131" s="31"/>
      <c r="B131" s="32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</row>
    <row r="132" spans="1:35" ht="14" customHeight="1" x14ac:dyDescent="0.15">
      <c r="A132" s="31"/>
      <c r="B132" s="32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</row>
    <row r="133" spans="1:35" ht="14" customHeight="1" x14ac:dyDescent="0.15">
      <c r="A133" s="31"/>
      <c r="B133" s="32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</row>
    <row r="134" spans="1:35" ht="14" customHeight="1" x14ac:dyDescent="0.15">
      <c r="A134" s="31"/>
      <c r="B134" s="32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</row>
    <row r="135" spans="1:35" ht="14" customHeight="1" x14ac:dyDescent="0.15">
      <c r="A135" s="31"/>
      <c r="B135" s="32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</row>
    <row r="136" spans="1:35" ht="14" customHeight="1" x14ac:dyDescent="0.15">
      <c r="A136" s="31"/>
      <c r="B136" s="32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</row>
    <row r="137" spans="1:35" ht="14" customHeight="1" x14ac:dyDescent="0.15">
      <c r="A137" s="31"/>
      <c r="B137" s="32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</row>
    <row r="138" spans="1:35" ht="14" customHeight="1" x14ac:dyDescent="0.15">
      <c r="A138" s="31"/>
      <c r="B138" s="32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</row>
    <row r="139" spans="1:35" ht="14" customHeight="1" x14ac:dyDescent="0.15">
      <c r="A139" s="31"/>
      <c r="B139" s="32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</row>
    <row r="140" spans="1:35" ht="14" customHeight="1" x14ac:dyDescent="0.15">
      <c r="A140" s="31"/>
      <c r="B140" s="32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</row>
    <row r="141" spans="1:35" ht="14" customHeight="1" x14ac:dyDescent="0.15">
      <c r="A141" s="31"/>
      <c r="B141" s="32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</row>
    <row r="142" spans="1:35" ht="14" customHeight="1" x14ac:dyDescent="0.15">
      <c r="A142" s="31"/>
      <c r="B142" s="32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</row>
    <row r="143" spans="1:35" ht="14" customHeight="1" x14ac:dyDescent="0.15">
      <c r="A143" s="31"/>
      <c r="B143" s="32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</row>
    <row r="144" spans="1:35" ht="14" customHeight="1" x14ac:dyDescent="0.15">
      <c r="A144" s="31"/>
      <c r="B144" s="32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</row>
    <row r="145" spans="1:35" ht="14" customHeight="1" x14ac:dyDescent="0.15">
      <c r="A145" s="31"/>
      <c r="B145" s="32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</row>
    <row r="146" spans="1:35" ht="14" customHeight="1" x14ac:dyDescent="0.15">
      <c r="A146" s="33"/>
      <c r="B146" s="34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</row>
    <row r="147" spans="1:35" ht="14" customHeight="1" x14ac:dyDescent="0.15">
      <c r="A147" s="31"/>
      <c r="B147" s="32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</row>
    <row r="148" spans="1:35" ht="14" customHeight="1" x14ac:dyDescent="0.15">
      <c r="A148" s="33"/>
      <c r="B148" s="34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</row>
    <row r="149" spans="1:35" ht="14" customHeight="1" x14ac:dyDescent="0.15"/>
    <row r="150" spans="1:35" ht="14" customHeight="1" x14ac:dyDescent="0.15">
      <c r="C150" s="60"/>
      <c r="D150" s="60"/>
      <c r="E150" s="60"/>
      <c r="F150" s="60"/>
      <c r="G150" s="60"/>
      <c r="H150" s="60"/>
      <c r="I150" s="60"/>
      <c r="J150" s="60"/>
      <c r="K150" s="60"/>
      <c r="L150" s="60"/>
    </row>
    <row r="151" spans="1:35" ht="14" customHeight="1" x14ac:dyDescent="0.15">
      <c r="C151" s="60"/>
      <c r="D151" s="60"/>
      <c r="E151" s="60"/>
      <c r="F151" s="60"/>
      <c r="G151" s="60"/>
      <c r="H151" s="60"/>
      <c r="I151" s="60"/>
      <c r="J151" s="60"/>
      <c r="K151" s="60"/>
      <c r="L151" s="60"/>
    </row>
    <row r="152" spans="1:35" ht="14" customHeight="1" x14ac:dyDescent="0.15"/>
    <row r="153" spans="1:35" ht="14" customHeight="1" x14ac:dyDescent="0.15"/>
    <row r="154" spans="1:35" ht="14" customHeight="1" x14ac:dyDescent="0.15"/>
    <row r="155" spans="1:35" ht="14" customHeight="1" x14ac:dyDescent="0.15"/>
    <row r="156" spans="1:35" ht="14" customHeight="1" x14ac:dyDescent="0.15"/>
    <row r="157" spans="1:35" ht="14" customHeight="1" x14ac:dyDescent="0.15"/>
    <row r="158" spans="1:35" ht="14" customHeight="1" x14ac:dyDescent="0.15"/>
    <row r="159" spans="1:35" ht="14" customHeight="1" x14ac:dyDescent="0.15"/>
    <row r="160" spans="1:35" ht="14" customHeight="1" x14ac:dyDescent="0.15"/>
    <row r="161" ht="14" customHeight="1" x14ac:dyDescent="0.15"/>
    <row r="162" ht="14" customHeight="1" x14ac:dyDescent="0.15"/>
    <row r="163" ht="14" customHeight="1" x14ac:dyDescent="0.15"/>
    <row r="164" ht="14" customHeight="1" x14ac:dyDescent="0.15"/>
    <row r="165" ht="14" customHeight="1" x14ac:dyDescent="0.15"/>
    <row r="166" ht="14" customHeight="1" x14ac:dyDescent="0.15"/>
    <row r="167" ht="14" customHeight="1" x14ac:dyDescent="0.15"/>
    <row r="168" ht="14" customHeight="1" x14ac:dyDescent="0.15"/>
    <row r="169" ht="14" customHeight="1" x14ac:dyDescent="0.15"/>
    <row r="170" ht="14" customHeight="1" x14ac:dyDescent="0.15"/>
    <row r="171" ht="14" customHeight="1" x14ac:dyDescent="0.15"/>
    <row r="172" ht="14" customHeight="1" x14ac:dyDescent="0.15"/>
    <row r="173" ht="14" customHeight="1" x14ac:dyDescent="0.15"/>
    <row r="174" ht="14" customHeight="1" x14ac:dyDescent="0.15"/>
    <row r="175" ht="14" customHeight="1" x14ac:dyDescent="0.15"/>
    <row r="176" ht="14" customHeight="1" x14ac:dyDescent="0.15"/>
    <row r="177" ht="14" customHeight="1" x14ac:dyDescent="0.15"/>
    <row r="178" ht="14" customHeight="1" x14ac:dyDescent="0.15"/>
    <row r="179" ht="14" customHeight="1" x14ac:dyDescent="0.15"/>
    <row r="180" ht="14" customHeight="1" x14ac:dyDescent="0.15"/>
    <row r="181" ht="14" customHeight="1" x14ac:dyDescent="0.15"/>
    <row r="182" ht="14" customHeight="1" x14ac:dyDescent="0.15"/>
    <row r="183" ht="14" customHeight="1" x14ac:dyDescent="0.15"/>
    <row r="184" ht="14" customHeight="1" x14ac:dyDescent="0.15"/>
    <row r="185" ht="14" customHeight="1" x14ac:dyDescent="0.15"/>
    <row r="186" ht="14" customHeight="1" x14ac:dyDescent="0.15"/>
    <row r="187" ht="14" customHeight="1" x14ac:dyDescent="0.15"/>
    <row r="188" ht="14" customHeight="1" x14ac:dyDescent="0.15"/>
    <row r="189" ht="14" customHeight="1" x14ac:dyDescent="0.15"/>
    <row r="190" ht="14" customHeight="1" x14ac:dyDescent="0.15"/>
    <row r="191" ht="14" customHeight="1" x14ac:dyDescent="0.15"/>
    <row r="192" ht="14" customHeight="1" x14ac:dyDescent="0.15"/>
    <row r="193" ht="14" customHeight="1" x14ac:dyDescent="0.15"/>
    <row r="194" ht="14" customHeight="1" x14ac:dyDescent="0.15"/>
    <row r="195" ht="14" customHeight="1" x14ac:dyDescent="0.15"/>
    <row r="196" ht="14" customHeight="1" x14ac:dyDescent="0.15"/>
    <row r="197" ht="14" customHeight="1" x14ac:dyDescent="0.15"/>
    <row r="198" ht="14" customHeight="1" x14ac:dyDescent="0.15"/>
    <row r="199" ht="14" customHeight="1" x14ac:dyDescent="0.15"/>
    <row r="200" ht="14" customHeight="1" x14ac:dyDescent="0.15"/>
    <row r="201" ht="14" customHeight="1" x14ac:dyDescent="0.15"/>
    <row r="202" ht="14" customHeight="1" x14ac:dyDescent="0.15"/>
    <row r="203" ht="14" customHeight="1" x14ac:dyDescent="0.15"/>
    <row r="204" ht="14" customHeight="1" x14ac:dyDescent="0.15"/>
    <row r="205" ht="14" customHeight="1" x14ac:dyDescent="0.15"/>
    <row r="206" ht="14" customHeight="1" x14ac:dyDescent="0.15"/>
    <row r="207" ht="14" customHeight="1" x14ac:dyDescent="0.15"/>
    <row r="208" ht="14" customHeight="1" x14ac:dyDescent="0.15"/>
    <row r="209" ht="14" customHeight="1" x14ac:dyDescent="0.15"/>
    <row r="210" ht="14" customHeight="1" x14ac:dyDescent="0.15"/>
    <row r="211" ht="14" customHeight="1" x14ac:dyDescent="0.15"/>
    <row r="212" ht="14" customHeight="1" x14ac:dyDescent="0.15"/>
    <row r="213" ht="14" customHeight="1" x14ac:dyDescent="0.15"/>
    <row r="214" ht="14" customHeight="1" x14ac:dyDescent="0.15"/>
    <row r="215" ht="14" customHeight="1" x14ac:dyDescent="0.15"/>
    <row r="216" ht="14" customHeight="1" x14ac:dyDescent="0.15"/>
    <row r="217" ht="14" customHeight="1" x14ac:dyDescent="0.15"/>
    <row r="218" ht="14" customHeight="1" x14ac:dyDescent="0.15"/>
    <row r="219" ht="14" customHeight="1" x14ac:dyDescent="0.15"/>
    <row r="220" ht="14" customHeight="1" x14ac:dyDescent="0.15"/>
    <row r="221" ht="14" customHeight="1" x14ac:dyDescent="0.15"/>
    <row r="222" ht="14" customHeight="1" x14ac:dyDescent="0.15"/>
    <row r="223" ht="14" customHeight="1" x14ac:dyDescent="0.15"/>
    <row r="224" ht="14" customHeight="1" x14ac:dyDescent="0.15"/>
    <row r="225" ht="14" customHeight="1" x14ac:dyDescent="0.15"/>
    <row r="226" ht="14" customHeight="1" x14ac:dyDescent="0.15"/>
    <row r="227" ht="14" customHeight="1" x14ac:dyDescent="0.15"/>
    <row r="228" ht="14" customHeight="1" x14ac:dyDescent="0.15"/>
    <row r="229" ht="14" customHeight="1" x14ac:dyDescent="0.15"/>
    <row r="230" ht="14" customHeight="1" x14ac:dyDescent="0.15"/>
    <row r="231" ht="14" customHeight="1" x14ac:dyDescent="0.15"/>
    <row r="232" ht="14" customHeight="1" x14ac:dyDescent="0.15"/>
    <row r="233" ht="14" customHeight="1" x14ac:dyDescent="0.15"/>
    <row r="234" ht="14" customHeight="1" x14ac:dyDescent="0.15"/>
    <row r="235" ht="14" customHeight="1" x14ac:dyDescent="0.15"/>
    <row r="236" ht="14" customHeight="1" x14ac:dyDescent="0.15"/>
    <row r="237" ht="14" customHeight="1" x14ac:dyDescent="0.15"/>
    <row r="238" ht="14" customHeight="1" x14ac:dyDescent="0.15"/>
    <row r="239" ht="14" customHeight="1" x14ac:dyDescent="0.15"/>
    <row r="240" ht="14" customHeight="1" x14ac:dyDescent="0.15"/>
    <row r="241" ht="14" customHeight="1" x14ac:dyDescent="0.15"/>
    <row r="242" ht="14" customHeight="1" x14ac:dyDescent="0.15"/>
    <row r="243" ht="14" customHeight="1" x14ac:dyDescent="0.15"/>
    <row r="244" ht="14" customHeight="1" x14ac:dyDescent="0.15"/>
    <row r="245" ht="14" customHeight="1" x14ac:dyDescent="0.15"/>
    <row r="246" ht="14" customHeight="1" x14ac:dyDescent="0.15"/>
    <row r="247" ht="14" customHeight="1" x14ac:dyDescent="0.15"/>
    <row r="248" ht="14" customHeight="1" x14ac:dyDescent="0.15"/>
    <row r="249" ht="14" customHeight="1" x14ac:dyDescent="0.15"/>
    <row r="250" ht="14" customHeight="1" x14ac:dyDescent="0.15"/>
    <row r="251" ht="14" customHeight="1" x14ac:dyDescent="0.15"/>
    <row r="252" ht="14" customHeight="1" x14ac:dyDescent="0.15"/>
    <row r="253" ht="14" customHeight="1" x14ac:dyDescent="0.15"/>
    <row r="254" ht="14" customHeight="1" x14ac:dyDescent="0.15"/>
    <row r="255" ht="14" customHeight="1" x14ac:dyDescent="0.15"/>
    <row r="256" ht="14" customHeight="1" x14ac:dyDescent="0.15"/>
    <row r="257" ht="14" customHeight="1" x14ac:dyDescent="0.15"/>
    <row r="258" ht="14" customHeight="1" x14ac:dyDescent="0.15"/>
    <row r="259" ht="14" customHeight="1" x14ac:dyDescent="0.15"/>
    <row r="260" ht="14" customHeight="1" x14ac:dyDescent="0.15"/>
    <row r="261" ht="14" customHeight="1" x14ac:dyDescent="0.15"/>
    <row r="262" ht="14" customHeight="1" x14ac:dyDescent="0.15"/>
    <row r="263" ht="14" customHeight="1" x14ac:dyDescent="0.15"/>
    <row r="264" ht="14" customHeight="1" x14ac:dyDescent="0.15"/>
    <row r="265" ht="14" customHeight="1" x14ac:dyDescent="0.15"/>
    <row r="266" ht="14" customHeight="1" x14ac:dyDescent="0.15"/>
    <row r="267" ht="14" customHeight="1" x14ac:dyDescent="0.15"/>
    <row r="268" ht="14" customHeight="1" x14ac:dyDescent="0.15"/>
    <row r="269" ht="14" customHeight="1" x14ac:dyDescent="0.15"/>
    <row r="270" ht="14" customHeight="1" x14ac:dyDescent="0.15"/>
    <row r="271" ht="14" customHeight="1" x14ac:dyDescent="0.15"/>
    <row r="272" ht="14" customHeight="1" x14ac:dyDescent="0.15"/>
    <row r="273" ht="14" customHeight="1" x14ac:dyDescent="0.15"/>
    <row r="274" ht="14" customHeight="1" x14ac:dyDescent="0.15"/>
    <row r="275" ht="14" customHeight="1" x14ac:dyDescent="0.15"/>
    <row r="276" ht="14" customHeight="1" x14ac:dyDescent="0.15"/>
    <row r="277" ht="14" customHeight="1" x14ac:dyDescent="0.15"/>
    <row r="278" ht="14" customHeight="1" x14ac:dyDescent="0.15"/>
    <row r="279" ht="14" customHeight="1" x14ac:dyDescent="0.15"/>
    <row r="280" ht="14" customHeight="1" x14ac:dyDescent="0.15"/>
    <row r="281" ht="14" customHeight="1" x14ac:dyDescent="0.15"/>
    <row r="282" ht="14" customHeight="1" x14ac:dyDescent="0.15"/>
    <row r="283" ht="14" customHeight="1" x14ac:dyDescent="0.15"/>
    <row r="284" ht="14" customHeight="1" x14ac:dyDescent="0.15"/>
    <row r="285" ht="14" customHeight="1" x14ac:dyDescent="0.15"/>
    <row r="286" ht="14" customHeight="1" x14ac:dyDescent="0.15"/>
    <row r="287" ht="14" customHeight="1" x14ac:dyDescent="0.15"/>
    <row r="288" ht="14" customHeight="1" x14ac:dyDescent="0.15"/>
    <row r="289" ht="14" customHeight="1" x14ac:dyDescent="0.15"/>
    <row r="290" ht="14" customHeight="1" x14ac:dyDescent="0.15"/>
    <row r="291" ht="14" customHeight="1" x14ac:dyDescent="0.15"/>
    <row r="292" ht="14" customHeight="1" x14ac:dyDescent="0.15"/>
    <row r="293" ht="14" customHeight="1" x14ac:dyDescent="0.15"/>
    <row r="294" ht="14" customHeight="1" x14ac:dyDescent="0.15"/>
    <row r="295" ht="14" customHeight="1" x14ac:dyDescent="0.15"/>
    <row r="296" ht="14" customHeight="1" x14ac:dyDescent="0.15"/>
    <row r="297" ht="14" customHeight="1" x14ac:dyDescent="0.15"/>
    <row r="298" ht="14" customHeight="1" x14ac:dyDescent="0.15"/>
    <row r="299" ht="14" customHeight="1" x14ac:dyDescent="0.15"/>
    <row r="300" ht="14" customHeight="1" x14ac:dyDescent="0.15"/>
    <row r="301" ht="14" customHeight="1" x14ac:dyDescent="0.15"/>
    <row r="302" ht="14" customHeight="1" x14ac:dyDescent="0.15"/>
    <row r="303" ht="14" customHeight="1" x14ac:dyDescent="0.15"/>
    <row r="304" ht="14" customHeight="1" x14ac:dyDescent="0.15"/>
    <row r="305" ht="14" customHeight="1" x14ac:dyDescent="0.15"/>
    <row r="306" ht="14" customHeight="1" x14ac:dyDescent="0.15"/>
    <row r="307" ht="14" customHeight="1" x14ac:dyDescent="0.15"/>
    <row r="308" ht="14" customHeight="1" x14ac:dyDescent="0.15"/>
    <row r="309" ht="14" customHeight="1" x14ac:dyDescent="0.15"/>
    <row r="310" ht="14" customHeight="1" x14ac:dyDescent="0.15"/>
    <row r="311" ht="14" customHeight="1" x14ac:dyDescent="0.15"/>
    <row r="312" ht="14" customHeight="1" x14ac:dyDescent="0.15"/>
    <row r="313" ht="14" customHeight="1" x14ac:dyDescent="0.15"/>
    <row r="314" ht="14" customHeight="1" x14ac:dyDescent="0.15"/>
    <row r="315" ht="14" customHeight="1" x14ac:dyDescent="0.15"/>
    <row r="316" ht="14" customHeight="1" x14ac:dyDescent="0.15"/>
    <row r="317" ht="14" customHeight="1" x14ac:dyDescent="0.15"/>
    <row r="318" ht="14" customHeight="1" x14ac:dyDescent="0.15"/>
    <row r="319" ht="14" customHeight="1" x14ac:dyDescent="0.15"/>
    <row r="320" ht="14" customHeight="1" x14ac:dyDescent="0.15"/>
    <row r="321" ht="14" customHeight="1" x14ac:dyDescent="0.15"/>
    <row r="322" ht="14" customHeight="1" x14ac:dyDescent="0.15"/>
    <row r="323" ht="14" customHeight="1" x14ac:dyDescent="0.15"/>
    <row r="324" ht="14" customHeight="1" x14ac:dyDescent="0.15"/>
    <row r="325" ht="14" customHeight="1" x14ac:dyDescent="0.15"/>
    <row r="326" ht="14" customHeight="1" x14ac:dyDescent="0.15"/>
    <row r="327" ht="14" customHeight="1" x14ac:dyDescent="0.15"/>
    <row r="328" ht="14" customHeight="1" x14ac:dyDescent="0.15"/>
    <row r="329" ht="14" customHeight="1" x14ac:dyDescent="0.15"/>
    <row r="330" ht="14" customHeight="1" x14ac:dyDescent="0.15"/>
    <row r="331" ht="14" customHeight="1" x14ac:dyDescent="0.15"/>
    <row r="332" ht="14" customHeight="1" x14ac:dyDescent="0.15"/>
    <row r="333" ht="14" customHeight="1" x14ac:dyDescent="0.15"/>
    <row r="334" ht="14" customHeight="1" x14ac:dyDescent="0.15"/>
    <row r="335" ht="14" customHeight="1" x14ac:dyDescent="0.15"/>
    <row r="336" ht="14" customHeight="1" x14ac:dyDescent="0.15"/>
    <row r="337" ht="14" customHeight="1" x14ac:dyDescent="0.15"/>
    <row r="338" ht="14" customHeight="1" x14ac:dyDescent="0.15"/>
    <row r="339" ht="14" customHeight="1" x14ac:dyDescent="0.15"/>
    <row r="340" ht="14" customHeight="1" x14ac:dyDescent="0.15"/>
    <row r="341" ht="14" customHeight="1" x14ac:dyDescent="0.15"/>
    <row r="342" ht="14" customHeight="1" x14ac:dyDescent="0.15"/>
    <row r="343" ht="14" customHeight="1" x14ac:dyDescent="0.15"/>
    <row r="344" ht="14" customHeight="1" x14ac:dyDescent="0.15"/>
    <row r="345" ht="14" customHeight="1" x14ac:dyDescent="0.15"/>
    <row r="346" ht="14" customHeight="1" x14ac:dyDescent="0.15"/>
    <row r="347" ht="14" customHeight="1" x14ac:dyDescent="0.15"/>
    <row r="348" ht="14" customHeight="1" x14ac:dyDescent="0.15"/>
    <row r="349" ht="14" customHeight="1" x14ac:dyDescent="0.15"/>
    <row r="350" ht="14" customHeight="1" x14ac:dyDescent="0.15"/>
    <row r="351" ht="14" customHeight="1" x14ac:dyDescent="0.15"/>
    <row r="352" ht="14" customHeight="1" x14ac:dyDescent="0.15"/>
    <row r="353" ht="14" customHeight="1" x14ac:dyDescent="0.15"/>
    <row r="354" ht="14" customHeight="1" x14ac:dyDescent="0.15"/>
    <row r="355" ht="14" customHeight="1" x14ac:dyDescent="0.15"/>
    <row r="356" ht="14" customHeight="1" x14ac:dyDescent="0.15"/>
    <row r="357" ht="14" customHeight="1" x14ac:dyDescent="0.15"/>
    <row r="358" ht="14" customHeight="1" x14ac:dyDescent="0.15"/>
    <row r="359" ht="14" customHeight="1" x14ac:dyDescent="0.15"/>
    <row r="360" ht="14" customHeight="1" x14ac:dyDescent="0.15"/>
    <row r="361" ht="14" customHeight="1" x14ac:dyDescent="0.15"/>
    <row r="362" ht="14" customHeight="1" x14ac:dyDescent="0.15"/>
    <row r="363" ht="14" customHeight="1" x14ac:dyDescent="0.15"/>
    <row r="364" ht="14" customHeight="1" x14ac:dyDescent="0.15"/>
    <row r="365" ht="14" customHeight="1" x14ac:dyDescent="0.15"/>
    <row r="366" ht="14" customHeight="1" x14ac:dyDescent="0.15"/>
    <row r="367" ht="14" customHeight="1" x14ac:dyDescent="0.15"/>
    <row r="368" ht="14" customHeight="1" x14ac:dyDescent="0.15"/>
    <row r="369" ht="14" customHeight="1" x14ac:dyDescent="0.15"/>
    <row r="370" ht="14" customHeight="1" x14ac:dyDescent="0.15"/>
    <row r="371" ht="14" customHeight="1" x14ac:dyDescent="0.15"/>
    <row r="372" ht="14" customHeight="1" x14ac:dyDescent="0.15"/>
    <row r="373" ht="14" customHeight="1" x14ac:dyDescent="0.15"/>
    <row r="374" ht="14" customHeight="1" x14ac:dyDescent="0.15"/>
    <row r="375" ht="14" customHeight="1" x14ac:dyDescent="0.15"/>
    <row r="376" ht="14" customHeight="1" x14ac:dyDescent="0.15"/>
    <row r="377" ht="14" customHeight="1" x14ac:dyDescent="0.15"/>
    <row r="378" ht="14" customHeight="1" x14ac:dyDescent="0.15"/>
    <row r="379" ht="14" customHeight="1" x14ac:dyDescent="0.15"/>
    <row r="380" ht="14" customHeight="1" x14ac:dyDescent="0.15"/>
    <row r="381" ht="14" customHeight="1" x14ac:dyDescent="0.15"/>
    <row r="382" ht="14" customHeight="1" x14ac:dyDescent="0.15"/>
    <row r="383" ht="14" customHeight="1" x14ac:dyDescent="0.15"/>
    <row r="384" ht="14" customHeight="1" x14ac:dyDescent="0.15"/>
    <row r="385" ht="14" customHeight="1" x14ac:dyDescent="0.15"/>
    <row r="386" ht="14" customHeight="1" x14ac:dyDescent="0.15"/>
    <row r="387" ht="14" customHeight="1" x14ac:dyDescent="0.15"/>
    <row r="388" ht="14" customHeight="1" x14ac:dyDescent="0.15"/>
    <row r="389" ht="14" customHeight="1" x14ac:dyDescent="0.15"/>
    <row r="390" ht="14" customHeight="1" x14ac:dyDescent="0.15"/>
    <row r="391" ht="14" customHeight="1" x14ac:dyDescent="0.15"/>
    <row r="392" ht="14" customHeight="1" x14ac:dyDescent="0.15"/>
    <row r="393" ht="14" customHeight="1" x14ac:dyDescent="0.15"/>
    <row r="394" ht="14" customHeight="1" x14ac:dyDescent="0.15"/>
    <row r="395" ht="14" customHeight="1" x14ac:dyDescent="0.15"/>
    <row r="396" ht="14" customHeight="1" x14ac:dyDescent="0.15"/>
    <row r="397" ht="14" customHeight="1" x14ac:dyDescent="0.15"/>
    <row r="398" ht="14" customHeight="1" x14ac:dyDescent="0.15"/>
    <row r="399" ht="14" customHeight="1" x14ac:dyDescent="0.15"/>
    <row r="400" ht="14" customHeight="1" x14ac:dyDescent="0.15"/>
    <row r="401" ht="14" customHeight="1" x14ac:dyDescent="0.15"/>
    <row r="402" ht="14" customHeight="1" x14ac:dyDescent="0.15"/>
    <row r="403" ht="14" customHeight="1" x14ac:dyDescent="0.15"/>
    <row r="404" ht="14" customHeight="1" x14ac:dyDescent="0.15"/>
    <row r="405" ht="14" customHeight="1" x14ac:dyDescent="0.15"/>
    <row r="406" ht="14" customHeight="1" x14ac:dyDescent="0.15"/>
    <row r="407" ht="14" customHeight="1" x14ac:dyDescent="0.15"/>
    <row r="408" ht="14" customHeight="1" x14ac:dyDescent="0.15"/>
    <row r="409" ht="14" customHeight="1" x14ac:dyDescent="0.15"/>
    <row r="410" ht="14" customHeight="1" x14ac:dyDescent="0.15"/>
    <row r="411" ht="14" customHeight="1" x14ac:dyDescent="0.15"/>
    <row r="412" ht="14" customHeight="1" x14ac:dyDescent="0.15"/>
    <row r="413" ht="14" customHeight="1" x14ac:dyDescent="0.15"/>
    <row r="414" ht="14" customHeight="1" x14ac:dyDescent="0.15"/>
    <row r="415" ht="14" customHeight="1" x14ac:dyDescent="0.15"/>
    <row r="416" ht="14" customHeight="1" x14ac:dyDescent="0.15"/>
    <row r="417" ht="14" customHeight="1" x14ac:dyDescent="0.15"/>
    <row r="418" ht="14" customHeight="1" x14ac:dyDescent="0.15"/>
    <row r="419" ht="14" customHeight="1" x14ac:dyDescent="0.15"/>
    <row r="420" ht="14" customHeight="1" x14ac:dyDescent="0.15"/>
    <row r="421" ht="14" customHeight="1" x14ac:dyDescent="0.15"/>
    <row r="422" ht="14" customHeight="1" x14ac:dyDescent="0.15"/>
    <row r="423" ht="14" customHeight="1" x14ac:dyDescent="0.15"/>
    <row r="424" ht="14" customHeight="1" x14ac:dyDescent="0.15"/>
    <row r="425" ht="14" customHeight="1" x14ac:dyDescent="0.15"/>
    <row r="426" ht="14" customHeight="1" x14ac:dyDescent="0.15"/>
    <row r="427" ht="14" customHeight="1" x14ac:dyDescent="0.15"/>
    <row r="428" ht="14" customHeight="1" x14ac:dyDescent="0.15"/>
    <row r="429" ht="14" customHeight="1" x14ac:dyDescent="0.15"/>
    <row r="430" ht="14" customHeight="1" x14ac:dyDescent="0.15"/>
    <row r="431" ht="14" customHeight="1" x14ac:dyDescent="0.15"/>
    <row r="432" ht="14" customHeight="1" x14ac:dyDescent="0.15"/>
    <row r="433" ht="14" customHeight="1" x14ac:dyDescent="0.15"/>
    <row r="434" ht="14" customHeight="1" x14ac:dyDescent="0.15"/>
    <row r="435" ht="14" customHeight="1" x14ac:dyDescent="0.15"/>
    <row r="436" ht="14" customHeight="1" x14ac:dyDescent="0.15"/>
    <row r="437" ht="14" customHeight="1" x14ac:dyDescent="0.15"/>
    <row r="438" ht="14" customHeight="1" x14ac:dyDescent="0.15"/>
    <row r="439" ht="14" customHeight="1" x14ac:dyDescent="0.15"/>
    <row r="440" ht="14" customHeight="1" x14ac:dyDescent="0.15"/>
    <row r="441" ht="14" customHeight="1" x14ac:dyDescent="0.15"/>
    <row r="442" ht="14" customHeight="1" x14ac:dyDescent="0.15"/>
    <row r="443" ht="14" customHeight="1" x14ac:dyDescent="0.15"/>
    <row r="444" ht="14" customHeight="1" x14ac:dyDescent="0.15"/>
    <row r="445" ht="14" customHeight="1" x14ac:dyDescent="0.15"/>
    <row r="446" ht="14" customHeight="1" x14ac:dyDescent="0.15"/>
    <row r="447" ht="14" customHeight="1" x14ac:dyDescent="0.15"/>
    <row r="448" ht="14" customHeight="1" x14ac:dyDescent="0.15"/>
    <row r="449" ht="14" customHeight="1" x14ac:dyDescent="0.15"/>
    <row r="450" ht="14" customHeight="1" x14ac:dyDescent="0.15"/>
    <row r="451" ht="14" customHeight="1" x14ac:dyDescent="0.15"/>
    <row r="452" ht="14" customHeight="1" x14ac:dyDescent="0.15"/>
    <row r="453" ht="14" customHeight="1" x14ac:dyDescent="0.15"/>
    <row r="454" ht="14" customHeight="1" x14ac:dyDescent="0.15"/>
    <row r="455" ht="14" customHeight="1" x14ac:dyDescent="0.15"/>
    <row r="456" ht="14" customHeight="1" x14ac:dyDescent="0.15"/>
    <row r="457" ht="14" customHeight="1" x14ac:dyDescent="0.15"/>
    <row r="458" ht="14" customHeight="1" x14ac:dyDescent="0.15"/>
    <row r="459" ht="14" customHeight="1" x14ac:dyDescent="0.15"/>
    <row r="460" ht="14" customHeight="1" x14ac:dyDescent="0.15"/>
    <row r="461" ht="14" customHeight="1" x14ac:dyDescent="0.15"/>
    <row r="462" ht="14" customHeight="1" x14ac:dyDescent="0.15"/>
    <row r="463" ht="14" customHeight="1" x14ac:dyDescent="0.15"/>
    <row r="464" ht="14" customHeight="1" x14ac:dyDescent="0.15"/>
    <row r="465" ht="14" customHeight="1" x14ac:dyDescent="0.15"/>
    <row r="466" ht="14" customHeight="1" x14ac:dyDescent="0.15"/>
    <row r="467" ht="14" customHeight="1" x14ac:dyDescent="0.15"/>
    <row r="468" ht="14" customHeight="1" x14ac:dyDescent="0.15"/>
    <row r="469" ht="14" customHeight="1" x14ac:dyDescent="0.15"/>
    <row r="470" ht="14" customHeight="1" x14ac:dyDescent="0.15"/>
    <row r="471" ht="14" customHeight="1" x14ac:dyDescent="0.15"/>
    <row r="472" ht="14" customHeight="1" x14ac:dyDescent="0.15"/>
    <row r="473" ht="14" customHeight="1" x14ac:dyDescent="0.15"/>
    <row r="474" ht="14" customHeight="1" x14ac:dyDescent="0.15"/>
    <row r="475" ht="14" customHeight="1" x14ac:dyDescent="0.15"/>
    <row r="476" ht="14" customHeight="1" x14ac:dyDescent="0.15"/>
    <row r="477" ht="14" customHeight="1" x14ac:dyDescent="0.15"/>
    <row r="478" ht="14" customHeight="1" x14ac:dyDescent="0.15"/>
    <row r="479" ht="14" customHeight="1" x14ac:dyDescent="0.15"/>
    <row r="480" ht="14" customHeight="1" x14ac:dyDescent="0.15"/>
    <row r="481" ht="14" customHeight="1" x14ac:dyDescent="0.15"/>
    <row r="482" ht="14" customHeight="1" x14ac:dyDescent="0.15"/>
    <row r="483" ht="14" customHeight="1" x14ac:dyDescent="0.15"/>
    <row r="484" ht="14" customHeight="1" x14ac:dyDescent="0.15"/>
    <row r="485" ht="14" customHeight="1" x14ac:dyDescent="0.15"/>
    <row r="486" ht="14" customHeight="1" x14ac:dyDescent="0.15"/>
    <row r="487" ht="14" customHeight="1" x14ac:dyDescent="0.15"/>
    <row r="488" ht="14" customHeight="1" x14ac:dyDescent="0.15"/>
    <row r="489" ht="14" customHeight="1" x14ac:dyDescent="0.15"/>
    <row r="490" ht="14" customHeight="1" x14ac:dyDescent="0.15"/>
    <row r="491" ht="14" customHeight="1" x14ac:dyDescent="0.15"/>
    <row r="492" ht="14" customHeight="1" x14ac:dyDescent="0.15"/>
    <row r="493" ht="14" customHeight="1" x14ac:dyDescent="0.15"/>
    <row r="494" ht="14" customHeight="1" x14ac:dyDescent="0.15"/>
    <row r="495" ht="14" customHeight="1" x14ac:dyDescent="0.15"/>
    <row r="496" ht="14" customHeight="1" x14ac:dyDescent="0.15"/>
    <row r="497" ht="14" customHeight="1" x14ac:dyDescent="0.15"/>
    <row r="498" ht="14" customHeight="1" x14ac:dyDescent="0.15"/>
    <row r="499" ht="14" customHeight="1" x14ac:dyDescent="0.15"/>
    <row r="500" ht="14" customHeight="1" x14ac:dyDescent="0.15"/>
    <row r="501" ht="14" customHeight="1" x14ac:dyDescent="0.15"/>
    <row r="502" ht="14" customHeight="1" x14ac:dyDescent="0.15"/>
    <row r="503" ht="14" customHeight="1" x14ac:dyDescent="0.15"/>
    <row r="504" ht="14" customHeight="1" x14ac:dyDescent="0.15"/>
    <row r="505" ht="14" customHeight="1" x14ac:dyDescent="0.15"/>
    <row r="506" ht="14" customHeight="1" x14ac:dyDescent="0.15"/>
    <row r="507" ht="14" customHeight="1" x14ac:dyDescent="0.15"/>
    <row r="508" ht="14" customHeight="1" x14ac:dyDescent="0.15"/>
    <row r="509" ht="14" customHeight="1" x14ac:dyDescent="0.15"/>
    <row r="510" ht="14" customHeight="1" x14ac:dyDescent="0.15"/>
    <row r="511" ht="14" customHeight="1" x14ac:dyDescent="0.15"/>
    <row r="512" ht="14" customHeight="1" x14ac:dyDescent="0.15"/>
    <row r="513" ht="14" customHeight="1" x14ac:dyDescent="0.15"/>
    <row r="514" ht="14" customHeight="1" x14ac:dyDescent="0.15"/>
    <row r="515" ht="14" customHeight="1" x14ac:dyDescent="0.15"/>
    <row r="516" ht="14" customHeight="1" x14ac:dyDescent="0.15"/>
    <row r="517" ht="14" customHeight="1" x14ac:dyDescent="0.15"/>
    <row r="518" ht="14" customHeight="1" x14ac:dyDescent="0.15"/>
    <row r="519" ht="14" customHeight="1" x14ac:dyDescent="0.15"/>
    <row r="520" ht="14" customHeight="1" x14ac:dyDescent="0.15"/>
    <row r="521" ht="14" customHeight="1" x14ac:dyDescent="0.15"/>
    <row r="522" ht="14" customHeight="1" x14ac:dyDescent="0.15"/>
    <row r="523" ht="14" customHeight="1" x14ac:dyDescent="0.15"/>
    <row r="524" ht="14" customHeight="1" x14ac:dyDescent="0.15"/>
    <row r="525" ht="14" customHeight="1" x14ac:dyDescent="0.15"/>
    <row r="526" ht="14" customHeight="1" x14ac:dyDescent="0.15"/>
    <row r="527" ht="14" customHeight="1" x14ac:dyDescent="0.15"/>
    <row r="528" ht="14" customHeight="1" x14ac:dyDescent="0.15"/>
    <row r="529" ht="14" customHeight="1" x14ac:dyDescent="0.15"/>
    <row r="530" ht="14" customHeight="1" x14ac:dyDescent="0.15"/>
    <row r="531" ht="14" customHeight="1" x14ac:dyDescent="0.15"/>
    <row r="532" ht="14" customHeight="1" x14ac:dyDescent="0.15"/>
    <row r="533" ht="14" customHeight="1" x14ac:dyDescent="0.15"/>
    <row r="534" ht="14" customHeight="1" x14ac:dyDescent="0.15"/>
    <row r="535" ht="14" customHeight="1" x14ac:dyDescent="0.15"/>
    <row r="536" ht="14" customHeight="1" x14ac:dyDescent="0.15"/>
    <row r="537" ht="14" customHeight="1" x14ac:dyDescent="0.15"/>
    <row r="538" ht="14" customHeight="1" x14ac:dyDescent="0.15"/>
    <row r="539" ht="14" customHeight="1" x14ac:dyDescent="0.15"/>
    <row r="540" ht="14" customHeight="1" x14ac:dyDescent="0.15"/>
    <row r="541" ht="14" customHeight="1" x14ac:dyDescent="0.15"/>
    <row r="542" ht="14" customHeight="1" x14ac:dyDescent="0.15"/>
    <row r="543" ht="14" customHeight="1" x14ac:dyDescent="0.15"/>
    <row r="544" ht="14" customHeight="1" x14ac:dyDescent="0.15"/>
    <row r="545" ht="14" customHeight="1" x14ac:dyDescent="0.15"/>
    <row r="546" ht="14" customHeight="1" x14ac:dyDescent="0.15"/>
    <row r="547" ht="14" customHeight="1" x14ac:dyDescent="0.15"/>
    <row r="548" ht="14" customHeight="1" x14ac:dyDescent="0.15"/>
    <row r="549" ht="14" customHeight="1" x14ac:dyDescent="0.15"/>
    <row r="550" ht="14" customHeight="1" x14ac:dyDescent="0.15"/>
    <row r="551" ht="14" customHeight="1" x14ac:dyDescent="0.15"/>
    <row r="552" ht="14" customHeight="1" x14ac:dyDescent="0.15"/>
    <row r="553" ht="14" customHeight="1" x14ac:dyDescent="0.15"/>
    <row r="554" ht="14" customHeight="1" x14ac:dyDescent="0.15"/>
    <row r="555" ht="14" customHeight="1" x14ac:dyDescent="0.15"/>
    <row r="556" ht="14" customHeight="1" x14ac:dyDescent="0.15"/>
    <row r="557" ht="14" customHeight="1" x14ac:dyDescent="0.15"/>
    <row r="558" ht="14" customHeight="1" x14ac:dyDescent="0.15"/>
    <row r="559" ht="14" customHeight="1" x14ac:dyDescent="0.15"/>
    <row r="560" ht="14" customHeight="1" x14ac:dyDescent="0.15"/>
    <row r="561" ht="14" customHeight="1" x14ac:dyDescent="0.15"/>
    <row r="562" ht="14" customHeight="1" x14ac:dyDescent="0.15"/>
    <row r="563" ht="14" customHeight="1" x14ac:dyDescent="0.15"/>
    <row r="564" ht="14" customHeight="1" x14ac:dyDescent="0.15"/>
    <row r="565" ht="14" customHeight="1" x14ac:dyDescent="0.15"/>
    <row r="566" ht="14" customHeight="1" x14ac:dyDescent="0.15"/>
    <row r="567" ht="14" customHeight="1" x14ac:dyDescent="0.15"/>
    <row r="568" ht="14" customHeight="1" x14ac:dyDescent="0.15"/>
    <row r="569" ht="14" customHeight="1" x14ac:dyDescent="0.15"/>
    <row r="570" ht="14" customHeight="1" x14ac:dyDescent="0.15"/>
    <row r="571" ht="14" customHeight="1" x14ac:dyDescent="0.15"/>
    <row r="572" ht="14" customHeight="1" x14ac:dyDescent="0.15"/>
    <row r="573" ht="14" customHeight="1" x14ac:dyDescent="0.15"/>
    <row r="574" ht="14" customHeight="1" x14ac:dyDescent="0.15"/>
    <row r="575" ht="14" customHeight="1" x14ac:dyDescent="0.15"/>
    <row r="576" ht="14" customHeight="1" x14ac:dyDescent="0.15"/>
    <row r="577" ht="14" customHeight="1" x14ac:dyDescent="0.15"/>
    <row r="578" ht="14" customHeight="1" x14ac:dyDescent="0.15"/>
    <row r="579" ht="14" customHeight="1" x14ac:dyDescent="0.15"/>
    <row r="580" ht="14" customHeight="1" x14ac:dyDescent="0.15"/>
    <row r="581" ht="14" customHeight="1" x14ac:dyDescent="0.15"/>
    <row r="582" ht="14" customHeight="1" x14ac:dyDescent="0.15"/>
    <row r="583" ht="14" customHeight="1" x14ac:dyDescent="0.15"/>
    <row r="584" ht="14" customHeight="1" x14ac:dyDescent="0.15"/>
    <row r="585" ht="14" customHeight="1" x14ac:dyDescent="0.15"/>
    <row r="586" ht="14" customHeight="1" x14ac:dyDescent="0.15"/>
    <row r="587" ht="14" customHeight="1" x14ac:dyDescent="0.15"/>
    <row r="588" ht="14" customHeight="1" x14ac:dyDescent="0.15"/>
    <row r="589" ht="14" customHeight="1" x14ac:dyDescent="0.15"/>
    <row r="590" ht="14" customHeight="1" x14ac:dyDescent="0.15"/>
    <row r="591" ht="14" customHeight="1" x14ac:dyDescent="0.15"/>
    <row r="592" ht="14" customHeight="1" x14ac:dyDescent="0.15"/>
    <row r="593" ht="14" customHeight="1" x14ac:dyDescent="0.15"/>
    <row r="594" ht="14" customHeight="1" x14ac:dyDescent="0.15"/>
    <row r="595" ht="14" customHeight="1" x14ac:dyDescent="0.15"/>
    <row r="596" ht="14" customHeight="1" x14ac:dyDescent="0.15"/>
    <row r="597" ht="14" customHeight="1" x14ac:dyDescent="0.15"/>
    <row r="598" ht="14" customHeight="1" x14ac:dyDescent="0.15"/>
    <row r="599" ht="14" customHeight="1" x14ac:dyDescent="0.15"/>
    <row r="600" ht="14" customHeight="1" x14ac:dyDescent="0.15"/>
    <row r="601" ht="14" customHeight="1" x14ac:dyDescent="0.15"/>
    <row r="602" ht="14" customHeight="1" x14ac:dyDescent="0.15"/>
    <row r="603" ht="14" customHeight="1" x14ac:dyDescent="0.15"/>
    <row r="604" ht="14" customHeight="1" x14ac:dyDescent="0.15"/>
    <row r="605" ht="14" customHeight="1" x14ac:dyDescent="0.15"/>
    <row r="606" ht="14" customHeight="1" x14ac:dyDescent="0.15"/>
    <row r="607" ht="14" customHeight="1" x14ac:dyDescent="0.15"/>
    <row r="608" ht="14" customHeight="1" x14ac:dyDescent="0.15"/>
    <row r="609" ht="14" customHeight="1" x14ac:dyDescent="0.15"/>
    <row r="610" ht="14" customHeight="1" x14ac:dyDescent="0.15"/>
    <row r="611" ht="14" customHeight="1" x14ac:dyDescent="0.15"/>
    <row r="612" ht="14" customHeight="1" x14ac:dyDescent="0.15"/>
    <row r="613" ht="14" customHeight="1" x14ac:dyDescent="0.15"/>
    <row r="614" ht="14" customHeight="1" x14ac:dyDescent="0.15"/>
    <row r="615" ht="14" customHeight="1" x14ac:dyDescent="0.15"/>
    <row r="616" ht="14" customHeight="1" x14ac:dyDescent="0.15"/>
    <row r="617" ht="14" customHeight="1" x14ac:dyDescent="0.15"/>
    <row r="618" ht="14" customHeight="1" x14ac:dyDescent="0.15"/>
    <row r="619" ht="14" customHeight="1" x14ac:dyDescent="0.15"/>
    <row r="620" ht="14" customHeight="1" x14ac:dyDescent="0.15"/>
    <row r="621" ht="14" customHeight="1" x14ac:dyDescent="0.15"/>
    <row r="622" ht="14" customHeight="1" x14ac:dyDescent="0.15"/>
    <row r="623" ht="14" customHeight="1" x14ac:dyDescent="0.15"/>
    <row r="624" ht="14" customHeight="1" x14ac:dyDescent="0.15"/>
    <row r="625" ht="14" customHeight="1" x14ac:dyDescent="0.15"/>
    <row r="626" ht="14" customHeight="1" x14ac:dyDescent="0.15"/>
    <row r="627" ht="14" customHeight="1" x14ac:dyDescent="0.15"/>
    <row r="628" ht="14" customHeight="1" x14ac:dyDescent="0.15"/>
    <row r="629" ht="14" customHeight="1" x14ac:dyDescent="0.15"/>
    <row r="630" ht="14" customHeight="1" x14ac:dyDescent="0.15"/>
    <row r="631" ht="14" customHeight="1" x14ac:dyDescent="0.15"/>
    <row r="632" ht="14" customHeight="1" x14ac:dyDescent="0.15"/>
    <row r="633" ht="14" customHeight="1" x14ac:dyDescent="0.15"/>
    <row r="634" ht="14" customHeight="1" x14ac:dyDescent="0.15"/>
    <row r="635" ht="14" customHeight="1" x14ac:dyDescent="0.15"/>
    <row r="636" ht="14" customHeight="1" x14ac:dyDescent="0.15"/>
    <row r="637" ht="14" customHeight="1" x14ac:dyDescent="0.15"/>
    <row r="638" ht="14" customHeight="1" x14ac:dyDescent="0.15"/>
    <row r="639" ht="14" customHeight="1" x14ac:dyDescent="0.15"/>
    <row r="640" ht="14" customHeight="1" x14ac:dyDescent="0.15"/>
    <row r="641" ht="14" customHeight="1" x14ac:dyDescent="0.15"/>
    <row r="642" ht="14" customHeight="1" x14ac:dyDescent="0.15"/>
    <row r="643" ht="14" customHeight="1" x14ac:dyDescent="0.15"/>
    <row r="644" ht="14" customHeight="1" x14ac:dyDescent="0.15"/>
    <row r="645" ht="14" customHeight="1" x14ac:dyDescent="0.15"/>
    <row r="646" ht="14" customHeight="1" x14ac:dyDescent="0.15"/>
    <row r="647" ht="14" customHeight="1" x14ac:dyDescent="0.15"/>
    <row r="648" ht="14" customHeight="1" x14ac:dyDescent="0.15"/>
    <row r="649" ht="14" customHeight="1" x14ac:dyDescent="0.15"/>
    <row r="650" ht="14" customHeight="1" x14ac:dyDescent="0.15"/>
    <row r="651" ht="14" customHeight="1" x14ac:dyDescent="0.15"/>
    <row r="652" ht="14" customHeight="1" x14ac:dyDescent="0.15"/>
    <row r="653" ht="14" customHeight="1" x14ac:dyDescent="0.15"/>
    <row r="654" ht="14" customHeight="1" x14ac:dyDescent="0.15"/>
    <row r="655" ht="14" customHeight="1" x14ac:dyDescent="0.15"/>
    <row r="656" ht="14" customHeight="1" x14ac:dyDescent="0.15"/>
    <row r="657" ht="14" customHeight="1" x14ac:dyDescent="0.15"/>
    <row r="658" ht="14" customHeight="1" x14ac:dyDescent="0.15"/>
    <row r="659" ht="14" customHeight="1" x14ac:dyDescent="0.15"/>
    <row r="660" ht="14" customHeight="1" x14ac:dyDescent="0.15"/>
    <row r="661" ht="14" customHeight="1" x14ac:dyDescent="0.15"/>
    <row r="662" ht="14" customHeight="1" x14ac:dyDescent="0.15"/>
    <row r="663" ht="14" customHeight="1" x14ac:dyDescent="0.15"/>
    <row r="664" ht="14" customHeight="1" x14ac:dyDescent="0.15"/>
    <row r="665" ht="14" customHeight="1" x14ac:dyDescent="0.15"/>
    <row r="666" ht="14" customHeight="1" x14ac:dyDescent="0.15"/>
    <row r="667" ht="14" customHeight="1" x14ac:dyDescent="0.15"/>
    <row r="668" ht="14" customHeight="1" x14ac:dyDescent="0.15"/>
    <row r="669" ht="14" customHeight="1" x14ac:dyDescent="0.15"/>
    <row r="670" ht="14" customHeight="1" x14ac:dyDescent="0.15"/>
    <row r="671" ht="14" customHeight="1" x14ac:dyDescent="0.15"/>
    <row r="672" ht="14" customHeight="1" x14ac:dyDescent="0.15"/>
    <row r="673" ht="14" customHeight="1" x14ac:dyDescent="0.15"/>
    <row r="674" ht="14" customHeight="1" x14ac:dyDescent="0.15"/>
    <row r="675" ht="14" customHeight="1" x14ac:dyDescent="0.15"/>
    <row r="676" ht="14" customHeight="1" x14ac:dyDescent="0.15"/>
    <row r="677" ht="14" customHeight="1" x14ac:dyDescent="0.15"/>
    <row r="678" ht="14" customHeight="1" x14ac:dyDescent="0.15"/>
    <row r="679" ht="14" customHeight="1" x14ac:dyDescent="0.15"/>
    <row r="680" ht="14" customHeight="1" x14ac:dyDescent="0.15"/>
    <row r="681" ht="14" customHeight="1" x14ac:dyDescent="0.15"/>
    <row r="682" ht="14" customHeight="1" x14ac:dyDescent="0.15"/>
    <row r="683" ht="14" customHeight="1" x14ac:dyDescent="0.15"/>
    <row r="684" ht="14" customHeight="1" x14ac:dyDescent="0.15"/>
    <row r="685" ht="14" customHeight="1" x14ac:dyDescent="0.15"/>
    <row r="686" ht="14" customHeight="1" x14ac:dyDescent="0.15"/>
    <row r="687" ht="14" customHeight="1" x14ac:dyDescent="0.15"/>
    <row r="688" ht="14" customHeight="1" x14ac:dyDescent="0.15"/>
    <row r="689" ht="14" customHeight="1" x14ac:dyDescent="0.15"/>
    <row r="690" ht="14" customHeight="1" x14ac:dyDescent="0.15"/>
    <row r="691" ht="14" customHeight="1" x14ac:dyDescent="0.15"/>
    <row r="692" ht="14" customHeight="1" x14ac:dyDescent="0.15"/>
    <row r="693" ht="14" customHeight="1" x14ac:dyDescent="0.15"/>
    <row r="694" ht="14" customHeight="1" x14ac:dyDescent="0.15"/>
    <row r="695" ht="14" customHeight="1" x14ac:dyDescent="0.15"/>
    <row r="696" ht="14" customHeight="1" x14ac:dyDescent="0.15"/>
    <row r="697" ht="14" customHeight="1" x14ac:dyDescent="0.15"/>
    <row r="698" ht="14" customHeight="1" x14ac:dyDescent="0.15"/>
    <row r="699" ht="14" customHeight="1" x14ac:dyDescent="0.15"/>
    <row r="700" ht="14" customHeight="1" x14ac:dyDescent="0.15"/>
    <row r="701" ht="14" customHeight="1" x14ac:dyDescent="0.15"/>
    <row r="702" ht="14" customHeight="1" x14ac:dyDescent="0.15"/>
    <row r="703" ht="14" customHeight="1" x14ac:dyDescent="0.15"/>
    <row r="704" ht="14" customHeight="1" x14ac:dyDescent="0.15"/>
    <row r="705" ht="14" customHeight="1" x14ac:dyDescent="0.15"/>
    <row r="706" ht="14" customHeight="1" x14ac:dyDescent="0.15"/>
    <row r="707" ht="14" customHeight="1" x14ac:dyDescent="0.15"/>
    <row r="708" ht="14" customHeight="1" x14ac:dyDescent="0.15"/>
    <row r="709" ht="14" customHeight="1" x14ac:dyDescent="0.15"/>
    <row r="710" ht="14" customHeight="1" x14ac:dyDescent="0.15"/>
    <row r="711" ht="14" customHeight="1" x14ac:dyDescent="0.15"/>
    <row r="712" ht="14" customHeight="1" x14ac:dyDescent="0.15"/>
    <row r="713" ht="14" customHeight="1" x14ac:dyDescent="0.15"/>
    <row r="714" ht="14" customHeight="1" x14ac:dyDescent="0.15"/>
    <row r="715" ht="14" customHeight="1" x14ac:dyDescent="0.15"/>
    <row r="716" ht="14" customHeight="1" x14ac:dyDescent="0.15"/>
    <row r="717" ht="14" customHeight="1" x14ac:dyDescent="0.15"/>
    <row r="718" ht="14" customHeight="1" x14ac:dyDescent="0.15"/>
    <row r="719" ht="14" customHeight="1" x14ac:dyDescent="0.15"/>
    <row r="720" ht="14" customHeight="1" x14ac:dyDescent="0.15"/>
    <row r="721" ht="14" customHeight="1" x14ac:dyDescent="0.15"/>
    <row r="722" ht="14" customHeight="1" x14ac:dyDescent="0.15"/>
    <row r="723" ht="14" customHeight="1" x14ac:dyDescent="0.15"/>
    <row r="724" ht="14" customHeight="1" x14ac:dyDescent="0.15"/>
    <row r="725" ht="14" customHeight="1" x14ac:dyDescent="0.15"/>
    <row r="726" ht="14" customHeight="1" x14ac:dyDescent="0.15"/>
    <row r="727" ht="14" customHeight="1" x14ac:dyDescent="0.15"/>
    <row r="728" ht="14" customHeight="1" x14ac:dyDescent="0.15"/>
    <row r="729" ht="14" customHeight="1" x14ac:dyDescent="0.15"/>
    <row r="730" ht="14" customHeight="1" x14ac:dyDescent="0.15"/>
    <row r="731" ht="14" customHeight="1" x14ac:dyDescent="0.15"/>
    <row r="732" ht="14" customHeight="1" x14ac:dyDescent="0.15"/>
    <row r="733" ht="14" customHeight="1" x14ac:dyDescent="0.15"/>
    <row r="734" ht="14" customHeight="1" x14ac:dyDescent="0.15"/>
    <row r="735" ht="14" customHeight="1" x14ac:dyDescent="0.15"/>
    <row r="736" ht="14" customHeight="1" x14ac:dyDescent="0.15"/>
    <row r="737" ht="14" customHeight="1" x14ac:dyDescent="0.15"/>
    <row r="738" ht="14" customHeight="1" x14ac:dyDescent="0.15"/>
    <row r="739" ht="14" customHeight="1" x14ac:dyDescent="0.15"/>
    <row r="740" ht="14" customHeight="1" x14ac:dyDescent="0.15"/>
    <row r="741" ht="14" customHeight="1" x14ac:dyDescent="0.15"/>
    <row r="742" ht="14" customHeight="1" x14ac:dyDescent="0.15"/>
    <row r="743" ht="14" customHeight="1" x14ac:dyDescent="0.15"/>
    <row r="744" ht="14" customHeight="1" x14ac:dyDescent="0.15"/>
    <row r="745" ht="14" customHeight="1" x14ac:dyDescent="0.15"/>
    <row r="746" ht="14" customHeight="1" x14ac:dyDescent="0.15"/>
    <row r="747" ht="14" customHeight="1" x14ac:dyDescent="0.15"/>
    <row r="748" ht="14" customHeight="1" x14ac:dyDescent="0.15"/>
    <row r="749" ht="14" customHeight="1" x14ac:dyDescent="0.15"/>
    <row r="750" ht="14" customHeight="1" x14ac:dyDescent="0.15"/>
    <row r="751" ht="14" customHeight="1" x14ac:dyDescent="0.15"/>
    <row r="752" ht="14" customHeight="1" x14ac:dyDescent="0.15"/>
    <row r="753" ht="14" customHeight="1" x14ac:dyDescent="0.15"/>
    <row r="754" ht="14" customHeight="1" x14ac:dyDescent="0.15"/>
    <row r="755" ht="14" customHeight="1" x14ac:dyDescent="0.15"/>
    <row r="756" ht="14" customHeight="1" x14ac:dyDescent="0.15"/>
    <row r="757" ht="14" customHeight="1" x14ac:dyDescent="0.15"/>
    <row r="758" ht="14" customHeight="1" x14ac:dyDescent="0.15"/>
    <row r="759" ht="14" customHeight="1" x14ac:dyDescent="0.15"/>
    <row r="760" ht="14" customHeight="1" x14ac:dyDescent="0.15"/>
    <row r="761" ht="14" customHeight="1" x14ac:dyDescent="0.15"/>
    <row r="762" ht="14" customHeight="1" x14ac:dyDescent="0.15"/>
    <row r="763" ht="14" customHeight="1" x14ac:dyDescent="0.15"/>
    <row r="764" ht="14" customHeight="1" x14ac:dyDescent="0.15"/>
    <row r="765" ht="14" customHeight="1" x14ac:dyDescent="0.15"/>
    <row r="766" ht="14" customHeight="1" x14ac:dyDescent="0.15"/>
    <row r="767" ht="14" customHeight="1" x14ac:dyDescent="0.15"/>
    <row r="768" ht="14" customHeight="1" x14ac:dyDescent="0.15"/>
    <row r="769" ht="14" customHeight="1" x14ac:dyDescent="0.15"/>
    <row r="770" ht="14" customHeight="1" x14ac:dyDescent="0.15"/>
    <row r="771" ht="14" customHeight="1" x14ac:dyDescent="0.15"/>
    <row r="772" ht="14" customHeight="1" x14ac:dyDescent="0.15"/>
    <row r="773" ht="14" customHeight="1" x14ac:dyDescent="0.15"/>
    <row r="774" ht="14" customHeight="1" x14ac:dyDescent="0.15"/>
    <row r="775" ht="14" customHeight="1" x14ac:dyDescent="0.15"/>
    <row r="776" ht="14" customHeight="1" x14ac:dyDescent="0.15"/>
    <row r="777" ht="14" customHeight="1" x14ac:dyDescent="0.15"/>
    <row r="778" ht="14" customHeight="1" x14ac:dyDescent="0.15"/>
    <row r="779" ht="14" customHeight="1" x14ac:dyDescent="0.15"/>
    <row r="780" ht="14" customHeight="1" x14ac:dyDescent="0.15"/>
    <row r="781" ht="14" customHeight="1" x14ac:dyDescent="0.15"/>
    <row r="782" ht="14" customHeight="1" x14ac:dyDescent="0.15"/>
    <row r="783" ht="14" customHeight="1" x14ac:dyDescent="0.15"/>
    <row r="784" ht="14" customHeight="1" x14ac:dyDescent="0.15"/>
    <row r="785" ht="14" customHeight="1" x14ac:dyDescent="0.15"/>
    <row r="786" ht="14" customHeight="1" x14ac:dyDescent="0.15"/>
    <row r="787" ht="14" customHeight="1" x14ac:dyDescent="0.15"/>
    <row r="788" ht="14" customHeight="1" x14ac:dyDescent="0.15"/>
    <row r="789" ht="14" customHeight="1" x14ac:dyDescent="0.15"/>
    <row r="790" ht="14" customHeight="1" x14ac:dyDescent="0.15"/>
    <row r="791" ht="14" customHeight="1" x14ac:dyDescent="0.15"/>
    <row r="792" ht="14" customHeight="1" x14ac:dyDescent="0.15"/>
    <row r="793" ht="14" customHeight="1" x14ac:dyDescent="0.15"/>
    <row r="794" ht="14" customHeight="1" x14ac:dyDescent="0.15"/>
    <row r="795" ht="14" customHeight="1" x14ac:dyDescent="0.15"/>
    <row r="796" ht="14" customHeight="1" x14ac:dyDescent="0.15"/>
    <row r="797" ht="14" customHeight="1" x14ac:dyDescent="0.15"/>
    <row r="798" ht="14" customHeight="1" x14ac:dyDescent="0.15"/>
    <row r="799" ht="14" customHeight="1" x14ac:dyDescent="0.15"/>
    <row r="800" ht="14" customHeight="1" x14ac:dyDescent="0.15"/>
    <row r="801" ht="14" customHeight="1" x14ac:dyDescent="0.15"/>
    <row r="802" ht="14" customHeight="1" x14ac:dyDescent="0.15"/>
    <row r="803" ht="14" customHeight="1" x14ac:dyDescent="0.15"/>
    <row r="804" ht="14" customHeight="1" x14ac:dyDescent="0.15"/>
    <row r="805" ht="14" customHeight="1" x14ac:dyDescent="0.15"/>
    <row r="806" ht="14" customHeight="1" x14ac:dyDescent="0.15"/>
    <row r="807" ht="14" customHeight="1" x14ac:dyDescent="0.15"/>
    <row r="808" ht="14" customHeight="1" x14ac:dyDescent="0.15"/>
    <row r="809" ht="14" customHeight="1" x14ac:dyDescent="0.15"/>
    <row r="810" ht="14" customHeight="1" x14ac:dyDescent="0.15"/>
    <row r="811" ht="14" customHeight="1" x14ac:dyDescent="0.15"/>
    <row r="812" ht="14" customHeight="1" x14ac:dyDescent="0.15"/>
    <row r="813" ht="14" customHeight="1" x14ac:dyDescent="0.15"/>
    <row r="814" ht="14" customHeight="1" x14ac:dyDescent="0.15"/>
    <row r="815" ht="14" customHeight="1" x14ac:dyDescent="0.15"/>
    <row r="816" ht="14" customHeight="1" x14ac:dyDescent="0.15"/>
    <row r="817" ht="14" customHeight="1" x14ac:dyDescent="0.15"/>
    <row r="818" ht="14" customHeight="1" x14ac:dyDescent="0.15"/>
    <row r="819" ht="14" customHeight="1" x14ac:dyDescent="0.15"/>
    <row r="820" ht="14" customHeight="1" x14ac:dyDescent="0.15"/>
    <row r="821" ht="14" customHeight="1" x14ac:dyDescent="0.15"/>
    <row r="822" ht="14" customHeight="1" x14ac:dyDescent="0.15"/>
    <row r="823" ht="14" customHeight="1" x14ac:dyDescent="0.15"/>
    <row r="824" ht="14" customHeight="1" x14ac:dyDescent="0.15"/>
    <row r="825" ht="14" customHeight="1" x14ac:dyDescent="0.15"/>
    <row r="826" ht="14" customHeight="1" x14ac:dyDescent="0.15"/>
    <row r="827" ht="14" customHeight="1" x14ac:dyDescent="0.15"/>
    <row r="828" ht="14" customHeight="1" x14ac:dyDescent="0.15"/>
    <row r="829" ht="14" customHeight="1" x14ac:dyDescent="0.15"/>
    <row r="830" ht="14" customHeight="1" x14ac:dyDescent="0.15"/>
    <row r="831" ht="14" customHeight="1" x14ac:dyDescent="0.15"/>
    <row r="832" ht="14" customHeight="1" x14ac:dyDescent="0.15"/>
    <row r="833" ht="14" customHeight="1" x14ac:dyDescent="0.15"/>
    <row r="834" ht="14" customHeight="1" x14ac:dyDescent="0.15"/>
    <row r="835" ht="14" customHeight="1" x14ac:dyDescent="0.15"/>
    <row r="836" ht="14" customHeight="1" x14ac:dyDescent="0.15"/>
    <row r="837" ht="14" customHeight="1" x14ac:dyDescent="0.15"/>
    <row r="838" ht="14" customHeight="1" x14ac:dyDescent="0.15"/>
    <row r="839" ht="14" customHeight="1" x14ac:dyDescent="0.15"/>
    <row r="840" ht="14" customHeight="1" x14ac:dyDescent="0.15"/>
    <row r="841" ht="14" customHeight="1" x14ac:dyDescent="0.15"/>
    <row r="842" ht="14" customHeight="1" x14ac:dyDescent="0.15"/>
    <row r="843" ht="14" customHeight="1" x14ac:dyDescent="0.15"/>
    <row r="844" ht="14" customHeight="1" x14ac:dyDescent="0.15"/>
    <row r="845" ht="14" customHeight="1" x14ac:dyDescent="0.15"/>
    <row r="846" ht="14" customHeight="1" x14ac:dyDescent="0.15"/>
    <row r="847" ht="14" customHeight="1" x14ac:dyDescent="0.15"/>
    <row r="848" ht="14" customHeight="1" x14ac:dyDescent="0.15"/>
    <row r="849" ht="14" customHeight="1" x14ac:dyDescent="0.15"/>
    <row r="850" ht="14" customHeight="1" x14ac:dyDescent="0.15"/>
    <row r="851" ht="14" customHeight="1" x14ac:dyDescent="0.15"/>
    <row r="852" ht="14" customHeight="1" x14ac:dyDescent="0.15"/>
    <row r="853" ht="14" customHeight="1" x14ac:dyDescent="0.15"/>
    <row r="854" ht="14" customHeight="1" x14ac:dyDescent="0.15"/>
    <row r="855" ht="14" customHeight="1" x14ac:dyDescent="0.15"/>
    <row r="856" ht="14" customHeight="1" x14ac:dyDescent="0.15"/>
    <row r="857" ht="14" customHeight="1" x14ac:dyDescent="0.15"/>
    <row r="858" ht="14" customHeight="1" x14ac:dyDescent="0.15"/>
    <row r="859" ht="14" customHeight="1" x14ac:dyDescent="0.15"/>
    <row r="860" ht="14" customHeight="1" x14ac:dyDescent="0.15"/>
    <row r="861" ht="14" customHeight="1" x14ac:dyDescent="0.15"/>
    <row r="862" ht="14" customHeight="1" x14ac:dyDescent="0.15"/>
    <row r="863" ht="14" customHeight="1" x14ac:dyDescent="0.15"/>
    <row r="864" ht="14" customHeight="1" x14ac:dyDescent="0.15"/>
    <row r="865" ht="14" customHeight="1" x14ac:dyDescent="0.15"/>
    <row r="866" ht="14" customHeight="1" x14ac:dyDescent="0.15"/>
    <row r="867" ht="14" customHeight="1" x14ac:dyDescent="0.15"/>
    <row r="868" ht="14" customHeight="1" x14ac:dyDescent="0.15"/>
    <row r="869" ht="14" customHeight="1" x14ac:dyDescent="0.15"/>
    <row r="870" ht="14" customHeight="1" x14ac:dyDescent="0.15"/>
    <row r="871" ht="14" customHeight="1" x14ac:dyDescent="0.15"/>
    <row r="872" ht="14" customHeight="1" x14ac:dyDescent="0.15"/>
    <row r="873" ht="14" customHeight="1" x14ac:dyDescent="0.15"/>
    <row r="874" ht="14" customHeight="1" x14ac:dyDescent="0.15"/>
    <row r="875" ht="14" customHeight="1" x14ac:dyDescent="0.15"/>
    <row r="876" ht="14" customHeight="1" x14ac:dyDescent="0.15"/>
    <row r="877" ht="14" customHeight="1" x14ac:dyDescent="0.15"/>
    <row r="878" ht="14" customHeight="1" x14ac:dyDescent="0.15"/>
    <row r="879" ht="14" customHeight="1" x14ac:dyDescent="0.15"/>
    <row r="880" ht="14" customHeight="1" x14ac:dyDescent="0.15"/>
    <row r="881" ht="14" customHeight="1" x14ac:dyDescent="0.15"/>
    <row r="882" ht="14" customHeight="1" x14ac:dyDescent="0.15"/>
    <row r="883" ht="14" customHeight="1" x14ac:dyDescent="0.15"/>
    <row r="884" ht="14" customHeight="1" x14ac:dyDescent="0.15"/>
    <row r="885" ht="14" customHeight="1" x14ac:dyDescent="0.15"/>
    <row r="886" ht="14" customHeight="1" x14ac:dyDescent="0.15"/>
    <row r="887" ht="14" customHeight="1" x14ac:dyDescent="0.15"/>
    <row r="888" ht="14" customHeight="1" x14ac:dyDescent="0.15"/>
    <row r="889" ht="14" customHeight="1" x14ac:dyDescent="0.15"/>
    <row r="890" ht="14" customHeight="1" x14ac:dyDescent="0.15"/>
    <row r="891" ht="14" customHeight="1" x14ac:dyDescent="0.15"/>
    <row r="892" ht="14" customHeight="1" x14ac:dyDescent="0.15"/>
    <row r="893" ht="14" customHeight="1" x14ac:dyDescent="0.15"/>
    <row r="894" ht="14" customHeight="1" x14ac:dyDescent="0.15"/>
    <row r="895" ht="14" customHeight="1" x14ac:dyDescent="0.15"/>
    <row r="896" ht="14" customHeight="1" x14ac:dyDescent="0.15"/>
    <row r="897" ht="14" customHeight="1" x14ac:dyDescent="0.15"/>
    <row r="898" ht="14" customHeight="1" x14ac:dyDescent="0.15"/>
    <row r="899" ht="14" customHeight="1" x14ac:dyDescent="0.15"/>
    <row r="900" ht="14" customHeight="1" x14ac:dyDescent="0.15"/>
    <row r="901" ht="14" customHeight="1" x14ac:dyDescent="0.15"/>
    <row r="902" ht="14" customHeight="1" x14ac:dyDescent="0.15"/>
    <row r="903" ht="14" customHeight="1" x14ac:dyDescent="0.15"/>
    <row r="904" ht="14" customHeight="1" x14ac:dyDescent="0.15"/>
    <row r="905" ht="14" customHeight="1" x14ac:dyDescent="0.15"/>
    <row r="906" ht="14" customHeight="1" x14ac:dyDescent="0.15"/>
    <row r="907" ht="14" customHeight="1" x14ac:dyDescent="0.15"/>
    <row r="908" ht="14" customHeight="1" x14ac:dyDescent="0.15"/>
    <row r="909" ht="14" customHeight="1" x14ac:dyDescent="0.15"/>
    <row r="910" ht="14" customHeight="1" x14ac:dyDescent="0.15"/>
    <row r="911" ht="14" customHeight="1" x14ac:dyDescent="0.15"/>
    <row r="912" ht="14" customHeight="1" x14ac:dyDescent="0.15"/>
    <row r="913" ht="14" customHeight="1" x14ac:dyDescent="0.15"/>
    <row r="914" ht="14" customHeight="1" x14ac:dyDescent="0.15"/>
    <row r="915" ht="14" customHeight="1" x14ac:dyDescent="0.15"/>
    <row r="916" ht="14" customHeight="1" x14ac:dyDescent="0.15"/>
    <row r="917" ht="14" customHeight="1" x14ac:dyDescent="0.15"/>
    <row r="918" ht="14" customHeight="1" x14ac:dyDescent="0.15"/>
    <row r="919" ht="14" customHeight="1" x14ac:dyDescent="0.15"/>
    <row r="920" ht="14" customHeight="1" x14ac:dyDescent="0.15"/>
    <row r="921" ht="14" customHeight="1" x14ac:dyDescent="0.15"/>
    <row r="922" ht="14" customHeight="1" x14ac:dyDescent="0.15"/>
    <row r="923" ht="14" customHeight="1" x14ac:dyDescent="0.15"/>
    <row r="924" ht="14" customHeight="1" x14ac:dyDescent="0.15"/>
    <row r="925" ht="14" customHeight="1" x14ac:dyDescent="0.15"/>
    <row r="926" ht="14" customHeight="1" x14ac:dyDescent="0.15"/>
    <row r="927" ht="14" customHeight="1" x14ac:dyDescent="0.15"/>
    <row r="928" ht="14" customHeight="1" x14ac:dyDescent="0.15"/>
    <row r="929" ht="14" customHeight="1" x14ac:dyDescent="0.15"/>
    <row r="930" ht="14" customHeight="1" x14ac:dyDescent="0.15"/>
    <row r="931" ht="14" customHeight="1" x14ac:dyDescent="0.15"/>
    <row r="932" ht="14" customHeight="1" x14ac:dyDescent="0.15"/>
    <row r="933" ht="14" customHeight="1" x14ac:dyDescent="0.15"/>
    <row r="934" ht="14" customHeight="1" x14ac:dyDescent="0.15"/>
    <row r="935" ht="14" customHeight="1" x14ac:dyDescent="0.15"/>
    <row r="936" ht="14" customHeight="1" x14ac:dyDescent="0.15"/>
    <row r="937" ht="14" customHeight="1" x14ac:dyDescent="0.15"/>
    <row r="938" ht="14" customHeight="1" x14ac:dyDescent="0.15"/>
    <row r="939" ht="14" customHeight="1" x14ac:dyDescent="0.15"/>
    <row r="940" ht="14" customHeight="1" x14ac:dyDescent="0.15"/>
    <row r="941" ht="14" customHeight="1" x14ac:dyDescent="0.15"/>
    <row r="942" ht="14" customHeight="1" x14ac:dyDescent="0.15"/>
    <row r="943" ht="14" customHeight="1" x14ac:dyDescent="0.15"/>
    <row r="944" ht="14" customHeight="1" x14ac:dyDescent="0.15"/>
    <row r="945" ht="14" customHeight="1" x14ac:dyDescent="0.15"/>
    <row r="946" ht="14" customHeight="1" x14ac:dyDescent="0.15"/>
    <row r="947" ht="14" customHeight="1" x14ac:dyDescent="0.15"/>
    <row r="948" ht="14" customHeight="1" x14ac:dyDescent="0.15"/>
    <row r="949" ht="14" customHeight="1" x14ac:dyDescent="0.15"/>
    <row r="950" ht="14" customHeight="1" x14ac:dyDescent="0.15"/>
    <row r="951" ht="14" customHeight="1" x14ac:dyDescent="0.15"/>
    <row r="952" ht="14" customHeight="1" x14ac:dyDescent="0.15"/>
    <row r="953" ht="14" customHeight="1" x14ac:dyDescent="0.15"/>
    <row r="954" ht="14" customHeight="1" x14ac:dyDescent="0.15"/>
    <row r="955" ht="14" customHeight="1" x14ac:dyDescent="0.15"/>
    <row r="956" ht="14" customHeight="1" x14ac:dyDescent="0.15"/>
    <row r="957" ht="14" customHeight="1" x14ac:dyDescent="0.15"/>
    <row r="958" ht="14" customHeight="1" x14ac:dyDescent="0.15"/>
    <row r="959" ht="14" customHeight="1" x14ac:dyDescent="0.15"/>
    <row r="960" ht="14" customHeight="1" x14ac:dyDescent="0.15"/>
    <row r="961" ht="14" customHeight="1" x14ac:dyDescent="0.15"/>
    <row r="962" ht="14" customHeight="1" x14ac:dyDescent="0.15"/>
    <row r="963" ht="14" customHeight="1" x14ac:dyDescent="0.15"/>
    <row r="964" ht="14" customHeight="1" x14ac:dyDescent="0.15"/>
    <row r="965" ht="14" customHeight="1" x14ac:dyDescent="0.15"/>
    <row r="966" ht="14" customHeight="1" x14ac:dyDescent="0.15"/>
    <row r="967" ht="14" customHeight="1" x14ac:dyDescent="0.15"/>
    <row r="968" ht="14" customHeight="1" x14ac:dyDescent="0.15"/>
    <row r="969" ht="14" customHeight="1" x14ac:dyDescent="0.15"/>
    <row r="970" ht="14" customHeight="1" x14ac:dyDescent="0.15"/>
    <row r="971" ht="14" customHeight="1" x14ac:dyDescent="0.15"/>
    <row r="972" ht="14" customHeight="1" x14ac:dyDescent="0.15"/>
    <row r="973" ht="14" customHeight="1" x14ac:dyDescent="0.15"/>
    <row r="974" ht="14" customHeight="1" x14ac:dyDescent="0.15"/>
    <row r="975" ht="14" customHeight="1" x14ac:dyDescent="0.15"/>
    <row r="976" ht="14" customHeight="1" x14ac:dyDescent="0.15"/>
    <row r="977" ht="14" customHeight="1" x14ac:dyDescent="0.15"/>
    <row r="978" ht="14" customHeight="1" x14ac:dyDescent="0.15"/>
    <row r="979" ht="14" customHeight="1" x14ac:dyDescent="0.15"/>
    <row r="980" ht="14" customHeight="1" x14ac:dyDescent="0.15"/>
    <row r="981" ht="14" customHeight="1" x14ac:dyDescent="0.15"/>
    <row r="982" ht="14" customHeight="1" x14ac:dyDescent="0.15"/>
    <row r="983" ht="14" customHeight="1" x14ac:dyDescent="0.15"/>
    <row r="984" ht="14" customHeight="1" x14ac:dyDescent="0.15"/>
    <row r="985" ht="14" customHeight="1" x14ac:dyDescent="0.15"/>
    <row r="986" ht="14" customHeight="1" x14ac:dyDescent="0.15"/>
    <row r="987" ht="14" customHeight="1" x14ac:dyDescent="0.15"/>
    <row r="988" ht="14" customHeight="1" x14ac:dyDescent="0.15"/>
    <row r="989" ht="14" customHeight="1" x14ac:dyDescent="0.15"/>
    <row r="990" ht="14" customHeight="1" x14ac:dyDescent="0.15"/>
    <row r="991" ht="14" customHeight="1" x14ac:dyDescent="0.15"/>
    <row r="992" ht="14" customHeight="1" x14ac:dyDescent="0.15"/>
    <row r="993" ht="14" customHeight="1" x14ac:dyDescent="0.15"/>
    <row r="994" ht="14" customHeight="1" x14ac:dyDescent="0.15"/>
    <row r="995" ht="14" customHeight="1" x14ac:dyDescent="0.15"/>
    <row r="996" ht="14" customHeight="1" x14ac:dyDescent="0.15"/>
    <row r="997" ht="14" customHeight="1" x14ac:dyDescent="0.15"/>
    <row r="998" ht="14" customHeight="1" x14ac:dyDescent="0.15"/>
    <row r="999" ht="14" customHeight="1" x14ac:dyDescent="0.15"/>
    <row r="1000" ht="14" customHeight="1" x14ac:dyDescent="0.1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497D"/>
  </sheetPr>
  <dimension ref="A1:AI1000"/>
  <sheetViews>
    <sheetView workbookViewId="0">
      <selection activeCell="G34" sqref="G34"/>
    </sheetView>
  </sheetViews>
  <sheetFormatPr baseColWidth="10" defaultColWidth="8.83203125" defaultRowHeight="15" customHeight="1" x14ac:dyDescent="0.15"/>
  <cols>
    <col min="1" max="1" width="39.83203125" style="48" customWidth="1"/>
    <col min="2" max="2" width="17.83203125" style="30" customWidth="1"/>
    <col min="3" max="3" width="9.5" style="48" customWidth="1"/>
    <col min="4" max="35" width="9.5" style="48" bestFit="1" customWidth="1"/>
    <col min="36" max="43" width="8.83203125" style="48" customWidth="1"/>
    <col min="44" max="16384" width="8.83203125" style="48"/>
  </cols>
  <sheetData>
    <row r="1" spans="1:35" ht="14.5" customHeight="1" x14ac:dyDescent="0.2">
      <c r="A1" s="28" t="s">
        <v>177</v>
      </c>
      <c r="B1" s="29">
        <v>2020</v>
      </c>
      <c r="C1" s="29">
        <v>2021</v>
      </c>
      <c r="D1" s="29">
        <v>2022</v>
      </c>
      <c r="E1" s="29">
        <v>2023</v>
      </c>
      <c r="F1" s="29">
        <v>2024</v>
      </c>
      <c r="G1" s="29">
        <v>2025</v>
      </c>
      <c r="H1" s="29">
        <v>2026</v>
      </c>
      <c r="I1" s="29">
        <v>2027</v>
      </c>
      <c r="J1" s="29">
        <v>2028</v>
      </c>
      <c r="K1" s="29">
        <v>2029</v>
      </c>
      <c r="L1" s="29">
        <v>2030</v>
      </c>
      <c r="M1" s="29">
        <v>2031</v>
      </c>
      <c r="N1" s="29">
        <v>2032</v>
      </c>
      <c r="O1" s="29">
        <v>2033</v>
      </c>
      <c r="P1" s="29">
        <v>2034</v>
      </c>
      <c r="Q1" s="29">
        <v>2035</v>
      </c>
      <c r="R1" s="29">
        <v>2036</v>
      </c>
      <c r="S1" s="29">
        <v>2037</v>
      </c>
      <c r="T1" s="29">
        <v>2038</v>
      </c>
      <c r="U1" s="29">
        <v>2039</v>
      </c>
      <c r="V1" s="29">
        <v>2040</v>
      </c>
      <c r="W1" s="29">
        <v>2041</v>
      </c>
      <c r="X1" s="29">
        <v>2042</v>
      </c>
      <c r="Y1" s="29">
        <v>2043</v>
      </c>
      <c r="Z1" s="29">
        <v>2044</v>
      </c>
      <c r="AA1" s="29">
        <v>2045</v>
      </c>
      <c r="AB1" s="29">
        <v>2046</v>
      </c>
      <c r="AC1" s="29">
        <v>2047</v>
      </c>
      <c r="AD1" s="29">
        <v>2048</v>
      </c>
      <c r="AE1" s="29">
        <v>2049</v>
      </c>
      <c r="AF1" s="29">
        <v>2050</v>
      </c>
      <c r="AH1" s="29"/>
      <c r="AI1" s="29"/>
    </row>
    <row r="2" spans="1:35" ht="14" customHeight="1" x14ac:dyDescent="0.15">
      <c r="A2" s="48" t="s">
        <v>178</v>
      </c>
      <c r="B2">
        <v>3264954468811.395</v>
      </c>
      <c r="C2" s="57">
        <v>3300129538599.5161</v>
      </c>
      <c r="D2" s="57">
        <v>3335304608387.6372</v>
      </c>
      <c r="E2" s="57">
        <v>3387203718856.23</v>
      </c>
      <c r="F2" s="57">
        <v>3427816441803.2832</v>
      </c>
      <c r="G2" s="57">
        <v>3465032027476.042</v>
      </c>
      <c r="H2" s="57">
        <v>3507277707321.792</v>
      </c>
      <c r="I2" s="57">
        <v>3541837891373.8032</v>
      </c>
      <c r="J2" s="57">
        <v>3569097452864.917</v>
      </c>
      <c r="K2" s="57">
        <v>3598530222699.373</v>
      </c>
      <c r="L2" s="57">
        <v>3626286984452.4668</v>
      </c>
      <c r="M2" s="57">
        <v>3651594920151.104</v>
      </c>
      <c r="N2" s="57">
        <v>3681105128696.834</v>
      </c>
      <c r="O2" s="57">
        <v>3709238100028.7192</v>
      </c>
      <c r="P2" s="57">
        <v>3735816287664.083</v>
      </c>
      <c r="Q2" s="57">
        <v>3760804819978.0391</v>
      </c>
      <c r="R2" s="57">
        <v>3786125993205.895</v>
      </c>
      <c r="S2" s="57">
        <v>3811971876718.6191</v>
      </c>
      <c r="T2" s="57">
        <v>3837778548432.9409</v>
      </c>
      <c r="U2" s="57">
        <v>3864173079956.7632</v>
      </c>
      <c r="V2" s="57">
        <v>3889520244146.7769</v>
      </c>
      <c r="W2" s="57">
        <v>3913046455153.0371</v>
      </c>
      <c r="X2" s="57">
        <v>3938600428610.9941</v>
      </c>
      <c r="Y2" s="57">
        <v>3965045155910.8018</v>
      </c>
      <c r="Z2" s="57">
        <v>3990878820165.7871</v>
      </c>
      <c r="AA2" s="57">
        <v>4016920328653.168</v>
      </c>
      <c r="AB2" s="57">
        <v>4042600150450.0562</v>
      </c>
      <c r="AC2" s="57">
        <v>4067654386313.8252</v>
      </c>
      <c r="AD2" s="57">
        <v>4092997210330.3252</v>
      </c>
      <c r="AE2" s="57">
        <v>4119341579464.1089</v>
      </c>
      <c r="AF2" s="57">
        <v>4145519870189.082</v>
      </c>
      <c r="AG2" s="57"/>
    </row>
    <row r="3" spans="1:35" ht="14" customHeight="1" x14ac:dyDescent="0.15">
      <c r="A3" s="48" t="s">
        <v>179</v>
      </c>
      <c r="B3">
        <v>1030234302469.519</v>
      </c>
      <c r="C3">
        <v>1048971063883.936</v>
      </c>
      <c r="D3">
        <v>1067707825298.354</v>
      </c>
      <c r="E3">
        <v>1091511252152.4709</v>
      </c>
      <c r="F3">
        <v>1090771266038.87</v>
      </c>
      <c r="G3">
        <v>1101261848626.281</v>
      </c>
      <c r="H3">
        <v>1106869632116.293</v>
      </c>
      <c r="I3">
        <v>1104580263178.7041</v>
      </c>
      <c r="J3">
        <v>1112187631656.96</v>
      </c>
      <c r="K3">
        <v>1113445946282.675</v>
      </c>
      <c r="L3">
        <v>1114400124418.835</v>
      </c>
      <c r="M3">
        <v>1116110584046.926</v>
      </c>
      <c r="N3">
        <v>1116202104423.7791</v>
      </c>
      <c r="O3">
        <v>1119578658289.3621</v>
      </c>
      <c r="P3">
        <v>1114355119255.877</v>
      </c>
      <c r="Q3">
        <v>1112315835451.8911</v>
      </c>
      <c r="R3">
        <v>1109849023768.74</v>
      </c>
      <c r="S3">
        <v>1109810406920.959</v>
      </c>
      <c r="T3">
        <v>1113252283426.1201</v>
      </c>
      <c r="U3">
        <v>1116135492831.0659</v>
      </c>
      <c r="V3">
        <v>1121383507861.5071</v>
      </c>
      <c r="W3">
        <v>1127591661260.3091</v>
      </c>
      <c r="X3">
        <v>1133500565842.2119</v>
      </c>
      <c r="Y3">
        <v>1136525611838.394</v>
      </c>
      <c r="Z3">
        <v>1141135214025.7051</v>
      </c>
      <c r="AA3">
        <v>1145187941416.249</v>
      </c>
      <c r="AB3">
        <v>1148059376187.2561</v>
      </c>
      <c r="AC3">
        <v>1147111586366.2739</v>
      </c>
      <c r="AD3">
        <v>1145935604798.1631</v>
      </c>
      <c r="AE3">
        <v>1150301514871.2549</v>
      </c>
      <c r="AF3">
        <v>1159287070616.8589</v>
      </c>
    </row>
    <row r="4" spans="1:35" ht="14" customHeight="1" x14ac:dyDescent="0.15">
      <c r="A4" s="48" t="s">
        <v>135</v>
      </c>
      <c r="B4">
        <v>5406206420458.1201</v>
      </c>
      <c r="C4">
        <v>5504528520211.9404</v>
      </c>
      <c r="D4">
        <v>5602850619965.7617</v>
      </c>
      <c r="E4">
        <v>5727760301947.0039</v>
      </c>
      <c r="F4">
        <v>5723877187524.5752</v>
      </c>
      <c r="G4">
        <v>5778927048320.7617</v>
      </c>
      <c r="H4">
        <v>5808354174786.6309</v>
      </c>
      <c r="I4">
        <v>5796340595914.791</v>
      </c>
      <c r="J4">
        <v>5836260645374.7598</v>
      </c>
      <c r="K4">
        <v>5842863714785.4658</v>
      </c>
      <c r="L4">
        <v>5847870812640.3916</v>
      </c>
      <c r="M4">
        <v>5856846535736.7354</v>
      </c>
      <c r="N4">
        <v>5857326793526.4043</v>
      </c>
      <c r="O4">
        <v>5875045430096.1465</v>
      </c>
      <c r="P4">
        <v>5847634645779.752</v>
      </c>
      <c r="Q4">
        <v>5836933401249.4385</v>
      </c>
      <c r="R4">
        <v>5823988682628.1074</v>
      </c>
      <c r="S4">
        <v>5823786038773.2939</v>
      </c>
      <c r="T4">
        <v>5841847459186.1289</v>
      </c>
      <c r="U4">
        <v>5856977245836.7764</v>
      </c>
      <c r="V4">
        <v>5884516469180.6533</v>
      </c>
      <c r="W4">
        <v>5917094066998.2959</v>
      </c>
      <c r="X4">
        <v>5948101341568.7402</v>
      </c>
      <c r="Y4">
        <v>5963975422879.6982</v>
      </c>
      <c r="Z4">
        <v>5988164542656.6865</v>
      </c>
      <c r="AA4">
        <v>6009431433874.1543</v>
      </c>
      <c r="AB4">
        <v>6024499432539.835</v>
      </c>
      <c r="AC4">
        <v>6019525857690.7363</v>
      </c>
      <c r="AD4">
        <v>6013354835148.9482</v>
      </c>
      <c r="AE4">
        <v>6036265168275.8086</v>
      </c>
      <c r="AF4">
        <v>6083417324874.3867</v>
      </c>
    </row>
    <row r="5" spans="1:35" ht="14" customHeight="1" x14ac:dyDescent="0.15">
      <c r="A5" s="48" t="s">
        <v>180</v>
      </c>
      <c r="B5">
        <v>2089003889911.894</v>
      </c>
      <c r="C5">
        <v>2126996380926.071</v>
      </c>
      <c r="D5">
        <v>2164988871940.2471</v>
      </c>
      <c r="E5">
        <v>2213255029621.3589</v>
      </c>
      <c r="F5">
        <v>2211754561362.7422</v>
      </c>
      <c r="G5">
        <v>2233026293220.2539</v>
      </c>
      <c r="H5">
        <v>2244397183799.5518</v>
      </c>
      <c r="I5">
        <v>2239755035305.1719</v>
      </c>
      <c r="J5">
        <v>2255180480085.041</v>
      </c>
      <c r="K5">
        <v>2257731961958.1938</v>
      </c>
      <c r="L5">
        <v>2259666746922.4771</v>
      </c>
      <c r="M5">
        <v>2263135042249.1372</v>
      </c>
      <c r="N5">
        <v>2263320617921.3828</v>
      </c>
      <c r="O5">
        <v>2270167248967.1489</v>
      </c>
      <c r="P5">
        <v>2259575490049.8799</v>
      </c>
      <c r="Q5">
        <v>2255440438645.603</v>
      </c>
      <c r="R5">
        <v>2250438489875.8628</v>
      </c>
      <c r="S5">
        <v>2250360186576.2749</v>
      </c>
      <c r="T5">
        <v>2257339272198.4912</v>
      </c>
      <c r="U5">
        <v>2263185549737.4199</v>
      </c>
      <c r="V5">
        <v>2273826938581.3252</v>
      </c>
      <c r="W5">
        <v>2286415197939.5889</v>
      </c>
      <c r="X5">
        <v>2298396671112.3682</v>
      </c>
      <c r="Y5">
        <v>2304530550403.748</v>
      </c>
      <c r="Z5">
        <v>2313877430892.1528</v>
      </c>
      <c r="AA5">
        <v>2322095137547.1392</v>
      </c>
      <c r="AB5">
        <v>2327917539686.0352</v>
      </c>
      <c r="AC5">
        <v>2325995708294.7632</v>
      </c>
      <c r="AD5">
        <v>2323611172986.2798</v>
      </c>
      <c r="AE5">
        <v>2332463919496.3062</v>
      </c>
      <c r="AF5">
        <v>2350683911648.1812</v>
      </c>
    </row>
    <row r="6" spans="1:35" ht="14" customHeight="1" x14ac:dyDescent="0.15">
      <c r="A6" s="48" t="s">
        <v>181</v>
      </c>
      <c r="B6">
        <v>4317468604092.021</v>
      </c>
      <c r="C6">
        <v>4364455835759.5068</v>
      </c>
      <c r="D6">
        <v>4411443067426.9932</v>
      </c>
      <c r="E6">
        <v>4446100179437.9834</v>
      </c>
      <c r="F6">
        <v>4486405474741.9307</v>
      </c>
      <c r="G6">
        <v>4526587358104.8252</v>
      </c>
      <c r="H6">
        <v>4566883294503.9707</v>
      </c>
      <c r="I6">
        <v>4600601299389.9873</v>
      </c>
      <c r="J6">
        <v>4631109797306.1084</v>
      </c>
      <c r="K6">
        <v>4658890274035.5098</v>
      </c>
      <c r="L6">
        <v>4682894685414.0264</v>
      </c>
      <c r="M6">
        <v>4714159998595.8105</v>
      </c>
      <c r="N6">
        <v>4745120986539.3154</v>
      </c>
      <c r="O6">
        <v>4771225193046.4258</v>
      </c>
      <c r="P6">
        <v>4792490355615.9326</v>
      </c>
      <c r="Q6">
        <v>4818063540009.0566</v>
      </c>
      <c r="R6">
        <v>4841944079925.8271</v>
      </c>
      <c r="S6">
        <v>4867727617575.3076</v>
      </c>
      <c r="T6">
        <v>4894814401865.0449</v>
      </c>
      <c r="U6">
        <v>4921376229713.9561</v>
      </c>
      <c r="V6">
        <v>4947887112035.2578</v>
      </c>
      <c r="W6">
        <v>4976306123403.6865</v>
      </c>
      <c r="X6">
        <v>5007684065107.5713</v>
      </c>
      <c r="Y6">
        <v>5037545159635.2715</v>
      </c>
      <c r="Z6">
        <v>5066972910831.1709</v>
      </c>
      <c r="AA6">
        <v>5093101900821.0459</v>
      </c>
      <c r="AB6">
        <v>5117095099894.6279</v>
      </c>
      <c r="AC6">
        <v>5140306256016.4473</v>
      </c>
      <c r="AD6">
        <v>5163376722219.1191</v>
      </c>
      <c r="AE6">
        <v>5187684983997.8662</v>
      </c>
      <c r="AF6">
        <v>5209713027506.1973</v>
      </c>
    </row>
    <row r="7" spans="1:35" ht="14" customHeight="1" x14ac:dyDescent="0.15">
      <c r="A7" s="48" t="s">
        <v>182</v>
      </c>
      <c r="B7">
        <v>15985934720.462299</v>
      </c>
      <c r="C7">
        <v>16028595651.536949</v>
      </c>
      <c r="D7">
        <v>16071256582.611601</v>
      </c>
      <c r="E7">
        <v>16126958676.09177</v>
      </c>
      <c r="F7">
        <v>16247397510.53949</v>
      </c>
      <c r="G7">
        <v>16316983803.72352</v>
      </c>
      <c r="H7">
        <v>16417285089.390631</v>
      </c>
      <c r="I7">
        <v>16525883787.635521</v>
      </c>
      <c r="J7">
        <v>16621369201.168171</v>
      </c>
      <c r="K7">
        <v>16762795454.33444</v>
      </c>
      <c r="L7">
        <v>16901350894.60984</v>
      </c>
      <c r="M7">
        <v>17020263772.88348</v>
      </c>
      <c r="N7">
        <v>17149825699.54212</v>
      </c>
      <c r="O7">
        <v>17277361437.989151</v>
      </c>
      <c r="P7">
        <v>17406768525.992142</v>
      </c>
      <c r="Q7">
        <v>17545591474.459789</v>
      </c>
      <c r="R7">
        <v>17679566975.71611</v>
      </c>
      <c r="S7">
        <v>17850501328.755051</v>
      </c>
      <c r="T7">
        <v>18030479784.550308</v>
      </c>
      <c r="U7">
        <v>18212985730.35141</v>
      </c>
      <c r="V7">
        <v>18395441087.012951</v>
      </c>
      <c r="W7">
        <v>18589341667.112598</v>
      </c>
      <c r="X7">
        <v>18820505427.522678</v>
      </c>
      <c r="Y7">
        <v>19046622696.958141</v>
      </c>
      <c r="Z7">
        <v>19282175841.661091</v>
      </c>
      <c r="AA7">
        <v>19514123147.093529</v>
      </c>
      <c r="AB7">
        <v>19767937176.745911</v>
      </c>
      <c r="AC7">
        <v>20000522678.322262</v>
      </c>
      <c r="AD7">
        <v>20184585085.617599</v>
      </c>
      <c r="AE7">
        <v>20367109976.464828</v>
      </c>
      <c r="AF7">
        <v>20561935171.43848</v>
      </c>
    </row>
    <row r="8" spans="1:35" ht="14" customHeight="1" x14ac:dyDescent="0.15">
      <c r="A8" s="48" t="s">
        <v>183</v>
      </c>
      <c r="B8">
        <v>396549883500.00293</v>
      </c>
      <c r="C8">
        <v>397594741757.14148</v>
      </c>
      <c r="D8">
        <v>398639600014.28009</v>
      </c>
      <c r="E8">
        <v>393179254794.99261</v>
      </c>
      <c r="F8">
        <v>399369920045.92767</v>
      </c>
      <c r="G8">
        <v>409454330879.39227</v>
      </c>
      <c r="H8">
        <v>410068594720.64441</v>
      </c>
      <c r="I8">
        <v>409449967430.17419</v>
      </c>
      <c r="J8">
        <v>408618057053.68451</v>
      </c>
      <c r="K8">
        <v>411918529586.43213</v>
      </c>
      <c r="L8">
        <v>415873265208.16467</v>
      </c>
      <c r="M8">
        <v>417554412611.15179</v>
      </c>
      <c r="N8">
        <v>418818917076.94427</v>
      </c>
      <c r="O8">
        <v>418722308577.43481</v>
      </c>
      <c r="P8">
        <v>418259950563.00177</v>
      </c>
      <c r="Q8">
        <v>418635270769.19043</v>
      </c>
      <c r="R8">
        <v>419917858986.77557</v>
      </c>
      <c r="S8">
        <v>423066211854.79529</v>
      </c>
      <c r="T8">
        <v>427193260375.12073</v>
      </c>
      <c r="U8">
        <v>430019775631.73889</v>
      </c>
      <c r="V8">
        <v>431981224077.21289</v>
      </c>
      <c r="W8">
        <v>435986708636.14313</v>
      </c>
      <c r="X8">
        <v>440138799309.39838</v>
      </c>
      <c r="Y8">
        <v>442542418314.84338</v>
      </c>
      <c r="Z8">
        <v>445905239046.48468</v>
      </c>
      <c r="AA8">
        <v>448664164185.74438</v>
      </c>
      <c r="AB8">
        <v>452778336196.32428</v>
      </c>
      <c r="AC8">
        <v>455752607668.45221</v>
      </c>
      <c r="AD8">
        <v>457045824208.04022</v>
      </c>
      <c r="AE8">
        <v>459871940685.85571</v>
      </c>
      <c r="AF8">
        <v>465762458424.6153</v>
      </c>
    </row>
    <row r="9" spans="1:35" ht="14" customHeight="1" x14ac:dyDescent="0.15">
      <c r="A9" s="48" t="s">
        <v>184</v>
      </c>
      <c r="B9">
        <v>1078529947091.795</v>
      </c>
      <c r="C9" s="57">
        <v>1090186319256.127</v>
      </c>
      <c r="D9" s="57">
        <v>1101842691420.458</v>
      </c>
      <c r="E9" s="57">
        <v>1108156370402.165</v>
      </c>
      <c r="F9" s="57">
        <v>1109257841746.9919</v>
      </c>
      <c r="G9" s="57">
        <v>1111705037970.397</v>
      </c>
      <c r="H9" s="57">
        <v>1106165110073.0259</v>
      </c>
      <c r="I9" s="57">
        <v>1096403019344.193</v>
      </c>
      <c r="J9" s="57">
        <v>1089443887454.178</v>
      </c>
      <c r="K9" s="57">
        <v>1083824526394.853</v>
      </c>
      <c r="L9" s="57">
        <v>1076652710631.646</v>
      </c>
      <c r="M9" s="57">
        <v>1072686142639.562</v>
      </c>
      <c r="N9" s="57">
        <v>1067665543087.1479</v>
      </c>
      <c r="O9" s="57">
        <v>1061404509554.726</v>
      </c>
      <c r="P9" s="57">
        <v>1055289410726.496</v>
      </c>
      <c r="Q9" s="57">
        <v>1050502405751.495</v>
      </c>
      <c r="R9" s="57">
        <v>1046035312539.804</v>
      </c>
      <c r="S9" s="57">
        <v>1043475182005.157</v>
      </c>
      <c r="T9" s="57">
        <v>1042225261168.813</v>
      </c>
      <c r="U9" s="57">
        <v>1040541399197.354</v>
      </c>
      <c r="V9" s="57">
        <v>1038620921602.002</v>
      </c>
      <c r="W9" s="57">
        <v>1040269598562.202</v>
      </c>
      <c r="X9" s="57">
        <v>1043419763136.156</v>
      </c>
      <c r="Y9" s="57">
        <v>1046316099274.954</v>
      </c>
      <c r="Z9" s="57">
        <v>1046741389981.902</v>
      </c>
      <c r="AA9" s="57">
        <v>1046818049724.139</v>
      </c>
      <c r="AB9" s="57">
        <v>1049963344305.135</v>
      </c>
      <c r="AC9" s="57">
        <v>1051385063085.104</v>
      </c>
      <c r="AD9" s="57">
        <v>1051238957793.587</v>
      </c>
      <c r="AE9" s="57">
        <v>1053318301712.847</v>
      </c>
      <c r="AF9" s="57">
        <v>1058365936604.691</v>
      </c>
      <c r="AG9" s="57"/>
    </row>
    <row r="10" spans="1:35" ht="14" customHeight="1" x14ac:dyDescent="0.15">
      <c r="A10" s="48" t="s">
        <v>136</v>
      </c>
      <c r="B10">
        <v>966044142614.60083</v>
      </c>
      <c r="C10">
        <v>966044142614.60083</v>
      </c>
      <c r="D10">
        <v>966044142614.60083</v>
      </c>
      <c r="E10">
        <v>1000311583186.869</v>
      </c>
      <c r="F10">
        <v>991074997922.63892</v>
      </c>
      <c r="G10">
        <v>1000685961878.625</v>
      </c>
      <c r="H10">
        <v>1007939489693.019</v>
      </c>
      <c r="I10">
        <v>1004652850757.069</v>
      </c>
      <c r="J10">
        <v>1010978434782.573</v>
      </c>
      <c r="K10">
        <v>1019168657505.8361</v>
      </c>
      <c r="L10">
        <v>1035736245859.512</v>
      </c>
      <c r="M10">
        <v>1044149673740.832</v>
      </c>
      <c r="N10">
        <v>1052095267573.635</v>
      </c>
      <c r="O10">
        <v>1054981078383.269</v>
      </c>
      <c r="P10">
        <v>1063589528275.636</v>
      </c>
      <c r="Q10">
        <v>1068015592960.069</v>
      </c>
      <c r="R10">
        <v>1077309731285.767</v>
      </c>
      <c r="S10">
        <v>1080839812344.726</v>
      </c>
      <c r="T10">
        <v>1088219555457.359</v>
      </c>
      <c r="U10">
        <v>1094440182801.5551</v>
      </c>
      <c r="V10">
        <v>1099143863351.699</v>
      </c>
      <c r="W10">
        <v>1105519993350.8579</v>
      </c>
      <c r="X10">
        <v>1111393016508.9431</v>
      </c>
      <c r="Y10">
        <v>1116251167742.353</v>
      </c>
      <c r="Z10">
        <v>1119535603418.7329</v>
      </c>
      <c r="AA10">
        <v>1123535561830.165</v>
      </c>
      <c r="AB10">
        <v>1126312561544.207</v>
      </c>
      <c r="AC10">
        <v>1137777137580.3831</v>
      </c>
      <c r="AD10">
        <v>1149583100173.2029</v>
      </c>
      <c r="AE10">
        <v>1154427634540.0891</v>
      </c>
      <c r="AF10">
        <v>1160085398722.1741</v>
      </c>
    </row>
    <row r="11" spans="1:35" ht="14" customHeight="1" x14ac:dyDescent="0.15">
      <c r="A11" s="48" t="s">
        <v>185</v>
      </c>
      <c r="B11">
        <v>840122825272.2229</v>
      </c>
      <c r="C11">
        <v>843983908459.58948</v>
      </c>
      <c r="D11">
        <v>847844991646.95618</v>
      </c>
      <c r="E11">
        <v>856703687614.60217</v>
      </c>
      <c r="F11">
        <v>860962267009.48706</v>
      </c>
      <c r="G11">
        <v>875008444506.43665</v>
      </c>
      <c r="H11">
        <v>891382137237.90039</v>
      </c>
      <c r="I11">
        <v>896632429464.46582</v>
      </c>
      <c r="J11">
        <v>901980399406.93445</v>
      </c>
      <c r="K11">
        <v>905785722535.80298</v>
      </c>
      <c r="L11">
        <v>907215086305.28162</v>
      </c>
      <c r="M11">
        <v>913873717683.77698</v>
      </c>
      <c r="N11">
        <v>922617044619.50159</v>
      </c>
      <c r="O11">
        <v>928113029837.8291</v>
      </c>
      <c r="P11">
        <v>929914358393.89221</v>
      </c>
      <c r="Q11">
        <v>931297038826.14587</v>
      </c>
      <c r="R11">
        <v>933230582637.65503</v>
      </c>
      <c r="S11">
        <v>939208289832.43787</v>
      </c>
      <c r="T11">
        <v>941979525694.37952</v>
      </c>
      <c r="U11">
        <v>941403848687.94067</v>
      </c>
      <c r="V11">
        <v>939538143339.15979</v>
      </c>
      <c r="W11">
        <v>944229407951.14185</v>
      </c>
      <c r="X11">
        <v>947267752946.25818</v>
      </c>
      <c r="Y11">
        <v>950526324766.18042</v>
      </c>
      <c r="Z11">
        <v>948216766142.54272</v>
      </c>
      <c r="AA11">
        <v>946257103624.30371</v>
      </c>
      <c r="AB11">
        <v>945806134456.70605</v>
      </c>
      <c r="AC11">
        <v>937922501928.88501</v>
      </c>
      <c r="AD11">
        <v>921640282436.79138</v>
      </c>
      <c r="AE11">
        <v>918314263678.005</v>
      </c>
      <c r="AF11">
        <v>927970692727.73547</v>
      </c>
    </row>
    <row r="12" spans="1:35" ht="14" customHeight="1" x14ac:dyDescent="0.15">
      <c r="A12" s="48" t="s">
        <v>186</v>
      </c>
      <c r="B12">
        <v>353292892308.88531</v>
      </c>
      <c r="C12">
        <v>358397544918.98602</v>
      </c>
      <c r="D12">
        <v>363502197529.08679</v>
      </c>
      <c r="E12">
        <v>369284169553.41492</v>
      </c>
      <c r="F12">
        <v>376053242523.81653</v>
      </c>
      <c r="G12">
        <v>380453331027.09161</v>
      </c>
      <c r="H12">
        <v>385039330410.49689</v>
      </c>
      <c r="I12">
        <v>388704769181.84161</v>
      </c>
      <c r="J12">
        <v>391635528249.0968</v>
      </c>
      <c r="K12">
        <v>395700322490.54852</v>
      </c>
      <c r="L12">
        <v>399499796757.27197</v>
      </c>
      <c r="M12">
        <v>403539208861.72498</v>
      </c>
      <c r="N12">
        <v>407505317628.55713</v>
      </c>
      <c r="O12">
        <v>410454304050.26642</v>
      </c>
      <c r="P12">
        <v>413239955050.23352</v>
      </c>
      <c r="Q12">
        <v>416943287194.12158</v>
      </c>
      <c r="R12">
        <v>420449834986.74127</v>
      </c>
      <c r="S12">
        <v>424573856355.39172</v>
      </c>
      <c r="T12">
        <v>428383489043.17261</v>
      </c>
      <c r="U12">
        <v>431886116905.55902</v>
      </c>
      <c r="V12">
        <v>435622084448.94177</v>
      </c>
      <c r="W12">
        <v>440157154711.47498</v>
      </c>
      <c r="X12">
        <v>445308195660.34821</v>
      </c>
      <c r="Y12">
        <v>451245988657.96478</v>
      </c>
      <c r="Z12">
        <v>456519007730.7951</v>
      </c>
      <c r="AA12">
        <v>461357847966.41138</v>
      </c>
      <c r="AB12">
        <v>466595979446.07953</v>
      </c>
      <c r="AC12">
        <v>471190602247.82422</v>
      </c>
      <c r="AD12">
        <v>475114373199.09589</v>
      </c>
      <c r="AE12">
        <v>480163883459.10602</v>
      </c>
      <c r="AF12">
        <v>487195043692.79279</v>
      </c>
    </row>
    <row r="13" spans="1:35" ht="14" customHeight="1" x14ac:dyDescent="0.15">
      <c r="A13" s="48" t="s">
        <v>187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5" ht="14" customHeight="1" x14ac:dyDescent="0.15">
      <c r="A14" s="48" t="s">
        <v>188</v>
      </c>
      <c r="B14">
        <v>980876157123.85486</v>
      </c>
      <c r="C14">
        <v>1019801250826.786</v>
      </c>
      <c r="D14">
        <v>1058726344529.717</v>
      </c>
      <c r="E14">
        <v>1069442404306.167</v>
      </c>
      <c r="F14">
        <v>1073464878339.781</v>
      </c>
      <c r="G14">
        <v>1082461399399.741</v>
      </c>
      <c r="H14">
        <v>1080322022036.308</v>
      </c>
      <c r="I14">
        <v>1073348600860.941</v>
      </c>
      <c r="J14">
        <v>1062136651836.498</v>
      </c>
      <c r="K14">
        <v>1053653739515.332</v>
      </c>
      <c r="L14">
        <v>1044990233734.843</v>
      </c>
      <c r="M14">
        <v>1036924637865.307</v>
      </c>
      <c r="N14">
        <v>1023184615530.244</v>
      </c>
      <c r="O14">
        <v>1011226331813.0341</v>
      </c>
      <c r="P14">
        <v>1002700777291.448</v>
      </c>
      <c r="Q14">
        <v>994146367145.5177</v>
      </c>
      <c r="R14">
        <v>983480152788.30591</v>
      </c>
      <c r="S14">
        <v>972717774391.14917</v>
      </c>
      <c r="T14">
        <v>964516492963.58484</v>
      </c>
      <c r="U14">
        <v>957041646535.25745</v>
      </c>
      <c r="V14">
        <v>954461804097.1095</v>
      </c>
      <c r="W14">
        <v>953816357216.86584</v>
      </c>
      <c r="X14">
        <v>952830884209.16223</v>
      </c>
      <c r="Y14">
        <v>954166643121.87073</v>
      </c>
      <c r="Z14">
        <v>957009199988.77234</v>
      </c>
      <c r="AA14">
        <v>959917953795.37366</v>
      </c>
      <c r="AB14">
        <v>963196337462.55884</v>
      </c>
      <c r="AC14">
        <v>966570265308.12891</v>
      </c>
      <c r="AD14">
        <v>970770169369.65601</v>
      </c>
      <c r="AE14">
        <v>975223254816.63477</v>
      </c>
      <c r="AF14">
        <v>982322465139.60742</v>
      </c>
    </row>
    <row r="15" spans="1:35" ht="14" customHeight="1" x14ac:dyDescent="0.15">
      <c r="A15" s="48" t="s">
        <v>189</v>
      </c>
      <c r="B15">
        <v>172483336251.07501</v>
      </c>
      <c r="C15" s="57">
        <v>174962394132.93439</v>
      </c>
      <c r="D15" s="57">
        <v>177441452014.7937</v>
      </c>
      <c r="E15" s="57">
        <v>179596236695.16449</v>
      </c>
      <c r="F15" s="57">
        <v>180791202665.7305</v>
      </c>
      <c r="G15" s="57">
        <v>183419496691.1828</v>
      </c>
      <c r="H15" s="57">
        <v>184017255467.98749</v>
      </c>
      <c r="I15" s="57">
        <v>183685307029.61179</v>
      </c>
      <c r="J15" s="57">
        <v>182819400684.13861</v>
      </c>
      <c r="K15" s="57">
        <v>184032078233.20819</v>
      </c>
      <c r="L15" s="57">
        <v>183827771050.64401</v>
      </c>
      <c r="M15" s="57">
        <v>182874459374.23569</v>
      </c>
      <c r="N15" s="57">
        <v>182651698857.4631</v>
      </c>
      <c r="O15" s="57">
        <v>181430466008.4115</v>
      </c>
      <c r="P15" s="57">
        <v>180760727290.94891</v>
      </c>
      <c r="Q15" s="57">
        <v>180099869883.7446</v>
      </c>
      <c r="R15" s="57">
        <v>179776663624.979</v>
      </c>
      <c r="S15" s="57">
        <v>180424771231.29611</v>
      </c>
      <c r="T15" s="57">
        <v>180735012818.76511</v>
      </c>
      <c r="U15" s="57">
        <v>179757720452.0976</v>
      </c>
      <c r="V15" s="57">
        <v>178365658218.1882</v>
      </c>
      <c r="W15" s="57">
        <v>178388922673.74911</v>
      </c>
      <c r="X15" s="57">
        <v>178598694644.73511</v>
      </c>
      <c r="Y15" s="57">
        <v>178209123889.9975</v>
      </c>
      <c r="Z15" s="57">
        <v>177050160650.26379</v>
      </c>
      <c r="AA15" s="57">
        <v>175406131989.0585</v>
      </c>
      <c r="AB15" s="57">
        <v>174429567382.70511</v>
      </c>
      <c r="AC15" s="57">
        <v>172916232618.99069</v>
      </c>
      <c r="AD15" s="57">
        <v>169811402127.784</v>
      </c>
      <c r="AE15" s="57">
        <v>168711053230.63211</v>
      </c>
      <c r="AF15" s="57">
        <v>169506235927.5733</v>
      </c>
      <c r="AG15" s="57"/>
    </row>
    <row r="16" spans="1:35" ht="14" customHeight="1" x14ac:dyDescent="0.15">
      <c r="A16" s="48" t="s">
        <v>190</v>
      </c>
      <c r="B16">
        <v>416236069966.04187</v>
      </c>
      <c r="C16">
        <v>433315332022.64313</v>
      </c>
      <c r="D16">
        <v>450394594079.24432</v>
      </c>
      <c r="E16">
        <v>469125169876.40991</v>
      </c>
      <c r="F16">
        <v>472803303890.79791</v>
      </c>
      <c r="G16">
        <v>479131345093.13672</v>
      </c>
      <c r="H16">
        <v>485087979337.41217</v>
      </c>
      <c r="I16">
        <v>487183818021.57922</v>
      </c>
      <c r="J16">
        <v>488801243557.71167</v>
      </c>
      <c r="K16">
        <v>490190286368.65839</v>
      </c>
      <c r="L16">
        <v>489488749595.453</v>
      </c>
      <c r="M16">
        <v>488797430225.04413</v>
      </c>
      <c r="N16">
        <v>484797491686.68152</v>
      </c>
      <c r="O16">
        <v>474191090145.56012</v>
      </c>
      <c r="P16">
        <v>470109572486.57892</v>
      </c>
      <c r="Q16">
        <v>469823189262.61261</v>
      </c>
      <c r="R16">
        <v>467922417584.25659</v>
      </c>
      <c r="S16">
        <v>467885589329.44739</v>
      </c>
      <c r="T16">
        <v>469128871623.00702</v>
      </c>
      <c r="U16">
        <v>470224540100.09662</v>
      </c>
      <c r="V16">
        <v>469630232689.00311</v>
      </c>
      <c r="W16">
        <v>471305658723.9162</v>
      </c>
      <c r="X16">
        <v>474855090334.98767</v>
      </c>
      <c r="Y16">
        <v>476598477138.35889</v>
      </c>
      <c r="Z16">
        <v>476609582378.15051</v>
      </c>
      <c r="AA16">
        <v>477416980371.21307</v>
      </c>
      <c r="AB16">
        <v>478420925098.41168</v>
      </c>
      <c r="AC16">
        <v>478434655036.64252</v>
      </c>
      <c r="AD16">
        <v>476263311395.34277</v>
      </c>
      <c r="AE16">
        <v>475919703923.52063</v>
      </c>
      <c r="AF16">
        <v>478732584993.11401</v>
      </c>
    </row>
    <row r="17" spans="1:33" ht="14" customHeight="1" x14ac:dyDescent="0.15">
      <c r="A17" s="48" t="s">
        <v>191</v>
      </c>
      <c r="B17">
        <v>333585000705.14978</v>
      </c>
      <c r="C17">
        <v>338236083681.7074</v>
      </c>
      <c r="D17">
        <v>342887166658.26501</v>
      </c>
      <c r="E17">
        <v>351056018029.64893</v>
      </c>
      <c r="F17">
        <v>360061323089.70538</v>
      </c>
      <c r="G17">
        <v>365945163716.98822</v>
      </c>
      <c r="H17">
        <v>371382408116.11102</v>
      </c>
      <c r="I17">
        <v>375325595327.83783</v>
      </c>
      <c r="J17">
        <v>377537597682.03583</v>
      </c>
      <c r="K17">
        <v>381723821018.89478</v>
      </c>
      <c r="L17">
        <v>385426428514.22748</v>
      </c>
      <c r="M17">
        <v>389443657466.92322</v>
      </c>
      <c r="N17">
        <v>394236651475.6214</v>
      </c>
      <c r="O17">
        <v>398119607645.66083</v>
      </c>
      <c r="P17">
        <v>402443520612.13098</v>
      </c>
      <c r="Q17">
        <v>407140066007.11371</v>
      </c>
      <c r="R17">
        <v>411985695550.02979</v>
      </c>
      <c r="S17">
        <v>418179096477.2655</v>
      </c>
      <c r="T17">
        <v>423837508175.31427</v>
      </c>
      <c r="U17">
        <v>428222690563.01007</v>
      </c>
      <c r="V17">
        <v>431658741253.84058</v>
      </c>
      <c r="W17">
        <v>436121802106.9007</v>
      </c>
      <c r="X17">
        <v>441970232231.96588</v>
      </c>
      <c r="Y17">
        <v>448421938240.59399</v>
      </c>
      <c r="Z17">
        <v>453620096379.60748</v>
      </c>
      <c r="AA17">
        <v>457993499570.84711</v>
      </c>
      <c r="AB17">
        <v>462866559430.37738</v>
      </c>
      <c r="AC17">
        <v>466233554110.56403</v>
      </c>
      <c r="AD17">
        <v>467904583353.49048</v>
      </c>
      <c r="AE17">
        <v>470844738673.34058</v>
      </c>
      <c r="AF17">
        <v>477559778235.70093</v>
      </c>
    </row>
    <row r="18" spans="1:33" ht="14" customHeight="1" x14ac:dyDescent="0.15">
      <c r="A18" s="48" t="s">
        <v>192</v>
      </c>
      <c r="B18">
        <v>473983413127.87677</v>
      </c>
      <c r="C18" s="30">
        <v>483093906655.58929</v>
      </c>
      <c r="D18" s="30">
        <v>492204400183.30188</v>
      </c>
      <c r="E18" s="30">
        <v>504931739318.80231</v>
      </c>
      <c r="F18" s="30">
        <v>516913447782.2182</v>
      </c>
      <c r="G18" s="30">
        <v>525768914201.51978</v>
      </c>
      <c r="H18" s="30">
        <v>534147460110.62012</v>
      </c>
      <c r="I18" s="30">
        <v>541526845508.10101</v>
      </c>
      <c r="J18" s="30">
        <v>549539776352.59521</v>
      </c>
      <c r="K18" s="30">
        <v>557275590181.9176</v>
      </c>
      <c r="L18" s="30">
        <v>564456750099.64038</v>
      </c>
      <c r="M18" s="30">
        <v>573051756331.63574</v>
      </c>
      <c r="N18" s="30">
        <v>580534958523.29163</v>
      </c>
      <c r="O18" s="30">
        <v>587201210212.30469</v>
      </c>
      <c r="P18" s="30">
        <v>594647762768.57703</v>
      </c>
      <c r="Q18" s="30">
        <v>603052816565.79016</v>
      </c>
      <c r="R18" s="30">
        <v>611575441728.8866</v>
      </c>
      <c r="S18" s="30">
        <v>621451048880.39062</v>
      </c>
      <c r="T18" s="30">
        <v>631801467907.65405</v>
      </c>
      <c r="U18" s="30">
        <v>641931167816.42139</v>
      </c>
      <c r="V18" s="30">
        <v>652434437463.2688</v>
      </c>
      <c r="W18" s="30">
        <v>663563962311.13855</v>
      </c>
      <c r="X18" s="30">
        <v>674821131060.96655</v>
      </c>
      <c r="Y18" s="30">
        <v>686642666360.24927</v>
      </c>
      <c r="Z18" s="30">
        <v>698941906563.28918</v>
      </c>
      <c r="AA18" s="30">
        <v>710616506493.21606</v>
      </c>
      <c r="AB18" s="30">
        <v>721926197312.73718</v>
      </c>
      <c r="AC18" s="30">
        <v>732974477444.52539</v>
      </c>
      <c r="AD18" s="30">
        <v>743939671842.41516</v>
      </c>
      <c r="AE18" s="30">
        <v>755504304409.87219</v>
      </c>
      <c r="AF18" s="30">
        <v>767167922830.01526</v>
      </c>
      <c r="AG18" s="30"/>
    </row>
    <row r="19" spans="1:33" ht="14" customHeight="1" x14ac:dyDescent="0.15">
      <c r="A19" s="48" t="s">
        <v>193</v>
      </c>
      <c r="B19">
        <v>111884152687.62849</v>
      </c>
      <c r="C19">
        <v>114923908420.4763</v>
      </c>
      <c r="D19">
        <v>117963664153.3242</v>
      </c>
      <c r="E19">
        <v>122279146373.9006</v>
      </c>
      <c r="F19">
        <v>125698736604.2657</v>
      </c>
      <c r="G19">
        <v>127695499446.007</v>
      </c>
      <c r="H19">
        <v>129642014937.0502</v>
      </c>
      <c r="I19">
        <v>131424764361.2955</v>
      </c>
      <c r="J19">
        <v>133228160372.10789</v>
      </c>
      <c r="K19">
        <v>135298614326.8707</v>
      </c>
      <c r="L19">
        <v>137432066359.7486</v>
      </c>
      <c r="M19">
        <v>138819929051.42151</v>
      </c>
      <c r="N19">
        <v>140881286826.40302</v>
      </c>
      <c r="O19">
        <v>143510031876.77451</v>
      </c>
      <c r="P19">
        <v>146318570489.5116</v>
      </c>
      <c r="Q19">
        <v>149256775881.8367</v>
      </c>
      <c r="R19">
        <v>152173509467.1608</v>
      </c>
      <c r="S19">
        <v>155380428602.87811</v>
      </c>
      <c r="T19">
        <v>158743183115.51031</v>
      </c>
      <c r="U19">
        <v>162126744971.93701</v>
      </c>
      <c r="V19">
        <v>165493435357.35239</v>
      </c>
      <c r="W19">
        <v>169052016286.49219</v>
      </c>
      <c r="X19">
        <v>172800282706.05441</v>
      </c>
      <c r="Y19">
        <v>176650040521.82281</v>
      </c>
      <c r="Z19">
        <v>180662224760.82779</v>
      </c>
      <c r="AA19">
        <v>184888923444.0209</v>
      </c>
      <c r="AB19">
        <v>189151513857.509</v>
      </c>
      <c r="AC19">
        <v>193434423984.53531</v>
      </c>
      <c r="AD19">
        <v>197796094435.81921</v>
      </c>
      <c r="AE19">
        <v>202107581839.29581</v>
      </c>
      <c r="AF19">
        <v>206651079431.8714</v>
      </c>
    </row>
    <row r="20" spans="1:33" ht="14" customHeight="1" x14ac:dyDescent="0.15">
      <c r="A20" s="48" t="s">
        <v>194</v>
      </c>
      <c r="B20">
        <v>79690155008.65271</v>
      </c>
      <c r="C20" s="57">
        <v>81644106970.01088</v>
      </c>
      <c r="D20" s="57">
        <v>83598058931.369034</v>
      </c>
      <c r="E20" s="57">
        <v>84854073051.167862</v>
      </c>
      <c r="F20" s="57">
        <v>86387999575.660355</v>
      </c>
      <c r="G20" s="57">
        <v>87570011706.518082</v>
      </c>
      <c r="H20" s="57">
        <v>88940370742.646561</v>
      </c>
      <c r="I20" s="57">
        <v>90356277868.781799</v>
      </c>
      <c r="J20" s="57">
        <v>91313830488.667877</v>
      </c>
      <c r="K20" s="57">
        <v>92851261773.154373</v>
      </c>
      <c r="L20" s="57">
        <v>94173533253.348236</v>
      </c>
      <c r="M20" s="57">
        <v>95501759855.396301</v>
      </c>
      <c r="N20" s="57">
        <v>96868615192.293503</v>
      </c>
      <c r="O20" s="57">
        <v>98037961816.393234</v>
      </c>
      <c r="P20" s="57">
        <v>99402988398.378311</v>
      </c>
      <c r="Q20" s="57">
        <v>100907222053.09109</v>
      </c>
      <c r="R20" s="57">
        <v>102462376560.9371</v>
      </c>
      <c r="S20" s="57">
        <v>104235337476.0374</v>
      </c>
      <c r="T20" s="57">
        <v>105813880740.8772</v>
      </c>
      <c r="U20" s="57">
        <v>107250287106.3842</v>
      </c>
      <c r="V20" s="57">
        <v>108605302209.9118</v>
      </c>
      <c r="W20" s="57">
        <v>110165596113.088</v>
      </c>
      <c r="X20" s="57">
        <v>112018548083.3902</v>
      </c>
      <c r="Y20" s="57">
        <v>113794122717.808</v>
      </c>
      <c r="Z20" s="57">
        <v>115454931313.1003</v>
      </c>
      <c r="AA20" s="57">
        <v>116979258995.8295</v>
      </c>
      <c r="AB20" s="57">
        <v>118738202992.4792</v>
      </c>
      <c r="AC20" s="57">
        <v>120223061816.293</v>
      </c>
      <c r="AD20" s="57">
        <v>121587093402.856</v>
      </c>
      <c r="AE20" s="57">
        <v>123165992023.2038</v>
      </c>
      <c r="AF20" s="57">
        <v>125181929123.1422</v>
      </c>
      <c r="AG20" s="57"/>
    </row>
    <row r="21" spans="1:33" ht="14" customHeight="1" x14ac:dyDescent="0.15">
      <c r="A21" s="48" t="s">
        <v>195</v>
      </c>
      <c r="B21">
        <v>15564550432.056179</v>
      </c>
      <c r="C21">
        <v>16249503285.17576</v>
      </c>
      <c r="D21">
        <v>16934456138.29534</v>
      </c>
      <c r="E21">
        <v>18187324601.68417</v>
      </c>
      <c r="F21">
        <v>18180238043.13662</v>
      </c>
      <c r="G21">
        <v>18128682748.595798</v>
      </c>
      <c r="H21">
        <v>18094691194.43391</v>
      </c>
      <c r="I21">
        <v>18054184503.995022</v>
      </c>
      <c r="J21">
        <v>18085793241.124592</v>
      </c>
      <c r="K21">
        <v>18062802418.88409</v>
      </c>
      <c r="L21">
        <v>18057791797.321381</v>
      </c>
      <c r="M21">
        <v>18133379479.926601</v>
      </c>
      <c r="N21">
        <v>18210653204.12722</v>
      </c>
      <c r="O21">
        <v>18307043055.601582</v>
      </c>
      <c r="P21">
        <v>18421126151.388321</v>
      </c>
      <c r="Q21">
        <v>18576138116.747501</v>
      </c>
      <c r="R21">
        <v>18734570129.71727</v>
      </c>
      <c r="S21">
        <v>18936900932.23806</v>
      </c>
      <c r="T21">
        <v>19142981168.7985</v>
      </c>
      <c r="U21">
        <v>19335242948.25259</v>
      </c>
      <c r="V21">
        <v>19490344939.13818</v>
      </c>
      <c r="W21">
        <v>19644443551.257172</v>
      </c>
      <c r="X21">
        <v>19826415394.595661</v>
      </c>
      <c r="Y21">
        <v>19997150096.766701</v>
      </c>
      <c r="Z21">
        <v>20160408345.00074</v>
      </c>
      <c r="AA21">
        <v>20317568101.735199</v>
      </c>
      <c r="AB21">
        <v>20495551150.131359</v>
      </c>
      <c r="AC21">
        <v>20668009988.71582</v>
      </c>
      <c r="AD21">
        <v>20803912929.224972</v>
      </c>
      <c r="AE21">
        <v>20966703893.32299</v>
      </c>
      <c r="AF21">
        <v>21170095908.63195</v>
      </c>
    </row>
    <row r="22" spans="1:33" ht="14" customHeight="1" x14ac:dyDescent="0.15">
      <c r="A22" s="48" t="s">
        <v>196</v>
      </c>
      <c r="B22">
        <v>57760724278.541473</v>
      </c>
      <c r="C22">
        <v>60302614136.879898</v>
      </c>
      <c r="D22">
        <v>62844503995.218323</v>
      </c>
      <c r="E22">
        <v>67493953408.29216</v>
      </c>
      <c r="F22">
        <v>67467654880.998642</v>
      </c>
      <c r="G22">
        <v>67276330938.423477</v>
      </c>
      <c r="H22">
        <v>67150186801.057289</v>
      </c>
      <c r="I22">
        <v>66999864709.321297</v>
      </c>
      <c r="J22">
        <v>67117166108.941177</v>
      </c>
      <c r="K22">
        <v>67031846166.668007</v>
      </c>
      <c r="L22">
        <v>67013251531.904137</v>
      </c>
      <c r="M22">
        <v>67293760712.871063</v>
      </c>
      <c r="N22">
        <v>67580526867.602722</v>
      </c>
      <c r="O22">
        <v>67938233802.895447</v>
      </c>
      <c r="P22">
        <v>68361601138.132393</v>
      </c>
      <c r="Q22">
        <v>68936857290.250092</v>
      </c>
      <c r="R22">
        <v>69524805387.947403</v>
      </c>
      <c r="S22">
        <v>70275663804.865707</v>
      </c>
      <c r="T22">
        <v>71040436534.742233</v>
      </c>
      <c r="U22">
        <v>71753928368.690613</v>
      </c>
      <c r="V22">
        <v>72329518609.456192</v>
      </c>
      <c r="W22">
        <v>72901385267.935379</v>
      </c>
      <c r="X22">
        <v>73576690700.971542</v>
      </c>
      <c r="Y22">
        <v>74210294613.91008</v>
      </c>
      <c r="Z22">
        <v>74816153080.790222</v>
      </c>
      <c r="AA22">
        <v>75399379780.208786</v>
      </c>
      <c r="AB22">
        <v>76059882621.555954</v>
      </c>
      <c r="AC22">
        <v>76699884879.787506</v>
      </c>
      <c r="AD22">
        <v>77204226608.747742</v>
      </c>
      <c r="AE22">
        <v>77808350963.855225</v>
      </c>
      <c r="AF22">
        <v>78563147587.631866</v>
      </c>
    </row>
    <row r="23" spans="1:33" ht="14" customHeight="1" x14ac:dyDescent="0.15">
      <c r="A23" s="48" t="s">
        <v>197</v>
      </c>
      <c r="B23">
        <v>174630309850.2901</v>
      </c>
      <c r="C23">
        <v>175096337751.83859</v>
      </c>
      <c r="D23">
        <v>175562365653.38708</v>
      </c>
      <c r="E23">
        <v>176170855179.57669</v>
      </c>
      <c r="F23">
        <v>177486528697.91599</v>
      </c>
      <c r="G23">
        <v>178246689186.02969</v>
      </c>
      <c r="H23">
        <v>179342380173.18289</v>
      </c>
      <c r="I23">
        <v>180528712074.03629</v>
      </c>
      <c r="J23">
        <v>181571794486.35489</v>
      </c>
      <c r="K23">
        <v>183116734512.90079</v>
      </c>
      <c r="L23">
        <v>184630313786.7962</v>
      </c>
      <c r="M23">
        <v>185929317763.80701</v>
      </c>
      <c r="N23">
        <v>187344651918.0394</v>
      </c>
      <c r="O23">
        <v>188737851997.4494</v>
      </c>
      <c r="P23">
        <v>190151494694.6048</v>
      </c>
      <c r="Q23">
        <v>191667996227.30569</v>
      </c>
      <c r="R23">
        <v>193131544259.1134</v>
      </c>
      <c r="S23">
        <v>194998830692.92068</v>
      </c>
      <c r="T23">
        <v>196964914882.02179</v>
      </c>
      <c r="U23">
        <v>198958609365.45859</v>
      </c>
      <c r="V23">
        <v>200951751213.26471</v>
      </c>
      <c r="W23">
        <v>203069920652.52869</v>
      </c>
      <c r="X23">
        <v>205595152977.84891</v>
      </c>
      <c r="Y23">
        <v>208065257448.7168</v>
      </c>
      <c r="Z23">
        <v>210638439396.78479</v>
      </c>
      <c r="AA23">
        <v>213172231165.91791</v>
      </c>
      <c r="AB23">
        <v>215944894974.29761</v>
      </c>
      <c r="AC23">
        <v>218485658396.46851</v>
      </c>
      <c r="AD23">
        <v>220496355661.27301</v>
      </c>
      <c r="AE23">
        <v>222490257100.345</v>
      </c>
      <c r="AF23">
        <v>224618527030.11911</v>
      </c>
    </row>
    <row r="24" spans="1:33" ht="14" customHeight="1" x14ac:dyDescent="0.15">
      <c r="A24" s="48" t="s">
        <v>198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3" ht="14" customHeight="1" x14ac:dyDescent="0.15">
      <c r="A25" s="48" t="s">
        <v>199</v>
      </c>
      <c r="B25">
        <v>3662781433649.7612</v>
      </c>
      <c r="C25">
        <v>3707337259271.5811</v>
      </c>
      <c r="D25">
        <v>3751893084893.4019</v>
      </c>
      <c r="E25">
        <v>3812016041791.0942</v>
      </c>
      <c r="F25">
        <v>3843194069120.1069</v>
      </c>
      <c r="G25">
        <v>3882909510375.5781</v>
      </c>
      <c r="H25">
        <v>3915946446619.2461</v>
      </c>
      <c r="I25">
        <v>3929677645488.5288</v>
      </c>
      <c r="J25">
        <v>3945847636571.3301</v>
      </c>
      <c r="K25">
        <v>3969784781500.5879</v>
      </c>
      <c r="L25">
        <v>3991656228942.5801</v>
      </c>
      <c r="M25">
        <v>4014316536494.9102</v>
      </c>
      <c r="N25">
        <v>4038640999703.0308</v>
      </c>
      <c r="O25">
        <v>4057580207067.7568</v>
      </c>
      <c r="P25">
        <v>4076073013704.3008</v>
      </c>
      <c r="Q25">
        <v>4097720166662.771</v>
      </c>
      <c r="R25">
        <v>4120492074397.146</v>
      </c>
      <c r="S25">
        <v>4151689795875.9331</v>
      </c>
      <c r="T25">
        <v>4183893013112.5562</v>
      </c>
      <c r="U25">
        <v>4210976845527.7158</v>
      </c>
      <c r="V25">
        <v>4235772874210.9512</v>
      </c>
      <c r="W25">
        <v>4269577882295.752</v>
      </c>
      <c r="X25">
        <v>4306123659557.252</v>
      </c>
      <c r="Y25">
        <v>4341256928632.2788</v>
      </c>
      <c r="Z25">
        <v>4371593578118.2261</v>
      </c>
      <c r="AA25">
        <v>4400573519508.7227</v>
      </c>
      <c r="AB25">
        <v>4433274561086.8223</v>
      </c>
      <c r="AC25">
        <v>4458496202229.0342</v>
      </c>
      <c r="AD25">
        <v>4472876213921.3838</v>
      </c>
      <c r="AE25">
        <v>4500230293836.2021</v>
      </c>
      <c r="AF25">
        <v>4545077155226.8857</v>
      </c>
    </row>
    <row r="26" spans="1:33" ht="14" customHeight="1" x14ac:dyDescent="0.15">
      <c r="A26" s="48" t="s">
        <v>200</v>
      </c>
      <c r="B26">
        <v>2212131385668.1538</v>
      </c>
      <c r="C26">
        <v>2223049723134.9702</v>
      </c>
      <c r="D26">
        <v>2233968060601.7871</v>
      </c>
      <c r="E26">
        <v>2231692241572.521</v>
      </c>
      <c r="F26">
        <v>2266467459504.0518</v>
      </c>
      <c r="G26">
        <v>2298617036608.3721</v>
      </c>
      <c r="H26">
        <v>2323065113864.6709</v>
      </c>
      <c r="I26">
        <v>2320099648487.3892</v>
      </c>
      <c r="J26">
        <v>2318694376047.3018</v>
      </c>
      <c r="K26">
        <v>2337932904632.3091</v>
      </c>
      <c r="L26">
        <v>2364430163881.7822</v>
      </c>
      <c r="M26">
        <v>2387053182540.4619</v>
      </c>
      <c r="N26">
        <v>2414093404521.564</v>
      </c>
      <c r="O26">
        <v>2448193222797.377</v>
      </c>
      <c r="P26">
        <v>2478723892579.1782</v>
      </c>
      <c r="Q26">
        <v>2509100894590.2642</v>
      </c>
      <c r="R26">
        <v>2540290719523.46</v>
      </c>
      <c r="S26">
        <v>2578707793206.248</v>
      </c>
      <c r="T26">
        <v>2621308956661.7959</v>
      </c>
      <c r="U26">
        <v>2662450120728.2231</v>
      </c>
      <c r="V26">
        <v>2703808923488.8838</v>
      </c>
      <c r="W26">
        <v>2744736698305.5049</v>
      </c>
      <c r="X26">
        <v>2781644064743.458</v>
      </c>
      <c r="Y26">
        <v>2823780212887.3071</v>
      </c>
      <c r="Z26">
        <v>2866476575360.8711</v>
      </c>
      <c r="AA26">
        <v>2910385052965.3281</v>
      </c>
      <c r="AB26">
        <v>2956016143986.9292</v>
      </c>
      <c r="AC26">
        <v>2996033137590.2598</v>
      </c>
      <c r="AD26">
        <v>3035478683265.123</v>
      </c>
      <c r="AE26">
        <v>3079176776525.563</v>
      </c>
      <c r="AF26">
        <v>3131860954577.292</v>
      </c>
    </row>
    <row r="27" spans="1:33" ht="14" customHeight="1" x14ac:dyDescent="0.15"/>
    <row r="28" spans="1:33" ht="14.5" customHeight="1" x14ac:dyDescent="0.2">
      <c r="A28" s="29"/>
    </row>
    <row r="29" spans="1:33" ht="14" customHeight="1" x14ac:dyDescent="0.15"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 spans="1:33" ht="14.5" customHeight="1" x14ac:dyDescent="0.2">
      <c r="A30" s="29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 spans="1:33" ht="14" customHeight="1" x14ac:dyDescent="0.15"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 spans="1:33" ht="14" customHeight="1" x14ac:dyDescent="0.15"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 spans="1:35" ht="14.5" customHeight="1" x14ac:dyDescent="0.2">
      <c r="A33" s="29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 spans="1:35" ht="14" customHeight="1" x14ac:dyDescent="0.15">
      <c r="A34" s="31"/>
      <c r="B34" s="32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</row>
    <row r="35" spans="1:35" ht="14" customHeight="1" x14ac:dyDescent="0.15">
      <c r="A35" s="31"/>
      <c r="B35" s="32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58"/>
    </row>
    <row r="36" spans="1:35" ht="14" customHeight="1" x14ac:dyDescent="0.15">
      <c r="A36" s="31"/>
      <c r="B36" s="32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</row>
    <row r="37" spans="1:35" ht="14" customHeight="1" x14ac:dyDescent="0.15">
      <c r="A37" s="31"/>
      <c r="B37" s="32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</row>
    <row r="38" spans="1:35" ht="14" customHeight="1" x14ac:dyDescent="0.15">
      <c r="A38" s="31"/>
      <c r="B38" s="32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</row>
    <row r="39" spans="1:35" ht="14" customHeight="1" x14ac:dyDescent="0.15">
      <c r="A39" s="31"/>
      <c r="B39" s="32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</row>
    <row r="40" spans="1:35" ht="14" customHeight="1" x14ac:dyDescent="0.15">
      <c r="A40" s="31"/>
      <c r="B40" s="32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</row>
    <row r="41" spans="1:35" ht="14" customHeight="1" x14ac:dyDescent="0.15">
      <c r="A41" s="31"/>
      <c r="B41" s="32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</row>
    <row r="42" spans="1:35" ht="14" customHeight="1" x14ac:dyDescent="0.15">
      <c r="A42" s="31"/>
      <c r="B42" s="32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58"/>
      <c r="AG42" s="58"/>
      <c r="AH42" s="58"/>
      <c r="AI42" s="58"/>
    </row>
    <row r="43" spans="1:35" ht="14" customHeight="1" x14ac:dyDescent="0.15">
      <c r="A43" s="31"/>
      <c r="B43" s="32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  <c r="AD43" s="58"/>
      <c r="AE43" s="58"/>
      <c r="AF43" s="58"/>
      <c r="AG43" s="58"/>
      <c r="AH43" s="58"/>
      <c r="AI43" s="58"/>
    </row>
    <row r="44" spans="1:35" ht="14" customHeight="1" x14ac:dyDescent="0.15">
      <c r="A44" s="31"/>
      <c r="B44" s="32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</row>
    <row r="45" spans="1:35" ht="14" customHeight="1" x14ac:dyDescent="0.15">
      <c r="A45" s="31"/>
      <c r="B45" s="32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</row>
    <row r="46" spans="1:35" ht="14" customHeight="1" x14ac:dyDescent="0.15">
      <c r="A46" s="33"/>
      <c r="B46" s="34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</row>
    <row r="47" spans="1:35" ht="14.5" customHeight="1" x14ac:dyDescent="0.2">
      <c r="A47" s="29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 spans="1:35" ht="14" customHeight="1" x14ac:dyDescent="0.15">
      <c r="A48" s="31"/>
      <c r="B48" s="32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  <c r="AD48" s="58"/>
      <c r="AE48" s="58"/>
      <c r="AF48" s="58"/>
      <c r="AG48" s="58"/>
      <c r="AH48" s="58"/>
      <c r="AI48" s="58"/>
    </row>
    <row r="49" spans="1:35" ht="14" customHeight="1" x14ac:dyDescent="0.15">
      <c r="A49" s="31"/>
      <c r="B49" s="32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  <c r="AC49" s="58"/>
      <c r="AD49" s="58"/>
      <c r="AE49" s="58"/>
      <c r="AF49" s="58"/>
      <c r="AG49" s="58"/>
      <c r="AH49" s="58"/>
      <c r="AI49" s="58"/>
    </row>
    <row r="50" spans="1:35" ht="14.5" customHeight="1" x14ac:dyDescent="0.2">
      <c r="A50" s="35"/>
      <c r="B50" s="32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  <c r="AD50" s="58"/>
      <c r="AE50" s="58"/>
      <c r="AF50" s="58"/>
      <c r="AG50" s="58"/>
      <c r="AH50" s="58"/>
      <c r="AI50" s="58"/>
    </row>
    <row r="51" spans="1:35" ht="14" customHeight="1" x14ac:dyDescent="0.15">
      <c r="A51" s="31"/>
      <c r="B51" s="32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  <c r="AD51" s="58"/>
      <c r="AE51" s="58"/>
      <c r="AF51" s="58"/>
      <c r="AG51" s="58"/>
      <c r="AH51" s="58"/>
      <c r="AI51" s="58"/>
    </row>
    <row r="52" spans="1:35" ht="14" customHeight="1" x14ac:dyDescent="0.15">
      <c r="A52" s="31"/>
      <c r="B52" s="32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</row>
    <row r="53" spans="1:35" ht="14" customHeight="1" x14ac:dyDescent="0.15">
      <c r="A53" s="31"/>
      <c r="B53" s="32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</row>
    <row r="54" spans="1:35" ht="14" customHeight="1" x14ac:dyDescent="0.15">
      <c r="A54" s="31"/>
      <c r="B54" s="32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</row>
    <row r="55" spans="1:35" ht="14" customHeight="1" x14ac:dyDescent="0.15">
      <c r="A55" s="31"/>
      <c r="B55" s="32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  <c r="AB55" s="58"/>
      <c r="AC55" s="58"/>
      <c r="AD55" s="58"/>
      <c r="AE55" s="58"/>
      <c r="AF55" s="58"/>
      <c r="AG55" s="58"/>
      <c r="AH55" s="58"/>
      <c r="AI55" s="58"/>
    </row>
    <row r="56" spans="1:35" ht="14" customHeight="1" x14ac:dyDescent="0.15">
      <c r="A56" s="31"/>
      <c r="B56" s="36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  <c r="AD56" s="58"/>
      <c r="AE56" s="58"/>
      <c r="AF56" s="58"/>
      <c r="AG56" s="58"/>
      <c r="AH56" s="58"/>
      <c r="AI56" s="58"/>
    </row>
    <row r="57" spans="1:35" ht="14" customHeight="1" x14ac:dyDescent="0.15">
      <c r="A57" s="31"/>
      <c r="B57" s="36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  <c r="AI57" s="58"/>
    </row>
    <row r="58" spans="1:35" ht="14" customHeight="1" x14ac:dyDescent="0.15">
      <c r="A58" s="31"/>
      <c r="B58" s="36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</row>
    <row r="59" spans="1:35" ht="14" customHeight="1" x14ac:dyDescent="0.15">
      <c r="A59" s="31"/>
      <c r="B59" s="36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</row>
    <row r="60" spans="1:35" ht="14" customHeight="1" x14ac:dyDescent="0.15">
      <c r="A60" s="31"/>
      <c r="B60" s="36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  <c r="AB60" s="58"/>
      <c r="AC60" s="58"/>
      <c r="AD60" s="58"/>
      <c r="AE60" s="58"/>
      <c r="AF60" s="58"/>
      <c r="AG60" s="58"/>
      <c r="AH60" s="58"/>
      <c r="AI60" s="58"/>
    </row>
    <row r="61" spans="1:35" ht="14" customHeight="1" x14ac:dyDescent="0.15">
      <c r="A61" s="31"/>
      <c r="B61" s="3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</row>
    <row r="62" spans="1:35" ht="14" customHeight="1" x14ac:dyDescent="0.15">
      <c r="A62" s="33"/>
      <c r="B62" s="36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</row>
    <row r="63" spans="1:35" ht="14.5" customHeight="1" x14ac:dyDescent="0.2">
      <c r="A63" s="37"/>
      <c r="B63" s="36"/>
    </row>
    <row r="64" spans="1:35" ht="14" customHeight="1" x14ac:dyDescent="0.15">
      <c r="A64" s="31"/>
      <c r="B64" s="36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</row>
    <row r="65" spans="1:35" ht="14" customHeight="1" x14ac:dyDescent="0.15">
      <c r="A65" s="31"/>
      <c r="B65" s="36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</row>
    <row r="66" spans="1:35" ht="14" customHeight="1" x14ac:dyDescent="0.15">
      <c r="A66" s="31"/>
      <c r="B66" s="36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  <c r="AD66" s="58"/>
      <c r="AE66" s="58"/>
      <c r="AF66" s="58"/>
      <c r="AG66" s="58"/>
      <c r="AH66" s="58"/>
      <c r="AI66" s="58"/>
    </row>
    <row r="67" spans="1:35" ht="14" customHeight="1" x14ac:dyDescent="0.15">
      <c r="A67" s="31"/>
      <c r="B67" s="36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  <c r="AG67" s="58"/>
      <c r="AH67" s="58"/>
      <c r="AI67" s="58"/>
    </row>
    <row r="68" spans="1:35" ht="14" customHeight="1" x14ac:dyDescent="0.15">
      <c r="A68" s="31"/>
      <c r="B68" s="36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</row>
    <row r="69" spans="1:35" ht="14" customHeight="1" x14ac:dyDescent="0.15">
      <c r="A69" s="31"/>
      <c r="B69" s="36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</row>
    <row r="70" spans="1:35" ht="14" customHeight="1" x14ac:dyDescent="0.15">
      <c r="A70" s="31"/>
      <c r="B70" s="36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</row>
    <row r="71" spans="1:35" ht="14" customHeight="1" x14ac:dyDescent="0.15">
      <c r="A71" s="31"/>
      <c r="B71" s="36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</row>
    <row r="72" spans="1:35" ht="14" customHeight="1" x14ac:dyDescent="0.15">
      <c r="A72" s="31"/>
      <c r="B72" s="36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</row>
    <row r="73" spans="1:35" ht="14" customHeight="1" x14ac:dyDescent="0.15">
      <c r="A73" s="31"/>
      <c r="B73" s="36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  <c r="AD73" s="58"/>
      <c r="AE73" s="58"/>
      <c r="AF73" s="58"/>
      <c r="AG73" s="58"/>
      <c r="AH73" s="58"/>
      <c r="AI73" s="58"/>
    </row>
    <row r="74" spans="1:35" ht="14" customHeight="1" x14ac:dyDescent="0.15">
      <c r="A74" s="31"/>
      <c r="B74" s="36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  <c r="AD74" s="58"/>
      <c r="AE74" s="58"/>
      <c r="AF74" s="58"/>
      <c r="AG74" s="58"/>
      <c r="AH74" s="58"/>
      <c r="AI74" s="58"/>
    </row>
    <row r="75" spans="1:35" ht="14" customHeight="1" x14ac:dyDescent="0.15">
      <c r="A75" s="31"/>
      <c r="B75" s="36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</row>
    <row r="76" spans="1:35" ht="14" customHeight="1" x14ac:dyDescent="0.15">
      <c r="A76" s="33"/>
      <c r="B76" s="36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</row>
    <row r="77" spans="1:35" ht="14.5" customHeight="1" x14ac:dyDescent="0.2">
      <c r="A77" s="37"/>
      <c r="B77" s="36"/>
    </row>
    <row r="78" spans="1:35" ht="14.5" customHeight="1" x14ac:dyDescent="0.2">
      <c r="A78" s="37"/>
      <c r="B78" s="36"/>
    </row>
    <row r="79" spans="1:35" ht="14" customHeight="1" x14ac:dyDescent="0.15">
      <c r="A79" s="31"/>
      <c r="B79" s="36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  <c r="AB79" s="58"/>
      <c r="AC79" s="58"/>
      <c r="AD79" s="58"/>
      <c r="AE79" s="58"/>
      <c r="AF79" s="58"/>
      <c r="AG79" s="58"/>
      <c r="AH79" s="58"/>
      <c r="AI79" s="58"/>
    </row>
    <row r="80" spans="1:35" ht="14" customHeight="1" x14ac:dyDescent="0.15">
      <c r="A80" s="31"/>
      <c r="B80" s="36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</row>
    <row r="81" spans="1:35" ht="14" customHeight="1" x14ac:dyDescent="0.15">
      <c r="A81" s="31"/>
      <c r="B81" s="36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</row>
    <row r="82" spans="1:35" ht="14" customHeight="1" x14ac:dyDescent="0.15">
      <c r="A82" s="31"/>
      <c r="B82" s="32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  <c r="AD82" s="58"/>
      <c r="AE82" s="58"/>
      <c r="AF82" s="58"/>
      <c r="AG82" s="58"/>
      <c r="AH82" s="58"/>
      <c r="AI82" s="58"/>
    </row>
    <row r="83" spans="1:35" ht="14" customHeight="1" x14ac:dyDescent="0.15">
      <c r="A83" s="31"/>
      <c r="B83" s="32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  <c r="AB83" s="58"/>
      <c r="AC83" s="58"/>
      <c r="AD83" s="58"/>
      <c r="AE83" s="58"/>
      <c r="AF83" s="58"/>
      <c r="AG83" s="58"/>
      <c r="AH83" s="58"/>
      <c r="AI83" s="58"/>
    </row>
    <row r="84" spans="1:35" ht="14" customHeight="1" x14ac:dyDescent="0.15">
      <c r="A84" s="31"/>
      <c r="B84" s="32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</row>
    <row r="85" spans="1:35" ht="14" customHeight="1" x14ac:dyDescent="0.15">
      <c r="A85" s="31"/>
      <c r="B85" s="32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  <c r="AC85" s="58"/>
      <c r="AD85" s="58"/>
      <c r="AE85" s="58"/>
      <c r="AF85" s="58"/>
      <c r="AG85" s="58"/>
      <c r="AH85" s="58"/>
      <c r="AI85" s="58"/>
    </row>
    <row r="86" spans="1:35" ht="14" customHeight="1" x14ac:dyDescent="0.15">
      <c r="A86" s="31"/>
      <c r="B86" s="32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</row>
    <row r="87" spans="1:35" ht="14" customHeight="1" x14ac:dyDescent="0.15">
      <c r="A87" s="31"/>
      <c r="B87" s="32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  <c r="AC87" s="58"/>
      <c r="AD87" s="58"/>
      <c r="AE87" s="58"/>
      <c r="AF87" s="58"/>
      <c r="AG87" s="58"/>
      <c r="AH87" s="58"/>
      <c r="AI87" s="58"/>
    </row>
    <row r="88" spans="1:35" ht="14" customHeight="1" x14ac:dyDescent="0.15">
      <c r="A88" s="31"/>
      <c r="B88" s="32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  <c r="AB88" s="58"/>
      <c r="AC88" s="58"/>
      <c r="AD88" s="58"/>
      <c r="AE88" s="58"/>
      <c r="AF88" s="58"/>
      <c r="AG88" s="58"/>
      <c r="AH88" s="58"/>
      <c r="AI88" s="58"/>
    </row>
    <row r="89" spans="1:35" ht="14" customHeight="1" x14ac:dyDescent="0.15">
      <c r="A89" s="31"/>
      <c r="B89" s="32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  <c r="AD89" s="58"/>
      <c r="AE89" s="58"/>
      <c r="AF89" s="58"/>
      <c r="AG89" s="58"/>
      <c r="AH89" s="58"/>
      <c r="AI89" s="58"/>
    </row>
    <row r="90" spans="1:35" ht="14.5" customHeight="1" x14ac:dyDescent="0.2">
      <c r="A90" s="38"/>
      <c r="B90" s="32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  <c r="AB90" s="58"/>
      <c r="AC90" s="58"/>
      <c r="AD90" s="58"/>
      <c r="AE90" s="58"/>
      <c r="AF90" s="58"/>
      <c r="AG90" s="58"/>
      <c r="AH90" s="58"/>
      <c r="AI90" s="58"/>
    </row>
    <row r="91" spans="1:35" ht="14.5" customHeight="1" x14ac:dyDescent="0.2">
      <c r="A91" s="35"/>
      <c r="B91" s="32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</row>
    <row r="92" spans="1:35" ht="14" customHeight="1" x14ac:dyDescent="0.15">
      <c r="A92" s="31"/>
      <c r="B92" s="32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</row>
    <row r="93" spans="1:35" ht="14" customHeight="1" x14ac:dyDescent="0.15">
      <c r="A93" s="31"/>
      <c r="B93" s="32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  <c r="AB93" s="58"/>
      <c r="AC93" s="58"/>
      <c r="AD93" s="58"/>
      <c r="AE93" s="58"/>
      <c r="AF93" s="58"/>
      <c r="AG93" s="58"/>
      <c r="AH93" s="58"/>
      <c r="AI93" s="58"/>
    </row>
    <row r="94" spans="1:35" ht="14" customHeight="1" x14ac:dyDescent="0.15">
      <c r="A94" s="31"/>
      <c r="B94" s="32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  <c r="AB94" s="58"/>
      <c r="AC94" s="58"/>
      <c r="AD94" s="58"/>
      <c r="AE94" s="58"/>
      <c r="AF94" s="58"/>
      <c r="AG94" s="58"/>
      <c r="AH94" s="58"/>
      <c r="AI94" s="58"/>
    </row>
    <row r="95" spans="1:35" ht="14.5" customHeight="1" x14ac:dyDescent="0.2">
      <c r="A95" s="37"/>
    </row>
    <row r="96" spans="1:35" ht="14" customHeight="1" x14ac:dyDescent="0.15">
      <c r="A96" s="31"/>
      <c r="B96" s="32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  <c r="AB96" s="58"/>
      <c r="AC96" s="58"/>
      <c r="AD96" s="58"/>
      <c r="AE96" s="58"/>
      <c r="AF96" s="58"/>
      <c r="AG96" s="58"/>
      <c r="AH96" s="58"/>
      <c r="AI96" s="58"/>
    </row>
    <row r="97" spans="1:35" ht="14" customHeight="1" x14ac:dyDescent="0.15">
      <c r="A97" s="31"/>
      <c r="B97" s="32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  <c r="AA97" s="58"/>
      <c r="AB97" s="58"/>
      <c r="AC97" s="58"/>
      <c r="AD97" s="58"/>
      <c r="AE97" s="58"/>
      <c r="AF97" s="58"/>
      <c r="AG97" s="58"/>
      <c r="AH97" s="58"/>
      <c r="AI97" s="58"/>
    </row>
    <row r="98" spans="1:35" ht="14" customHeight="1" x14ac:dyDescent="0.15">
      <c r="A98" s="31"/>
      <c r="B98" s="32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  <c r="AA98" s="58"/>
      <c r="AB98" s="58"/>
      <c r="AC98" s="58"/>
      <c r="AD98" s="58"/>
      <c r="AE98" s="58"/>
      <c r="AF98" s="58"/>
      <c r="AG98" s="58"/>
      <c r="AH98" s="58"/>
      <c r="AI98" s="58"/>
    </row>
    <row r="99" spans="1:35" ht="14" customHeight="1" x14ac:dyDescent="0.15">
      <c r="A99" s="31"/>
      <c r="B99" s="32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  <c r="AA99" s="58"/>
      <c r="AB99" s="58"/>
      <c r="AC99" s="58"/>
      <c r="AD99" s="58"/>
      <c r="AE99" s="58"/>
      <c r="AF99" s="58"/>
      <c r="AG99" s="58"/>
      <c r="AH99" s="58"/>
      <c r="AI99" s="58"/>
    </row>
    <row r="100" spans="1:35" ht="14" customHeight="1" x14ac:dyDescent="0.15">
      <c r="A100" s="31"/>
      <c r="B100" s="32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  <c r="AB100" s="58"/>
      <c r="AC100" s="58"/>
      <c r="AD100" s="58"/>
      <c r="AE100" s="58"/>
      <c r="AF100" s="58"/>
      <c r="AG100" s="58"/>
      <c r="AH100" s="58"/>
      <c r="AI100" s="58"/>
    </row>
    <row r="101" spans="1:35" ht="14" customHeight="1" x14ac:dyDescent="0.15">
      <c r="A101" s="31"/>
      <c r="B101" s="32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  <c r="AA101" s="58"/>
      <c r="AB101" s="58"/>
      <c r="AC101" s="58"/>
      <c r="AD101" s="58"/>
      <c r="AE101" s="58"/>
      <c r="AF101" s="58"/>
      <c r="AG101" s="58"/>
      <c r="AH101" s="58"/>
      <c r="AI101" s="58"/>
    </row>
    <row r="102" spans="1:35" ht="14" customHeight="1" x14ac:dyDescent="0.15">
      <c r="A102" s="31"/>
      <c r="B102" s="32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</row>
    <row r="103" spans="1:35" ht="14" customHeight="1" x14ac:dyDescent="0.15">
      <c r="A103" s="31"/>
      <c r="B103" s="32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  <c r="AA103" s="58"/>
      <c r="AB103" s="58"/>
      <c r="AC103" s="58"/>
      <c r="AD103" s="58"/>
      <c r="AE103" s="58"/>
      <c r="AF103" s="58"/>
      <c r="AG103" s="58"/>
      <c r="AH103" s="58"/>
      <c r="AI103" s="58"/>
    </row>
    <row r="104" spans="1:35" ht="14" customHeight="1" x14ac:dyDescent="0.15">
      <c r="A104" s="31"/>
      <c r="B104" s="32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</row>
    <row r="105" spans="1:35" ht="14" customHeight="1" x14ac:dyDescent="0.15">
      <c r="A105" s="31"/>
      <c r="B105" s="32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  <c r="AH105" s="58"/>
      <c r="AI105" s="58"/>
    </row>
    <row r="106" spans="1:35" ht="14" customHeight="1" x14ac:dyDescent="0.15">
      <c r="A106" s="31"/>
      <c r="B106" s="32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</row>
    <row r="107" spans="1:35" ht="14" customHeight="1" x14ac:dyDescent="0.15">
      <c r="A107" s="33"/>
      <c r="B107" s="34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</row>
    <row r="108" spans="1:35" ht="14.5" customHeight="1" x14ac:dyDescent="0.2">
      <c r="A108" s="29"/>
    </row>
    <row r="109" spans="1:35" ht="14" customHeight="1" x14ac:dyDescent="0.15">
      <c r="A109" s="39"/>
      <c r="B109" s="40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</row>
    <row r="110" spans="1:35" ht="14" customHeight="1" x14ac:dyDescent="0.15">
      <c r="A110" s="39"/>
      <c r="B110" s="40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</row>
    <row r="111" spans="1:35" ht="14" customHeight="1" x14ac:dyDescent="0.15">
      <c r="A111" s="39"/>
      <c r="B111" s="43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</row>
    <row r="112" spans="1:35" ht="14" customHeight="1" x14ac:dyDescent="0.15">
      <c r="A112" s="39"/>
      <c r="B112" s="43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</row>
    <row r="113" spans="1:35" ht="14.5" customHeight="1" x14ac:dyDescent="0.2">
      <c r="A113" s="29"/>
    </row>
    <row r="114" spans="1:35" ht="14" customHeight="1" x14ac:dyDescent="0.15">
      <c r="A114" s="31"/>
      <c r="B114" s="32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</row>
    <row r="115" spans="1:35" ht="14" customHeight="1" x14ac:dyDescent="0.15">
      <c r="A115" s="31"/>
      <c r="B115" s="32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</row>
    <row r="116" spans="1:35" ht="14" customHeight="1" x14ac:dyDescent="0.15">
      <c r="A116" s="31"/>
      <c r="B116" s="32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</row>
    <row r="117" spans="1:35" ht="14" customHeight="1" x14ac:dyDescent="0.15">
      <c r="A117" s="31"/>
      <c r="B117" s="32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</row>
    <row r="118" spans="1:35" ht="14" customHeight="1" x14ac:dyDescent="0.15">
      <c r="A118" s="31"/>
      <c r="B118" s="32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  <c r="AA118" s="58"/>
      <c r="AB118" s="58"/>
      <c r="AC118" s="58"/>
      <c r="AD118" s="58"/>
      <c r="AE118" s="58"/>
      <c r="AF118" s="58"/>
      <c r="AG118" s="58"/>
      <c r="AH118" s="58"/>
      <c r="AI118" s="58"/>
    </row>
    <row r="119" spans="1:35" ht="14" customHeight="1" x14ac:dyDescent="0.15">
      <c r="A119" s="31"/>
      <c r="B119" s="32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  <c r="AA119" s="58"/>
      <c r="AB119" s="58"/>
      <c r="AC119" s="58"/>
      <c r="AD119" s="58"/>
      <c r="AE119" s="58"/>
      <c r="AF119" s="58"/>
      <c r="AG119" s="58"/>
      <c r="AH119" s="58"/>
      <c r="AI119" s="58"/>
    </row>
    <row r="120" spans="1:35" ht="14" customHeight="1" x14ac:dyDescent="0.15">
      <c r="A120" s="31"/>
      <c r="B120" s="32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  <c r="AA120" s="58"/>
      <c r="AB120" s="58"/>
      <c r="AC120" s="58"/>
      <c r="AD120" s="58"/>
      <c r="AE120" s="58"/>
      <c r="AF120" s="58"/>
      <c r="AG120" s="58"/>
      <c r="AH120" s="58"/>
      <c r="AI120" s="58"/>
    </row>
    <row r="121" spans="1:35" ht="14" customHeight="1" x14ac:dyDescent="0.15">
      <c r="A121" s="31"/>
      <c r="B121" s="32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</row>
    <row r="122" spans="1:35" ht="14" customHeight="1" x14ac:dyDescent="0.15">
      <c r="A122" s="31"/>
      <c r="B122" s="32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</row>
    <row r="123" spans="1:35" ht="14" customHeight="1" x14ac:dyDescent="0.15">
      <c r="A123" s="31"/>
      <c r="B123" s="32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</row>
    <row r="124" spans="1:35" ht="14" customHeight="1" x14ac:dyDescent="0.15">
      <c r="A124" s="33"/>
      <c r="B124" s="34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</row>
    <row r="125" spans="1:35" ht="14.5" customHeight="1" x14ac:dyDescent="0.2">
      <c r="A125" s="29"/>
    </row>
    <row r="126" spans="1:35" ht="14.5" customHeight="1" x14ac:dyDescent="0.2">
      <c r="A126" s="35"/>
      <c r="B126" s="32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</row>
    <row r="127" spans="1:35" ht="14" customHeight="1" x14ac:dyDescent="0.15">
      <c r="A127" s="31"/>
      <c r="B127" s="32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</row>
    <row r="128" spans="1:35" ht="14" customHeight="1" x14ac:dyDescent="0.15">
      <c r="A128" s="31"/>
      <c r="B128" s="32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</row>
    <row r="129" spans="1:35" ht="14" customHeight="1" x14ac:dyDescent="0.15">
      <c r="A129" s="31"/>
      <c r="B129" s="32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</row>
    <row r="130" spans="1:35" ht="14" customHeight="1" x14ac:dyDescent="0.15">
      <c r="A130" s="31"/>
      <c r="B130" s="32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</row>
    <row r="131" spans="1:35" ht="14" customHeight="1" x14ac:dyDescent="0.15">
      <c r="A131" s="31"/>
      <c r="B131" s="32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</row>
    <row r="132" spans="1:35" ht="14" customHeight="1" x14ac:dyDescent="0.15">
      <c r="A132" s="31"/>
      <c r="B132" s="32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</row>
    <row r="133" spans="1:35" ht="14" customHeight="1" x14ac:dyDescent="0.15">
      <c r="A133" s="31"/>
      <c r="B133" s="32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</row>
    <row r="134" spans="1:35" ht="14" customHeight="1" x14ac:dyDescent="0.15">
      <c r="A134" s="31"/>
      <c r="B134" s="32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</row>
    <row r="135" spans="1:35" ht="14" customHeight="1" x14ac:dyDescent="0.15">
      <c r="A135" s="31"/>
      <c r="B135" s="32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</row>
    <row r="136" spans="1:35" ht="14" customHeight="1" x14ac:dyDescent="0.15">
      <c r="A136" s="31"/>
      <c r="B136" s="32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</row>
    <row r="137" spans="1:35" ht="14" customHeight="1" x14ac:dyDescent="0.15">
      <c r="A137" s="31"/>
      <c r="B137" s="32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</row>
    <row r="138" spans="1:35" ht="14" customHeight="1" x14ac:dyDescent="0.15">
      <c r="A138" s="31"/>
      <c r="B138" s="32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</row>
    <row r="139" spans="1:35" ht="14" customHeight="1" x14ac:dyDescent="0.15">
      <c r="A139" s="31"/>
      <c r="B139" s="32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</row>
    <row r="140" spans="1:35" ht="14" customHeight="1" x14ac:dyDescent="0.15">
      <c r="A140" s="31"/>
      <c r="B140" s="32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</row>
    <row r="141" spans="1:35" ht="14" customHeight="1" x14ac:dyDescent="0.15">
      <c r="A141" s="31"/>
      <c r="B141" s="32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</row>
    <row r="142" spans="1:35" ht="14" customHeight="1" x14ac:dyDescent="0.15">
      <c r="A142" s="31"/>
      <c r="B142" s="32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</row>
    <row r="143" spans="1:35" ht="14" customHeight="1" x14ac:dyDescent="0.15">
      <c r="A143" s="31"/>
      <c r="B143" s="32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</row>
    <row r="144" spans="1:35" ht="14" customHeight="1" x14ac:dyDescent="0.15">
      <c r="A144" s="31"/>
      <c r="B144" s="32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</row>
    <row r="145" spans="1:35" ht="14" customHeight="1" x14ac:dyDescent="0.15">
      <c r="A145" s="31"/>
      <c r="B145" s="32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</row>
    <row r="146" spans="1:35" ht="14" customHeight="1" x14ac:dyDescent="0.15">
      <c r="A146" s="33"/>
      <c r="B146" s="34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</row>
    <row r="147" spans="1:35" ht="14" customHeight="1" x14ac:dyDescent="0.15">
      <c r="A147" s="31"/>
      <c r="B147" s="32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</row>
    <row r="148" spans="1:35" ht="14" customHeight="1" x14ac:dyDescent="0.15">
      <c r="A148" s="33"/>
      <c r="B148" s="34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</row>
    <row r="149" spans="1:35" ht="14" customHeight="1" x14ac:dyDescent="0.15"/>
    <row r="150" spans="1:35" ht="14" customHeight="1" x14ac:dyDescent="0.15">
      <c r="C150" s="60"/>
      <c r="D150" s="60"/>
      <c r="E150" s="60"/>
      <c r="F150" s="60"/>
      <c r="G150" s="60"/>
      <c r="H150" s="60"/>
      <c r="I150" s="60"/>
      <c r="J150" s="60"/>
      <c r="K150" s="60"/>
      <c r="L150" s="60"/>
    </row>
    <row r="151" spans="1:35" ht="14" customHeight="1" x14ac:dyDescent="0.15">
      <c r="C151" s="60"/>
      <c r="D151" s="60"/>
      <c r="E151" s="60"/>
      <c r="F151" s="60"/>
      <c r="G151" s="60"/>
      <c r="H151" s="60"/>
      <c r="I151" s="60"/>
      <c r="J151" s="60"/>
      <c r="K151" s="60"/>
      <c r="L151" s="60"/>
    </row>
    <row r="152" spans="1:35" ht="14" customHeight="1" x14ac:dyDescent="0.15"/>
    <row r="153" spans="1:35" ht="14" customHeight="1" x14ac:dyDescent="0.15"/>
    <row r="154" spans="1:35" ht="14" customHeight="1" x14ac:dyDescent="0.15"/>
    <row r="155" spans="1:35" ht="14" customHeight="1" x14ac:dyDescent="0.15"/>
    <row r="156" spans="1:35" ht="14" customHeight="1" x14ac:dyDescent="0.15"/>
    <row r="157" spans="1:35" ht="14" customHeight="1" x14ac:dyDescent="0.15"/>
    <row r="158" spans="1:35" ht="14" customHeight="1" x14ac:dyDescent="0.15"/>
    <row r="159" spans="1:35" ht="14" customHeight="1" x14ac:dyDescent="0.15"/>
    <row r="160" spans="1:35" ht="14" customHeight="1" x14ac:dyDescent="0.15"/>
    <row r="161" ht="14" customHeight="1" x14ac:dyDescent="0.15"/>
    <row r="162" ht="14" customHeight="1" x14ac:dyDescent="0.15"/>
    <row r="163" ht="14" customHeight="1" x14ac:dyDescent="0.15"/>
    <row r="164" ht="14" customHeight="1" x14ac:dyDescent="0.15"/>
    <row r="165" ht="14" customHeight="1" x14ac:dyDescent="0.15"/>
    <row r="166" ht="14" customHeight="1" x14ac:dyDescent="0.15"/>
    <row r="167" ht="14" customHeight="1" x14ac:dyDescent="0.15"/>
    <row r="168" ht="14" customHeight="1" x14ac:dyDescent="0.15"/>
    <row r="169" ht="14" customHeight="1" x14ac:dyDescent="0.15"/>
    <row r="170" ht="14" customHeight="1" x14ac:dyDescent="0.15"/>
    <row r="171" ht="14" customHeight="1" x14ac:dyDescent="0.15"/>
    <row r="172" ht="14" customHeight="1" x14ac:dyDescent="0.15"/>
    <row r="173" ht="14" customHeight="1" x14ac:dyDescent="0.15"/>
    <row r="174" ht="14" customHeight="1" x14ac:dyDescent="0.15"/>
    <row r="175" ht="14" customHeight="1" x14ac:dyDescent="0.15"/>
    <row r="176" ht="14" customHeight="1" x14ac:dyDescent="0.15"/>
    <row r="177" ht="14" customHeight="1" x14ac:dyDescent="0.15"/>
    <row r="178" ht="14" customHeight="1" x14ac:dyDescent="0.15"/>
    <row r="179" ht="14" customHeight="1" x14ac:dyDescent="0.15"/>
    <row r="180" ht="14" customHeight="1" x14ac:dyDescent="0.15"/>
    <row r="181" ht="14" customHeight="1" x14ac:dyDescent="0.15"/>
    <row r="182" ht="14" customHeight="1" x14ac:dyDescent="0.15"/>
    <row r="183" ht="14" customHeight="1" x14ac:dyDescent="0.15"/>
    <row r="184" ht="14" customHeight="1" x14ac:dyDescent="0.15"/>
    <row r="185" ht="14" customHeight="1" x14ac:dyDescent="0.15"/>
    <row r="186" ht="14" customHeight="1" x14ac:dyDescent="0.15"/>
    <row r="187" ht="14" customHeight="1" x14ac:dyDescent="0.15"/>
    <row r="188" ht="14" customHeight="1" x14ac:dyDescent="0.15"/>
    <row r="189" ht="14" customHeight="1" x14ac:dyDescent="0.15"/>
    <row r="190" ht="14" customHeight="1" x14ac:dyDescent="0.15"/>
    <row r="191" ht="14" customHeight="1" x14ac:dyDescent="0.15"/>
    <row r="192" ht="14" customHeight="1" x14ac:dyDescent="0.15"/>
    <row r="193" ht="14" customHeight="1" x14ac:dyDescent="0.15"/>
    <row r="194" ht="14" customHeight="1" x14ac:dyDescent="0.15"/>
    <row r="195" ht="14" customHeight="1" x14ac:dyDescent="0.15"/>
    <row r="196" ht="14" customHeight="1" x14ac:dyDescent="0.15"/>
    <row r="197" ht="14" customHeight="1" x14ac:dyDescent="0.15"/>
    <row r="198" ht="14" customHeight="1" x14ac:dyDescent="0.15"/>
    <row r="199" ht="14" customHeight="1" x14ac:dyDescent="0.15"/>
    <row r="200" ht="14" customHeight="1" x14ac:dyDescent="0.15"/>
    <row r="201" ht="14" customHeight="1" x14ac:dyDescent="0.15"/>
    <row r="202" ht="14" customHeight="1" x14ac:dyDescent="0.15"/>
    <row r="203" ht="14" customHeight="1" x14ac:dyDescent="0.15"/>
    <row r="204" ht="14" customHeight="1" x14ac:dyDescent="0.15"/>
    <row r="205" ht="14" customHeight="1" x14ac:dyDescent="0.15"/>
    <row r="206" ht="14" customHeight="1" x14ac:dyDescent="0.15"/>
    <row r="207" ht="14" customHeight="1" x14ac:dyDescent="0.15"/>
    <row r="208" ht="14" customHeight="1" x14ac:dyDescent="0.15"/>
    <row r="209" ht="14" customHeight="1" x14ac:dyDescent="0.15"/>
    <row r="210" ht="14" customHeight="1" x14ac:dyDescent="0.15"/>
    <row r="211" ht="14" customHeight="1" x14ac:dyDescent="0.15"/>
    <row r="212" ht="14" customHeight="1" x14ac:dyDescent="0.15"/>
    <row r="213" ht="14" customHeight="1" x14ac:dyDescent="0.15"/>
    <row r="214" ht="14" customHeight="1" x14ac:dyDescent="0.15"/>
    <row r="215" ht="14" customHeight="1" x14ac:dyDescent="0.15"/>
    <row r="216" ht="14" customHeight="1" x14ac:dyDescent="0.15"/>
    <row r="217" ht="14" customHeight="1" x14ac:dyDescent="0.15"/>
    <row r="218" ht="14" customHeight="1" x14ac:dyDescent="0.15"/>
    <row r="219" ht="14" customHeight="1" x14ac:dyDescent="0.15"/>
    <row r="220" ht="14" customHeight="1" x14ac:dyDescent="0.15"/>
    <row r="221" ht="14" customHeight="1" x14ac:dyDescent="0.15"/>
    <row r="222" ht="14" customHeight="1" x14ac:dyDescent="0.15"/>
    <row r="223" ht="14" customHeight="1" x14ac:dyDescent="0.15"/>
    <row r="224" ht="14" customHeight="1" x14ac:dyDescent="0.15"/>
    <row r="225" ht="14" customHeight="1" x14ac:dyDescent="0.15"/>
    <row r="226" ht="14" customHeight="1" x14ac:dyDescent="0.15"/>
    <row r="227" ht="14" customHeight="1" x14ac:dyDescent="0.15"/>
    <row r="228" ht="14" customHeight="1" x14ac:dyDescent="0.15"/>
    <row r="229" ht="14" customHeight="1" x14ac:dyDescent="0.15"/>
    <row r="230" ht="14" customHeight="1" x14ac:dyDescent="0.15"/>
    <row r="231" ht="14" customHeight="1" x14ac:dyDescent="0.15"/>
    <row r="232" ht="14" customHeight="1" x14ac:dyDescent="0.15"/>
    <row r="233" ht="14" customHeight="1" x14ac:dyDescent="0.15"/>
    <row r="234" ht="14" customHeight="1" x14ac:dyDescent="0.15"/>
    <row r="235" ht="14" customHeight="1" x14ac:dyDescent="0.15"/>
    <row r="236" ht="14" customHeight="1" x14ac:dyDescent="0.15"/>
    <row r="237" ht="14" customHeight="1" x14ac:dyDescent="0.15"/>
    <row r="238" ht="14" customHeight="1" x14ac:dyDescent="0.15"/>
    <row r="239" ht="14" customHeight="1" x14ac:dyDescent="0.15"/>
    <row r="240" ht="14" customHeight="1" x14ac:dyDescent="0.15"/>
    <row r="241" ht="14" customHeight="1" x14ac:dyDescent="0.15"/>
    <row r="242" ht="14" customHeight="1" x14ac:dyDescent="0.15"/>
    <row r="243" ht="14" customHeight="1" x14ac:dyDescent="0.15"/>
    <row r="244" ht="14" customHeight="1" x14ac:dyDescent="0.15"/>
    <row r="245" ht="14" customHeight="1" x14ac:dyDescent="0.15"/>
    <row r="246" ht="14" customHeight="1" x14ac:dyDescent="0.15"/>
    <row r="247" ht="14" customHeight="1" x14ac:dyDescent="0.15"/>
    <row r="248" ht="14" customHeight="1" x14ac:dyDescent="0.15"/>
    <row r="249" ht="14" customHeight="1" x14ac:dyDescent="0.15"/>
    <row r="250" ht="14" customHeight="1" x14ac:dyDescent="0.15"/>
    <row r="251" ht="14" customHeight="1" x14ac:dyDescent="0.15"/>
    <row r="252" ht="14" customHeight="1" x14ac:dyDescent="0.15"/>
    <row r="253" ht="14" customHeight="1" x14ac:dyDescent="0.15"/>
    <row r="254" ht="14" customHeight="1" x14ac:dyDescent="0.15"/>
    <row r="255" ht="14" customHeight="1" x14ac:dyDescent="0.15"/>
    <row r="256" ht="14" customHeight="1" x14ac:dyDescent="0.15"/>
    <row r="257" ht="14" customHeight="1" x14ac:dyDescent="0.15"/>
    <row r="258" ht="14" customHeight="1" x14ac:dyDescent="0.15"/>
    <row r="259" ht="14" customHeight="1" x14ac:dyDescent="0.15"/>
    <row r="260" ht="14" customHeight="1" x14ac:dyDescent="0.15"/>
    <row r="261" ht="14" customHeight="1" x14ac:dyDescent="0.15"/>
    <row r="262" ht="14" customHeight="1" x14ac:dyDescent="0.15"/>
    <row r="263" ht="14" customHeight="1" x14ac:dyDescent="0.15"/>
    <row r="264" ht="14" customHeight="1" x14ac:dyDescent="0.15"/>
    <row r="265" ht="14" customHeight="1" x14ac:dyDescent="0.15"/>
    <row r="266" ht="14" customHeight="1" x14ac:dyDescent="0.15"/>
    <row r="267" ht="14" customHeight="1" x14ac:dyDescent="0.15"/>
    <row r="268" ht="14" customHeight="1" x14ac:dyDescent="0.15"/>
    <row r="269" ht="14" customHeight="1" x14ac:dyDescent="0.15"/>
    <row r="270" ht="14" customHeight="1" x14ac:dyDescent="0.15"/>
    <row r="271" ht="14" customHeight="1" x14ac:dyDescent="0.15"/>
    <row r="272" ht="14" customHeight="1" x14ac:dyDescent="0.15"/>
    <row r="273" ht="14" customHeight="1" x14ac:dyDescent="0.15"/>
    <row r="274" ht="14" customHeight="1" x14ac:dyDescent="0.15"/>
    <row r="275" ht="14" customHeight="1" x14ac:dyDescent="0.15"/>
    <row r="276" ht="14" customHeight="1" x14ac:dyDescent="0.15"/>
    <row r="277" ht="14" customHeight="1" x14ac:dyDescent="0.15"/>
    <row r="278" ht="14" customHeight="1" x14ac:dyDescent="0.15"/>
    <row r="279" ht="14" customHeight="1" x14ac:dyDescent="0.15"/>
    <row r="280" ht="14" customHeight="1" x14ac:dyDescent="0.15"/>
    <row r="281" ht="14" customHeight="1" x14ac:dyDescent="0.15"/>
    <row r="282" ht="14" customHeight="1" x14ac:dyDescent="0.15"/>
    <row r="283" ht="14" customHeight="1" x14ac:dyDescent="0.15"/>
    <row r="284" ht="14" customHeight="1" x14ac:dyDescent="0.15"/>
    <row r="285" ht="14" customHeight="1" x14ac:dyDescent="0.15"/>
    <row r="286" ht="14" customHeight="1" x14ac:dyDescent="0.15"/>
    <row r="287" ht="14" customHeight="1" x14ac:dyDescent="0.15"/>
    <row r="288" ht="14" customHeight="1" x14ac:dyDescent="0.15"/>
    <row r="289" ht="14" customHeight="1" x14ac:dyDescent="0.15"/>
    <row r="290" ht="14" customHeight="1" x14ac:dyDescent="0.15"/>
    <row r="291" ht="14" customHeight="1" x14ac:dyDescent="0.15"/>
    <row r="292" ht="14" customHeight="1" x14ac:dyDescent="0.15"/>
    <row r="293" ht="14" customHeight="1" x14ac:dyDescent="0.15"/>
    <row r="294" ht="14" customHeight="1" x14ac:dyDescent="0.15"/>
    <row r="295" ht="14" customHeight="1" x14ac:dyDescent="0.15"/>
    <row r="296" ht="14" customHeight="1" x14ac:dyDescent="0.15"/>
    <row r="297" ht="14" customHeight="1" x14ac:dyDescent="0.15"/>
    <row r="298" ht="14" customHeight="1" x14ac:dyDescent="0.15"/>
    <row r="299" ht="14" customHeight="1" x14ac:dyDescent="0.15"/>
    <row r="300" ht="14" customHeight="1" x14ac:dyDescent="0.15"/>
    <row r="301" ht="14" customHeight="1" x14ac:dyDescent="0.15"/>
    <row r="302" ht="14" customHeight="1" x14ac:dyDescent="0.15"/>
    <row r="303" ht="14" customHeight="1" x14ac:dyDescent="0.15"/>
    <row r="304" ht="14" customHeight="1" x14ac:dyDescent="0.15"/>
    <row r="305" ht="14" customHeight="1" x14ac:dyDescent="0.15"/>
    <row r="306" ht="14" customHeight="1" x14ac:dyDescent="0.15"/>
    <row r="307" ht="14" customHeight="1" x14ac:dyDescent="0.15"/>
    <row r="308" ht="14" customHeight="1" x14ac:dyDescent="0.15"/>
    <row r="309" ht="14" customHeight="1" x14ac:dyDescent="0.15"/>
    <row r="310" ht="14" customHeight="1" x14ac:dyDescent="0.15"/>
    <row r="311" ht="14" customHeight="1" x14ac:dyDescent="0.15"/>
    <row r="312" ht="14" customHeight="1" x14ac:dyDescent="0.15"/>
    <row r="313" ht="14" customHeight="1" x14ac:dyDescent="0.15"/>
    <row r="314" ht="14" customHeight="1" x14ac:dyDescent="0.15"/>
    <row r="315" ht="14" customHeight="1" x14ac:dyDescent="0.15"/>
    <row r="316" ht="14" customHeight="1" x14ac:dyDescent="0.15"/>
    <row r="317" ht="14" customHeight="1" x14ac:dyDescent="0.15"/>
    <row r="318" ht="14" customHeight="1" x14ac:dyDescent="0.15"/>
    <row r="319" ht="14" customHeight="1" x14ac:dyDescent="0.15"/>
    <row r="320" ht="14" customHeight="1" x14ac:dyDescent="0.15"/>
    <row r="321" ht="14" customHeight="1" x14ac:dyDescent="0.15"/>
    <row r="322" ht="14" customHeight="1" x14ac:dyDescent="0.15"/>
    <row r="323" ht="14" customHeight="1" x14ac:dyDescent="0.15"/>
    <row r="324" ht="14" customHeight="1" x14ac:dyDescent="0.15"/>
    <row r="325" ht="14" customHeight="1" x14ac:dyDescent="0.15"/>
    <row r="326" ht="14" customHeight="1" x14ac:dyDescent="0.15"/>
    <row r="327" ht="14" customHeight="1" x14ac:dyDescent="0.15"/>
    <row r="328" ht="14" customHeight="1" x14ac:dyDescent="0.15"/>
    <row r="329" ht="14" customHeight="1" x14ac:dyDescent="0.15"/>
    <row r="330" ht="14" customHeight="1" x14ac:dyDescent="0.15"/>
    <row r="331" ht="14" customHeight="1" x14ac:dyDescent="0.15"/>
    <row r="332" ht="14" customHeight="1" x14ac:dyDescent="0.15"/>
    <row r="333" ht="14" customHeight="1" x14ac:dyDescent="0.15"/>
    <row r="334" ht="14" customHeight="1" x14ac:dyDescent="0.15"/>
    <row r="335" ht="14" customHeight="1" x14ac:dyDescent="0.15"/>
    <row r="336" ht="14" customHeight="1" x14ac:dyDescent="0.15"/>
    <row r="337" ht="14" customHeight="1" x14ac:dyDescent="0.15"/>
    <row r="338" ht="14" customHeight="1" x14ac:dyDescent="0.15"/>
    <row r="339" ht="14" customHeight="1" x14ac:dyDescent="0.15"/>
    <row r="340" ht="14" customHeight="1" x14ac:dyDescent="0.15"/>
    <row r="341" ht="14" customHeight="1" x14ac:dyDescent="0.15"/>
    <row r="342" ht="14" customHeight="1" x14ac:dyDescent="0.15"/>
    <row r="343" ht="14" customHeight="1" x14ac:dyDescent="0.15"/>
    <row r="344" ht="14" customHeight="1" x14ac:dyDescent="0.15"/>
    <row r="345" ht="14" customHeight="1" x14ac:dyDescent="0.15"/>
    <row r="346" ht="14" customHeight="1" x14ac:dyDescent="0.15"/>
    <row r="347" ht="14" customHeight="1" x14ac:dyDescent="0.15"/>
    <row r="348" ht="14" customHeight="1" x14ac:dyDescent="0.15"/>
    <row r="349" ht="14" customHeight="1" x14ac:dyDescent="0.15"/>
    <row r="350" ht="14" customHeight="1" x14ac:dyDescent="0.15"/>
    <row r="351" ht="14" customHeight="1" x14ac:dyDescent="0.15"/>
    <row r="352" ht="14" customHeight="1" x14ac:dyDescent="0.15"/>
    <row r="353" ht="14" customHeight="1" x14ac:dyDescent="0.15"/>
    <row r="354" ht="14" customHeight="1" x14ac:dyDescent="0.15"/>
    <row r="355" ht="14" customHeight="1" x14ac:dyDescent="0.15"/>
    <row r="356" ht="14" customHeight="1" x14ac:dyDescent="0.15"/>
    <row r="357" ht="14" customHeight="1" x14ac:dyDescent="0.15"/>
    <row r="358" ht="14" customHeight="1" x14ac:dyDescent="0.15"/>
    <row r="359" ht="14" customHeight="1" x14ac:dyDescent="0.15"/>
    <row r="360" ht="14" customHeight="1" x14ac:dyDescent="0.15"/>
    <row r="361" ht="14" customHeight="1" x14ac:dyDescent="0.15"/>
    <row r="362" ht="14" customHeight="1" x14ac:dyDescent="0.15"/>
    <row r="363" ht="14" customHeight="1" x14ac:dyDescent="0.15"/>
    <row r="364" ht="14" customHeight="1" x14ac:dyDescent="0.15"/>
    <row r="365" ht="14" customHeight="1" x14ac:dyDescent="0.15"/>
    <row r="366" ht="14" customHeight="1" x14ac:dyDescent="0.15"/>
    <row r="367" ht="14" customHeight="1" x14ac:dyDescent="0.15"/>
    <row r="368" ht="14" customHeight="1" x14ac:dyDescent="0.15"/>
    <row r="369" ht="14" customHeight="1" x14ac:dyDescent="0.15"/>
    <row r="370" ht="14" customHeight="1" x14ac:dyDescent="0.15"/>
    <row r="371" ht="14" customHeight="1" x14ac:dyDescent="0.15"/>
    <row r="372" ht="14" customHeight="1" x14ac:dyDescent="0.15"/>
    <row r="373" ht="14" customHeight="1" x14ac:dyDescent="0.15"/>
    <row r="374" ht="14" customHeight="1" x14ac:dyDescent="0.15"/>
    <row r="375" ht="14" customHeight="1" x14ac:dyDescent="0.15"/>
    <row r="376" ht="14" customHeight="1" x14ac:dyDescent="0.15"/>
    <row r="377" ht="14" customHeight="1" x14ac:dyDescent="0.15"/>
    <row r="378" ht="14" customHeight="1" x14ac:dyDescent="0.15"/>
    <row r="379" ht="14" customHeight="1" x14ac:dyDescent="0.15"/>
    <row r="380" ht="14" customHeight="1" x14ac:dyDescent="0.15"/>
    <row r="381" ht="14" customHeight="1" x14ac:dyDescent="0.15"/>
    <row r="382" ht="14" customHeight="1" x14ac:dyDescent="0.15"/>
    <row r="383" ht="14" customHeight="1" x14ac:dyDescent="0.15"/>
    <row r="384" ht="14" customHeight="1" x14ac:dyDescent="0.15"/>
    <row r="385" ht="14" customHeight="1" x14ac:dyDescent="0.15"/>
    <row r="386" ht="14" customHeight="1" x14ac:dyDescent="0.15"/>
    <row r="387" ht="14" customHeight="1" x14ac:dyDescent="0.15"/>
    <row r="388" ht="14" customHeight="1" x14ac:dyDescent="0.15"/>
    <row r="389" ht="14" customHeight="1" x14ac:dyDescent="0.15"/>
    <row r="390" ht="14" customHeight="1" x14ac:dyDescent="0.15"/>
    <row r="391" ht="14" customHeight="1" x14ac:dyDescent="0.15"/>
    <row r="392" ht="14" customHeight="1" x14ac:dyDescent="0.15"/>
    <row r="393" ht="14" customHeight="1" x14ac:dyDescent="0.15"/>
    <row r="394" ht="14" customHeight="1" x14ac:dyDescent="0.15"/>
    <row r="395" ht="14" customHeight="1" x14ac:dyDescent="0.15"/>
    <row r="396" ht="14" customHeight="1" x14ac:dyDescent="0.15"/>
    <row r="397" ht="14" customHeight="1" x14ac:dyDescent="0.15"/>
    <row r="398" ht="14" customHeight="1" x14ac:dyDescent="0.15"/>
    <row r="399" ht="14" customHeight="1" x14ac:dyDescent="0.15"/>
    <row r="400" ht="14" customHeight="1" x14ac:dyDescent="0.15"/>
    <row r="401" ht="14" customHeight="1" x14ac:dyDescent="0.15"/>
    <row r="402" ht="14" customHeight="1" x14ac:dyDescent="0.15"/>
    <row r="403" ht="14" customHeight="1" x14ac:dyDescent="0.15"/>
    <row r="404" ht="14" customHeight="1" x14ac:dyDescent="0.15"/>
    <row r="405" ht="14" customHeight="1" x14ac:dyDescent="0.15"/>
    <row r="406" ht="14" customHeight="1" x14ac:dyDescent="0.15"/>
    <row r="407" ht="14" customHeight="1" x14ac:dyDescent="0.15"/>
    <row r="408" ht="14" customHeight="1" x14ac:dyDescent="0.15"/>
    <row r="409" ht="14" customHeight="1" x14ac:dyDescent="0.15"/>
    <row r="410" ht="14" customHeight="1" x14ac:dyDescent="0.15"/>
    <row r="411" ht="14" customHeight="1" x14ac:dyDescent="0.15"/>
    <row r="412" ht="14" customHeight="1" x14ac:dyDescent="0.15"/>
    <row r="413" ht="14" customHeight="1" x14ac:dyDescent="0.15"/>
    <row r="414" ht="14" customHeight="1" x14ac:dyDescent="0.15"/>
    <row r="415" ht="14" customHeight="1" x14ac:dyDescent="0.15"/>
    <row r="416" ht="14" customHeight="1" x14ac:dyDescent="0.15"/>
    <row r="417" ht="14" customHeight="1" x14ac:dyDescent="0.15"/>
    <row r="418" ht="14" customHeight="1" x14ac:dyDescent="0.15"/>
    <row r="419" ht="14" customHeight="1" x14ac:dyDescent="0.15"/>
    <row r="420" ht="14" customHeight="1" x14ac:dyDescent="0.15"/>
    <row r="421" ht="14" customHeight="1" x14ac:dyDescent="0.15"/>
    <row r="422" ht="14" customHeight="1" x14ac:dyDescent="0.15"/>
    <row r="423" ht="14" customHeight="1" x14ac:dyDescent="0.15"/>
    <row r="424" ht="14" customHeight="1" x14ac:dyDescent="0.15"/>
    <row r="425" ht="14" customHeight="1" x14ac:dyDescent="0.15"/>
    <row r="426" ht="14" customHeight="1" x14ac:dyDescent="0.15"/>
    <row r="427" ht="14" customHeight="1" x14ac:dyDescent="0.15"/>
    <row r="428" ht="14" customHeight="1" x14ac:dyDescent="0.15"/>
    <row r="429" ht="14" customHeight="1" x14ac:dyDescent="0.15"/>
    <row r="430" ht="14" customHeight="1" x14ac:dyDescent="0.15"/>
    <row r="431" ht="14" customHeight="1" x14ac:dyDescent="0.15"/>
    <row r="432" ht="14" customHeight="1" x14ac:dyDescent="0.15"/>
    <row r="433" ht="14" customHeight="1" x14ac:dyDescent="0.15"/>
    <row r="434" ht="14" customHeight="1" x14ac:dyDescent="0.15"/>
    <row r="435" ht="14" customHeight="1" x14ac:dyDescent="0.15"/>
    <row r="436" ht="14" customHeight="1" x14ac:dyDescent="0.15"/>
    <row r="437" ht="14" customHeight="1" x14ac:dyDescent="0.15"/>
    <row r="438" ht="14" customHeight="1" x14ac:dyDescent="0.15"/>
    <row r="439" ht="14" customHeight="1" x14ac:dyDescent="0.15"/>
    <row r="440" ht="14" customHeight="1" x14ac:dyDescent="0.15"/>
    <row r="441" ht="14" customHeight="1" x14ac:dyDescent="0.15"/>
    <row r="442" ht="14" customHeight="1" x14ac:dyDescent="0.15"/>
    <row r="443" ht="14" customHeight="1" x14ac:dyDescent="0.15"/>
    <row r="444" ht="14" customHeight="1" x14ac:dyDescent="0.15"/>
    <row r="445" ht="14" customHeight="1" x14ac:dyDescent="0.15"/>
    <row r="446" ht="14" customHeight="1" x14ac:dyDescent="0.15"/>
    <row r="447" ht="14" customHeight="1" x14ac:dyDescent="0.15"/>
    <row r="448" ht="14" customHeight="1" x14ac:dyDescent="0.15"/>
    <row r="449" ht="14" customHeight="1" x14ac:dyDescent="0.15"/>
    <row r="450" ht="14" customHeight="1" x14ac:dyDescent="0.15"/>
    <row r="451" ht="14" customHeight="1" x14ac:dyDescent="0.15"/>
    <row r="452" ht="14" customHeight="1" x14ac:dyDescent="0.15"/>
    <row r="453" ht="14" customHeight="1" x14ac:dyDescent="0.15"/>
    <row r="454" ht="14" customHeight="1" x14ac:dyDescent="0.15"/>
    <row r="455" ht="14" customHeight="1" x14ac:dyDescent="0.15"/>
    <row r="456" ht="14" customHeight="1" x14ac:dyDescent="0.15"/>
    <row r="457" ht="14" customHeight="1" x14ac:dyDescent="0.15"/>
    <row r="458" ht="14" customHeight="1" x14ac:dyDescent="0.15"/>
    <row r="459" ht="14" customHeight="1" x14ac:dyDescent="0.15"/>
    <row r="460" ht="14" customHeight="1" x14ac:dyDescent="0.15"/>
    <row r="461" ht="14" customHeight="1" x14ac:dyDescent="0.15"/>
    <row r="462" ht="14" customHeight="1" x14ac:dyDescent="0.15"/>
    <row r="463" ht="14" customHeight="1" x14ac:dyDescent="0.15"/>
    <row r="464" ht="14" customHeight="1" x14ac:dyDescent="0.15"/>
    <row r="465" ht="14" customHeight="1" x14ac:dyDescent="0.15"/>
    <row r="466" ht="14" customHeight="1" x14ac:dyDescent="0.15"/>
    <row r="467" ht="14" customHeight="1" x14ac:dyDescent="0.15"/>
    <row r="468" ht="14" customHeight="1" x14ac:dyDescent="0.15"/>
    <row r="469" ht="14" customHeight="1" x14ac:dyDescent="0.15"/>
    <row r="470" ht="14" customHeight="1" x14ac:dyDescent="0.15"/>
    <row r="471" ht="14" customHeight="1" x14ac:dyDescent="0.15"/>
    <row r="472" ht="14" customHeight="1" x14ac:dyDescent="0.15"/>
    <row r="473" ht="14" customHeight="1" x14ac:dyDescent="0.15"/>
    <row r="474" ht="14" customHeight="1" x14ac:dyDescent="0.15"/>
    <row r="475" ht="14" customHeight="1" x14ac:dyDescent="0.15"/>
    <row r="476" ht="14" customHeight="1" x14ac:dyDescent="0.15"/>
    <row r="477" ht="14" customHeight="1" x14ac:dyDescent="0.15"/>
    <row r="478" ht="14" customHeight="1" x14ac:dyDescent="0.15"/>
    <row r="479" ht="14" customHeight="1" x14ac:dyDescent="0.15"/>
    <row r="480" ht="14" customHeight="1" x14ac:dyDescent="0.15"/>
    <row r="481" ht="14" customHeight="1" x14ac:dyDescent="0.15"/>
    <row r="482" ht="14" customHeight="1" x14ac:dyDescent="0.15"/>
    <row r="483" ht="14" customHeight="1" x14ac:dyDescent="0.15"/>
    <row r="484" ht="14" customHeight="1" x14ac:dyDescent="0.15"/>
    <row r="485" ht="14" customHeight="1" x14ac:dyDescent="0.15"/>
    <row r="486" ht="14" customHeight="1" x14ac:dyDescent="0.15"/>
    <row r="487" ht="14" customHeight="1" x14ac:dyDescent="0.15"/>
    <row r="488" ht="14" customHeight="1" x14ac:dyDescent="0.15"/>
    <row r="489" ht="14" customHeight="1" x14ac:dyDescent="0.15"/>
    <row r="490" ht="14" customHeight="1" x14ac:dyDescent="0.15"/>
    <row r="491" ht="14" customHeight="1" x14ac:dyDescent="0.15"/>
    <row r="492" ht="14" customHeight="1" x14ac:dyDescent="0.15"/>
    <row r="493" ht="14" customHeight="1" x14ac:dyDescent="0.15"/>
    <row r="494" ht="14" customHeight="1" x14ac:dyDescent="0.15"/>
    <row r="495" ht="14" customHeight="1" x14ac:dyDescent="0.15"/>
    <row r="496" ht="14" customHeight="1" x14ac:dyDescent="0.15"/>
    <row r="497" ht="14" customHeight="1" x14ac:dyDescent="0.15"/>
    <row r="498" ht="14" customHeight="1" x14ac:dyDescent="0.15"/>
    <row r="499" ht="14" customHeight="1" x14ac:dyDescent="0.15"/>
    <row r="500" ht="14" customHeight="1" x14ac:dyDescent="0.15"/>
    <row r="501" ht="14" customHeight="1" x14ac:dyDescent="0.15"/>
    <row r="502" ht="14" customHeight="1" x14ac:dyDescent="0.15"/>
    <row r="503" ht="14" customHeight="1" x14ac:dyDescent="0.15"/>
    <row r="504" ht="14" customHeight="1" x14ac:dyDescent="0.15"/>
    <row r="505" ht="14" customHeight="1" x14ac:dyDescent="0.15"/>
    <row r="506" ht="14" customHeight="1" x14ac:dyDescent="0.15"/>
    <row r="507" ht="14" customHeight="1" x14ac:dyDescent="0.15"/>
    <row r="508" ht="14" customHeight="1" x14ac:dyDescent="0.15"/>
    <row r="509" ht="14" customHeight="1" x14ac:dyDescent="0.15"/>
    <row r="510" ht="14" customHeight="1" x14ac:dyDescent="0.15"/>
    <row r="511" ht="14" customHeight="1" x14ac:dyDescent="0.15"/>
    <row r="512" ht="14" customHeight="1" x14ac:dyDescent="0.15"/>
    <row r="513" ht="14" customHeight="1" x14ac:dyDescent="0.15"/>
    <row r="514" ht="14" customHeight="1" x14ac:dyDescent="0.15"/>
    <row r="515" ht="14" customHeight="1" x14ac:dyDescent="0.15"/>
    <row r="516" ht="14" customHeight="1" x14ac:dyDescent="0.15"/>
    <row r="517" ht="14" customHeight="1" x14ac:dyDescent="0.15"/>
    <row r="518" ht="14" customHeight="1" x14ac:dyDescent="0.15"/>
    <row r="519" ht="14" customHeight="1" x14ac:dyDescent="0.15"/>
    <row r="520" ht="14" customHeight="1" x14ac:dyDescent="0.15"/>
    <row r="521" ht="14" customHeight="1" x14ac:dyDescent="0.15"/>
    <row r="522" ht="14" customHeight="1" x14ac:dyDescent="0.15"/>
    <row r="523" ht="14" customHeight="1" x14ac:dyDescent="0.15"/>
    <row r="524" ht="14" customHeight="1" x14ac:dyDescent="0.15"/>
    <row r="525" ht="14" customHeight="1" x14ac:dyDescent="0.15"/>
    <row r="526" ht="14" customHeight="1" x14ac:dyDescent="0.15"/>
    <row r="527" ht="14" customHeight="1" x14ac:dyDescent="0.15"/>
    <row r="528" ht="14" customHeight="1" x14ac:dyDescent="0.15"/>
    <row r="529" ht="14" customHeight="1" x14ac:dyDescent="0.15"/>
    <row r="530" ht="14" customHeight="1" x14ac:dyDescent="0.15"/>
    <row r="531" ht="14" customHeight="1" x14ac:dyDescent="0.15"/>
    <row r="532" ht="14" customHeight="1" x14ac:dyDescent="0.15"/>
    <row r="533" ht="14" customHeight="1" x14ac:dyDescent="0.15"/>
    <row r="534" ht="14" customHeight="1" x14ac:dyDescent="0.15"/>
    <row r="535" ht="14" customHeight="1" x14ac:dyDescent="0.15"/>
    <row r="536" ht="14" customHeight="1" x14ac:dyDescent="0.15"/>
    <row r="537" ht="14" customHeight="1" x14ac:dyDescent="0.15"/>
    <row r="538" ht="14" customHeight="1" x14ac:dyDescent="0.15"/>
    <row r="539" ht="14" customHeight="1" x14ac:dyDescent="0.15"/>
    <row r="540" ht="14" customHeight="1" x14ac:dyDescent="0.15"/>
    <row r="541" ht="14" customHeight="1" x14ac:dyDescent="0.15"/>
    <row r="542" ht="14" customHeight="1" x14ac:dyDescent="0.15"/>
    <row r="543" ht="14" customHeight="1" x14ac:dyDescent="0.15"/>
    <row r="544" ht="14" customHeight="1" x14ac:dyDescent="0.15"/>
    <row r="545" ht="14" customHeight="1" x14ac:dyDescent="0.15"/>
    <row r="546" ht="14" customHeight="1" x14ac:dyDescent="0.15"/>
    <row r="547" ht="14" customHeight="1" x14ac:dyDescent="0.15"/>
    <row r="548" ht="14" customHeight="1" x14ac:dyDescent="0.15"/>
    <row r="549" ht="14" customHeight="1" x14ac:dyDescent="0.15"/>
    <row r="550" ht="14" customHeight="1" x14ac:dyDescent="0.15"/>
    <row r="551" ht="14" customHeight="1" x14ac:dyDescent="0.15"/>
    <row r="552" ht="14" customHeight="1" x14ac:dyDescent="0.15"/>
    <row r="553" ht="14" customHeight="1" x14ac:dyDescent="0.15"/>
    <row r="554" ht="14" customHeight="1" x14ac:dyDescent="0.15"/>
    <row r="555" ht="14" customHeight="1" x14ac:dyDescent="0.15"/>
    <row r="556" ht="14" customHeight="1" x14ac:dyDescent="0.15"/>
    <row r="557" ht="14" customHeight="1" x14ac:dyDescent="0.15"/>
    <row r="558" ht="14" customHeight="1" x14ac:dyDescent="0.15"/>
    <row r="559" ht="14" customHeight="1" x14ac:dyDescent="0.15"/>
    <row r="560" ht="14" customHeight="1" x14ac:dyDescent="0.15"/>
    <row r="561" ht="14" customHeight="1" x14ac:dyDescent="0.15"/>
    <row r="562" ht="14" customHeight="1" x14ac:dyDescent="0.15"/>
    <row r="563" ht="14" customHeight="1" x14ac:dyDescent="0.15"/>
    <row r="564" ht="14" customHeight="1" x14ac:dyDescent="0.15"/>
    <row r="565" ht="14" customHeight="1" x14ac:dyDescent="0.15"/>
    <row r="566" ht="14" customHeight="1" x14ac:dyDescent="0.15"/>
    <row r="567" ht="14" customHeight="1" x14ac:dyDescent="0.15"/>
    <row r="568" ht="14" customHeight="1" x14ac:dyDescent="0.15"/>
    <row r="569" ht="14" customHeight="1" x14ac:dyDescent="0.15"/>
    <row r="570" ht="14" customHeight="1" x14ac:dyDescent="0.15"/>
    <row r="571" ht="14" customHeight="1" x14ac:dyDescent="0.15"/>
    <row r="572" ht="14" customHeight="1" x14ac:dyDescent="0.15"/>
    <row r="573" ht="14" customHeight="1" x14ac:dyDescent="0.15"/>
    <row r="574" ht="14" customHeight="1" x14ac:dyDescent="0.15"/>
    <row r="575" ht="14" customHeight="1" x14ac:dyDescent="0.15"/>
    <row r="576" ht="14" customHeight="1" x14ac:dyDescent="0.15"/>
    <row r="577" ht="14" customHeight="1" x14ac:dyDescent="0.15"/>
    <row r="578" ht="14" customHeight="1" x14ac:dyDescent="0.15"/>
    <row r="579" ht="14" customHeight="1" x14ac:dyDescent="0.15"/>
    <row r="580" ht="14" customHeight="1" x14ac:dyDescent="0.15"/>
    <row r="581" ht="14" customHeight="1" x14ac:dyDescent="0.15"/>
    <row r="582" ht="14" customHeight="1" x14ac:dyDescent="0.15"/>
    <row r="583" ht="14" customHeight="1" x14ac:dyDescent="0.15"/>
    <row r="584" ht="14" customHeight="1" x14ac:dyDescent="0.15"/>
    <row r="585" ht="14" customHeight="1" x14ac:dyDescent="0.15"/>
    <row r="586" ht="14" customHeight="1" x14ac:dyDescent="0.15"/>
    <row r="587" ht="14" customHeight="1" x14ac:dyDescent="0.15"/>
    <row r="588" ht="14" customHeight="1" x14ac:dyDescent="0.15"/>
    <row r="589" ht="14" customHeight="1" x14ac:dyDescent="0.15"/>
    <row r="590" ht="14" customHeight="1" x14ac:dyDescent="0.15"/>
    <row r="591" ht="14" customHeight="1" x14ac:dyDescent="0.15"/>
    <row r="592" ht="14" customHeight="1" x14ac:dyDescent="0.15"/>
    <row r="593" ht="14" customHeight="1" x14ac:dyDescent="0.15"/>
    <row r="594" ht="14" customHeight="1" x14ac:dyDescent="0.15"/>
    <row r="595" ht="14" customHeight="1" x14ac:dyDescent="0.15"/>
    <row r="596" ht="14" customHeight="1" x14ac:dyDescent="0.15"/>
    <row r="597" ht="14" customHeight="1" x14ac:dyDescent="0.15"/>
    <row r="598" ht="14" customHeight="1" x14ac:dyDescent="0.15"/>
    <row r="599" ht="14" customHeight="1" x14ac:dyDescent="0.15"/>
    <row r="600" ht="14" customHeight="1" x14ac:dyDescent="0.15"/>
    <row r="601" ht="14" customHeight="1" x14ac:dyDescent="0.15"/>
    <row r="602" ht="14" customHeight="1" x14ac:dyDescent="0.15"/>
    <row r="603" ht="14" customHeight="1" x14ac:dyDescent="0.15"/>
    <row r="604" ht="14" customHeight="1" x14ac:dyDescent="0.15"/>
    <row r="605" ht="14" customHeight="1" x14ac:dyDescent="0.15"/>
    <row r="606" ht="14" customHeight="1" x14ac:dyDescent="0.15"/>
    <row r="607" ht="14" customHeight="1" x14ac:dyDescent="0.15"/>
    <row r="608" ht="14" customHeight="1" x14ac:dyDescent="0.15"/>
    <row r="609" ht="14" customHeight="1" x14ac:dyDescent="0.15"/>
    <row r="610" ht="14" customHeight="1" x14ac:dyDescent="0.15"/>
    <row r="611" ht="14" customHeight="1" x14ac:dyDescent="0.15"/>
    <row r="612" ht="14" customHeight="1" x14ac:dyDescent="0.15"/>
    <row r="613" ht="14" customHeight="1" x14ac:dyDescent="0.15"/>
    <row r="614" ht="14" customHeight="1" x14ac:dyDescent="0.15"/>
    <row r="615" ht="14" customHeight="1" x14ac:dyDescent="0.15"/>
    <row r="616" ht="14" customHeight="1" x14ac:dyDescent="0.15"/>
    <row r="617" ht="14" customHeight="1" x14ac:dyDescent="0.15"/>
    <row r="618" ht="14" customHeight="1" x14ac:dyDescent="0.15"/>
    <row r="619" ht="14" customHeight="1" x14ac:dyDescent="0.15"/>
    <row r="620" ht="14" customHeight="1" x14ac:dyDescent="0.15"/>
    <row r="621" ht="14" customHeight="1" x14ac:dyDescent="0.15"/>
    <row r="622" ht="14" customHeight="1" x14ac:dyDescent="0.15"/>
    <row r="623" ht="14" customHeight="1" x14ac:dyDescent="0.15"/>
    <row r="624" ht="14" customHeight="1" x14ac:dyDescent="0.15"/>
    <row r="625" ht="14" customHeight="1" x14ac:dyDescent="0.15"/>
    <row r="626" ht="14" customHeight="1" x14ac:dyDescent="0.15"/>
    <row r="627" ht="14" customHeight="1" x14ac:dyDescent="0.15"/>
    <row r="628" ht="14" customHeight="1" x14ac:dyDescent="0.15"/>
    <row r="629" ht="14" customHeight="1" x14ac:dyDescent="0.15"/>
    <row r="630" ht="14" customHeight="1" x14ac:dyDescent="0.15"/>
    <row r="631" ht="14" customHeight="1" x14ac:dyDescent="0.15"/>
    <row r="632" ht="14" customHeight="1" x14ac:dyDescent="0.15"/>
    <row r="633" ht="14" customHeight="1" x14ac:dyDescent="0.15"/>
    <row r="634" ht="14" customHeight="1" x14ac:dyDescent="0.15"/>
    <row r="635" ht="14" customHeight="1" x14ac:dyDescent="0.15"/>
    <row r="636" ht="14" customHeight="1" x14ac:dyDescent="0.15"/>
    <row r="637" ht="14" customHeight="1" x14ac:dyDescent="0.15"/>
    <row r="638" ht="14" customHeight="1" x14ac:dyDescent="0.15"/>
    <row r="639" ht="14" customHeight="1" x14ac:dyDescent="0.15"/>
    <row r="640" ht="14" customHeight="1" x14ac:dyDescent="0.15"/>
    <row r="641" ht="14" customHeight="1" x14ac:dyDescent="0.15"/>
    <row r="642" ht="14" customHeight="1" x14ac:dyDescent="0.15"/>
    <row r="643" ht="14" customHeight="1" x14ac:dyDescent="0.15"/>
    <row r="644" ht="14" customHeight="1" x14ac:dyDescent="0.15"/>
    <row r="645" ht="14" customHeight="1" x14ac:dyDescent="0.15"/>
    <row r="646" ht="14" customHeight="1" x14ac:dyDescent="0.15"/>
    <row r="647" ht="14" customHeight="1" x14ac:dyDescent="0.15"/>
    <row r="648" ht="14" customHeight="1" x14ac:dyDescent="0.15"/>
    <row r="649" ht="14" customHeight="1" x14ac:dyDescent="0.15"/>
    <row r="650" ht="14" customHeight="1" x14ac:dyDescent="0.15"/>
    <row r="651" ht="14" customHeight="1" x14ac:dyDescent="0.15"/>
    <row r="652" ht="14" customHeight="1" x14ac:dyDescent="0.15"/>
    <row r="653" ht="14" customHeight="1" x14ac:dyDescent="0.15"/>
    <row r="654" ht="14" customHeight="1" x14ac:dyDescent="0.15"/>
    <row r="655" ht="14" customHeight="1" x14ac:dyDescent="0.15"/>
    <row r="656" ht="14" customHeight="1" x14ac:dyDescent="0.15"/>
    <row r="657" ht="14" customHeight="1" x14ac:dyDescent="0.15"/>
    <row r="658" ht="14" customHeight="1" x14ac:dyDescent="0.15"/>
    <row r="659" ht="14" customHeight="1" x14ac:dyDescent="0.15"/>
    <row r="660" ht="14" customHeight="1" x14ac:dyDescent="0.15"/>
    <row r="661" ht="14" customHeight="1" x14ac:dyDescent="0.15"/>
    <row r="662" ht="14" customHeight="1" x14ac:dyDescent="0.15"/>
    <row r="663" ht="14" customHeight="1" x14ac:dyDescent="0.15"/>
    <row r="664" ht="14" customHeight="1" x14ac:dyDescent="0.15"/>
    <row r="665" ht="14" customHeight="1" x14ac:dyDescent="0.15"/>
    <row r="666" ht="14" customHeight="1" x14ac:dyDescent="0.15"/>
    <row r="667" ht="14" customHeight="1" x14ac:dyDescent="0.15"/>
    <row r="668" ht="14" customHeight="1" x14ac:dyDescent="0.15"/>
    <row r="669" ht="14" customHeight="1" x14ac:dyDescent="0.15"/>
    <row r="670" ht="14" customHeight="1" x14ac:dyDescent="0.15"/>
    <row r="671" ht="14" customHeight="1" x14ac:dyDescent="0.15"/>
    <row r="672" ht="14" customHeight="1" x14ac:dyDescent="0.15"/>
    <row r="673" ht="14" customHeight="1" x14ac:dyDescent="0.15"/>
    <row r="674" ht="14" customHeight="1" x14ac:dyDescent="0.15"/>
    <row r="675" ht="14" customHeight="1" x14ac:dyDescent="0.15"/>
    <row r="676" ht="14" customHeight="1" x14ac:dyDescent="0.15"/>
    <row r="677" ht="14" customHeight="1" x14ac:dyDescent="0.15"/>
    <row r="678" ht="14" customHeight="1" x14ac:dyDescent="0.15"/>
    <row r="679" ht="14" customHeight="1" x14ac:dyDescent="0.15"/>
    <row r="680" ht="14" customHeight="1" x14ac:dyDescent="0.15"/>
    <row r="681" ht="14" customHeight="1" x14ac:dyDescent="0.15"/>
    <row r="682" ht="14" customHeight="1" x14ac:dyDescent="0.15"/>
    <row r="683" ht="14" customHeight="1" x14ac:dyDescent="0.15"/>
    <row r="684" ht="14" customHeight="1" x14ac:dyDescent="0.15"/>
    <row r="685" ht="14" customHeight="1" x14ac:dyDescent="0.15"/>
    <row r="686" ht="14" customHeight="1" x14ac:dyDescent="0.15"/>
    <row r="687" ht="14" customHeight="1" x14ac:dyDescent="0.15"/>
    <row r="688" ht="14" customHeight="1" x14ac:dyDescent="0.15"/>
    <row r="689" ht="14" customHeight="1" x14ac:dyDescent="0.15"/>
    <row r="690" ht="14" customHeight="1" x14ac:dyDescent="0.15"/>
    <row r="691" ht="14" customHeight="1" x14ac:dyDescent="0.15"/>
    <row r="692" ht="14" customHeight="1" x14ac:dyDescent="0.15"/>
    <row r="693" ht="14" customHeight="1" x14ac:dyDescent="0.15"/>
    <row r="694" ht="14" customHeight="1" x14ac:dyDescent="0.15"/>
    <row r="695" ht="14" customHeight="1" x14ac:dyDescent="0.15"/>
    <row r="696" ht="14" customHeight="1" x14ac:dyDescent="0.15"/>
    <row r="697" ht="14" customHeight="1" x14ac:dyDescent="0.15"/>
    <row r="698" ht="14" customHeight="1" x14ac:dyDescent="0.15"/>
    <row r="699" ht="14" customHeight="1" x14ac:dyDescent="0.15"/>
    <row r="700" ht="14" customHeight="1" x14ac:dyDescent="0.15"/>
    <row r="701" ht="14" customHeight="1" x14ac:dyDescent="0.15"/>
    <row r="702" ht="14" customHeight="1" x14ac:dyDescent="0.15"/>
    <row r="703" ht="14" customHeight="1" x14ac:dyDescent="0.15"/>
    <row r="704" ht="14" customHeight="1" x14ac:dyDescent="0.15"/>
    <row r="705" ht="14" customHeight="1" x14ac:dyDescent="0.15"/>
    <row r="706" ht="14" customHeight="1" x14ac:dyDescent="0.15"/>
    <row r="707" ht="14" customHeight="1" x14ac:dyDescent="0.15"/>
    <row r="708" ht="14" customHeight="1" x14ac:dyDescent="0.15"/>
    <row r="709" ht="14" customHeight="1" x14ac:dyDescent="0.15"/>
    <row r="710" ht="14" customHeight="1" x14ac:dyDescent="0.15"/>
    <row r="711" ht="14" customHeight="1" x14ac:dyDescent="0.15"/>
    <row r="712" ht="14" customHeight="1" x14ac:dyDescent="0.15"/>
    <row r="713" ht="14" customHeight="1" x14ac:dyDescent="0.15"/>
    <row r="714" ht="14" customHeight="1" x14ac:dyDescent="0.15"/>
    <row r="715" ht="14" customHeight="1" x14ac:dyDescent="0.15"/>
    <row r="716" ht="14" customHeight="1" x14ac:dyDescent="0.15"/>
    <row r="717" ht="14" customHeight="1" x14ac:dyDescent="0.15"/>
    <row r="718" ht="14" customHeight="1" x14ac:dyDescent="0.15"/>
    <row r="719" ht="14" customHeight="1" x14ac:dyDescent="0.15"/>
    <row r="720" ht="14" customHeight="1" x14ac:dyDescent="0.15"/>
    <row r="721" ht="14" customHeight="1" x14ac:dyDescent="0.15"/>
    <row r="722" ht="14" customHeight="1" x14ac:dyDescent="0.15"/>
    <row r="723" ht="14" customHeight="1" x14ac:dyDescent="0.15"/>
    <row r="724" ht="14" customHeight="1" x14ac:dyDescent="0.15"/>
    <row r="725" ht="14" customHeight="1" x14ac:dyDescent="0.15"/>
    <row r="726" ht="14" customHeight="1" x14ac:dyDescent="0.15"/>
    <row r="727" ht="14" customHeight="1" x14ac:dyDescent="0.15"/>
    <row r="728" ht="14" customHeight="1" x14ac:dyDescent="0.15"/>
    <row r="729" ht="14" customHeight="1" x14ac:dyDescent="0.15"/>
    <row r="730" ht="14" customHeight="1" x14ac:dyDescent="0.15"/>
    <row r="731" ht="14" customHeight="1" x14ac:dyDescent="0.15"/>
    <row r="732" ht="14" customHeight="1" x14ac:dyDescent="0.15"/>
    <row r="733" ht="14" customHeight="1" x14ac:dyDescent="0.15"/>
    <row r="734" ht="14" customHeight="1" x14ac:dyDescent="0.15"/>
    <row r="735" ht="14" customHeight="1" x14ac:dyDescent="0.15"/>
    <row r="736" ht="14" customHeight="1" x14ac:dyDescent="0.15"/>
    <row r="737" ht="14" customHeight="1" x14ac:dyDescent="0.15"/>
    <row r="738" ht="14" customHeight="1" x14ac:dyDescent="0.15"/>
    <row r="739" ht="14" customHeight="1" x14ac:dyDescent="0.15"/>
    <row r="740" ht="14" customHeight="1" x14ac:dyDescent="0.15"/>
    <row r="741" ht="14" customHeight="1" x14ac:dyDescent="0.15"/>
    <row r="742" ht="14" customHeight="1" x14ac:dyDescent="0.15"/>
    <row r="743" ht="14" customHeight="1" x14ac:dyDescent="0.15"/>
    <row r="744" ht="14" customHeight="1" x14ac:dyDescent="0.15"/>
    <row r="745" ht="14" customHeight="1" x14ac:dyDescent="0.15"/>
    <row r="746" ht="14" customHeight="1" x14ac:dyDescent="0.15"/>
    <row r="747" ht="14" customHeight="1" x14ac:dyDescent="0.15"/>
    <row r="748" ht="14" customHeight="1" x14ac:dyDescent="0.15"/>
    <row r="749" ht="14" customHeight="1" x14ac:dyDescent="0.15"/>
    <row r="750" ht="14" customHeight="1" x14ac:dyDescent="0.15"/>
    <row r="751" ht="14" customHeight="1" x14ac:dyDescent="0.15"/>
    <row r="752" ht="14" customHeight="1" x14ac:dyDescent="0.15"/>
    <row r="753" ht="14" customHeight="1" x14ac:dyDescent="0.15"/>
    <row r="754" ht="14" customHeight="1" x14ac:dyDescent="0.15"/>
    <row r="755" ht="14" customHeight="1" x14ac:dyDescent="0.15"/>
    <row r="756" ht="14" customHeight="1" x14ac:dyDescent="0.15"/>
    <row r="757" ht="14" customHeight="1" x14ac:dyDescent="0.15"/>
    <row r="758" ht="14" customHeight="1" x14ac:dyDescent="0.15"/>
    <row r="759" ht="14" customHeight="1" x14ac:dyDescent="0.15"/>
    <row r="760" ht="14" customHeight="1" x14ac:dyDescent="0.15"/>
    <row r="761" ht="14" customHeight="1" x14ac:dyDescent="0.15"/>
    <row r="762" ht="14" customHeight="1" x14ac:dyDescent="0.15"/>
    <row r="763" ht="14" customHeight="1" x14ac:dyDescent="0.15"/>
    <row r="764" ht="14" customHeight="1" x14ac:dyDescent="0.15"/>
    <row r="765" ht="14" customHeight="1" x14ac:dyDescent="0.15"/>
    <row r="766" ht="14" customHeight="1" x14ac:dyDescent="0.15"/>
    <row r="767" ht="14" customHeight="1" x14ac:dyDescent="0.15"/>
    <row r="768" ht="14" customHeight="1" x14ac:dyDescent="0.15"/>
    <row r="769" ht="14" customHeight="1" x14ac:dyDescent="0.15"/>
    <row r="770" ht="14" customHeight="1" x14ac:dyDescent="0.15"/>
    <row r="771" ht="14" customHeight="1" x14ac:dyDescent="0.15"/>
    <row r="772" ht="14" customHeight="1" x14ac:dyDescent="0.15"/>
    <row r="773" ht="14" customHeight="1" x14ac:dyDescent="0.15"/>
    <row r="774" ht="14" customHeight="1" x14ac:dyDescent="0.15"/>
    <row r="775" ht="14" customHeight="1" x14ac:dyDescent="0.15"/>
    <row r="776" ht="14" customHeight="1" x14ac:dyDescent="0.15"/>
    <row r="777" ht="14" customHeight="1" x14ac:dyDescent="0.15"/>
    <row r="778" ht="14" customHeight="1" x14ac:dyDescent="0.15"/>
    <row r="779" ht="14" customHeight="1" x14ac:dyDescent="0.15"/>
    <row r="780" ht="14" customHeight="1" x14ac:dyDescent="0.15"/>
    <row r="781" ht="14" customHeight="1" x14ac:dyDescent="0.15"/>
    <row r="782" ht="14" customHeight="1" x14ac:dyDescent="0.15"/>
    <row r="783" ht="14" customHeight="1" x14ac:dyDescent="0.15"/>
    <row r="784" ht="14" customHeight="1" x14ac:dyDescent="0.15"/>
    <row r="785" ht="14" customHeight="1" x14ac:dyDescent="0.15"/>
    <row r="786" ht="14" customHeight="1" x14ac:dyDescent="0.15"/>
    <row r="787" ht="14" customHeight="1" x14ac:dyDescent="0.15"/>
    <row r="788" ht="14" customHeight="1" x14ac:dyDescent="0.15"/>
    <row r="789" ht="14" customHeight="1" x14ac:dyDescent="0.15"/>
    <row r="790" ht="14" customHeight="1" x14ac:dyDescent="0.15"/>
    <row r="791" ht="14" customHeight="1" x14ac:dyDescent="0.15"/>
    <row r="792" ht="14" customHeight="1" x14ac:dyDescent="0.15"/>
    <row r="793" ht="14" customHeight="1" x14ac:dyDescent="0.15"/>
    <row r="794" ht="14" customHeight="1" x14ac:dyDescent="0.15"/>
    <row r="795" ht="14" customHeight="1" x14ac:dyDescent="0.15"/>
    <row r="796" ht="14" customHeight="1" x14ac:dyDescent="0.15"/>
    <row r="797" ht="14" customHeight="1" x14ac:dyDescent="0.15"/>
    <row r="798" ht="14" customHeight="1" x14ac:dyDescent="0.15"/>
    <row r="799" ht="14" customHeight="1" x14ac:dyDescent="0.15"/>
    <row r="800" ht="14" customHeight="1" x14ac:dyDescent="0.15"/>
    <row r="801" ht="14" customHeight="1" x14ac:dyDescent="0.15"/>
    <row r="802" ht="14" customHeight="1" x14ac:dyDescent="0.15"/>
    <row r="803" ht="14" customHeight="1" x14ac:dyDescent="0.15"/>
    <row r="804" ht="14" customHeight="1" x14ac:dyDescent="0.15"/>
    <row r="805" ht="14" customHeight="1" x14ac:dyDescent="0.15"/>
    <row r="806" ht="14" customHeight="1" x14ac:dyDescent="0.15"/>
    <row r="807" ht="14" customHeight="1" x14ac:dyDescent="0.15"/>
    <row r="808" ht="14" customHeight="1" x14ac:dyDescent="0.15"/>
    <row r="809" ht="14" customHeight="1" x14ac:dyDescent="0.15"/>
    <row r="810" ht="14" customHeight="1" x14ac:dyDescent="0.15"/>
    <row r="811" ht="14" customHeight="1" x14ac:dyDescent="0.15"/>
    <row r="812" ht="14" customHeight="1" x14ac:dyDescent="0.15"/>
    <row r="813" ht="14" customHeight="1" x14ac:dyDescent="0.15"/>
    <row r="814" ht="14" customHeight="1" x14ac:dyDescent="0.15"/>
    <row r="815" ht="14" customHeight="1" x14ac:dyDescent="0.15"/>
    <row r="816" ht="14" customHeight="1" x14ac:dyDescent="0.15"/>
    <row r="817" ht="14" customHeight="1" x14ac:dyDescent="0.15"/>
    <row r="818" ht="14" customHeight="1" x14ac:dyDescent="0.15"/>
    <row r="819" ht="14" customHeight="1" x14ac:dyDescent="0.15"/>
    <row r="820" ht="14" customHeight="1" x14ac:dyDescent="0.15"/>
    <row r="821" ht="14" customHeight="1" x14ac:dyDescent="0.15"/>
    <row r="822" ht="14" customHeight="1" x14ac:dyDescent="0.15"/>
    <row r="823" ht="14" customHeight="1" x14ac:dyDescent="0.15"/>
    <row r="824" ht="14" customHeight="1" x14ac:dyDescent="0.15"/>
    <row r="825" ht="14" customHeight="1" x14ac:dyDescent="0.15"/>
    <row r="826" ht="14" customHeight="1" x14ac:dyDescent="0.15"/>
    <row r="827" ht="14" customHeight="1" x14ac:dyDescent="0.15"/>
    <row r="828" ht="14" customHeight="1" x14ac:dyDescent="0.15"/>
    <row r="829" ht="14" customHeight="1" x14ac:dyDescent="0.15"/>
    <row r="830" ht="14" customHeight="1" x14ac:dyDescent="0.15"/>
    <row r="831" ht="14" customHeight="1" x14ac:dyDescent="0.15"/>
    <row r="832" ht="14" customHeight="1" x14ac:dyDescent="0.15"/>
    <row r="833" ht="14" customHeight="1" x14ac:dyDescent="0.15"/>
    <row r="834" ht="14" customHeight="1" x14ac:dyDescent="0.15"/>
    <row r="835" ht="14" customHeight="1" x14ac:dyDescent="0.15"/>
    <row r="836" ht="14" customHeight="1" x14ac:dyDescent="0.15"/>
    <row r="837" ht="14" customHeight="1" x14ac:dyDescent="0.15"/>
    <row r="838" ht="14" customHeight="1" x14ac:dyDescent="0.15"/>
    <row r="839" ht="14" customHeight="1" x14ac:dyDescent="0.15"/>
    <row r="840" ht="14" customHeight="1" x14ac:dyDescent="0.15"/>
    <row r="841" ht="14" customHeight="1" x14ac:dyDescent="0.15"/>
    <row r="842" ht="14" customHeight="1" x14ac:dyDescent="0.15"/>
    <row r="843" ht="14" customHeight="1" x14ac:dyDescent="0.15"/>
    <row r="844" ht="14" customHeight="1" x14ac:dyDescent="0.15"/>
    <row r="845" ht="14" customHeight="1" x14ac:dyDescent="0.15"/>
    <row r="846" ht="14" customHeight="1" x14ac:dyDescent="0.15"/>
    <row r="847" ht="14" customHeight="1" x14ac:dyDescent="0.15"/>
    <row r="848" ht="14" customHeight="1" x14ac:dyDescent="0.15"/>
    <row r="849" ht="14" customHeight="1" x14ac:dyDescent="0.15"/>
    <row r="850" ht="14" customHeight="1" x14ac:dyDescent="0.15"/>
    <row r="851" ht="14" customHeight="1" x14ac:dyDescent="0.15"/>
    <row r="852" ht="14" customHeight="1" x14ac:dyDescent="0.15"/>
    <row r="853" ht="14" customHeight="1" x14ac:dyDescent="0.15"/>
    <row r="854" ht="14" customHeight="1" x14ac:dyDescent="0.15"/>
    <row r="855" ht="14" customHeight="1" x14ac:dyDescent="0.15"/>
    <row r="856" ht="14" customHeight="1" x14ac:dyDescent="0.15"/>
    <row r="857" ht="14" customHeight="1" x14ac:dyDescent="0.15"/>
    <row r="858" ht="14" customHeight="1" x14ac:dyDescent="0.15"/>
    <row r="859" ht="14" customHeight="1" x14ac:dyDescent="0.15"/>
    <row r="860" ht="14" customHeight="1" x14ac:dyDescent="0.15"/>
    <row r="861" ht="14" customHeight="1" x14ac:dyDescent="0.15"/>
    <row r="862" ht="14" customHeight="1" x14ac:dyDescent="0.15"/>
    <row r="863" ht="14" customHeight="1" x14ac:dyDescent="0.15"/>
    <row r="864" ht="14" customHeight="1" x14ac:dyDescent="0.15"/>
    <row r="865" ht="14" customHeight="1" x14ac:dyDescent="0.15"/>
    <row r="866" ht="14" customHeight="1" x14ac:dyDescent="0.15"/>
    <row r="867" ht="14" customHeight="1" x14ac:dyDescent="0.15"/>
    <row r="868" ht="14" customHeight="1" x14ac:dyDescent="0.15"/>
    <row r="869" ht="14" customHeight="1" x14ac:dyDescent="0.15"/>
    <row r="870" ht="14" customHeight="1" x14ac:dyDescent="0.15"/>
    <row r="871" ht="14" customHeight="1" x14ac:dyDescent="0.15"/>
    <row r="872" ht="14" customHeight="1" x14ac:dyDescent="0.15"/>
    <row r="873" ht="14" customHeight="1" x14ac:dyDescent="0.15"/>
    <row r="874" ht="14" customHeight="1" x14ac:dyDescent="0.15"/>
    <row r="875" ht="14" customHeight="1" x14ac:dyDescent="0.15"/>
    <row r="876" ht="14" customHeight="1" x14ac:dyDescent="0.15"/>
    <row r="877" ht="14" customHeight="1" x14ac:dyDescent="0.15"/>
    <row r="878" ht="14" customHeight="1" x14ac:dyDescent="0.15"/>
    <row r="879" ht="14" customHeight="1" x14ac:dyDescent="0.15"/>
    <row r="880" ht="14" customHeight="1" x14ac:dyDescent="0.15"/>
    <row r="881" ht="14" customHeight="1" x14ac:dyDescent="0.15"/>
    <row r="882" ht="14" customHeight="1" x14ac:dyDescent="0.15"/>
    <row r="883" ht="14" customHeight="1" x14ac:dyDescent="0.15"/>
    <row r="884" ht="14" customHeight="1" x14ac:dyDescent="0.15"/>
    <row r="885" ht="14" customHeight="1" x14ac:dyDescent="0.15"/>
    <row r="886" ht="14" customHeight="1" x14ac:dyDescent="0.15"/>
    <row r="887" ht="14" customHeight="1" x14ac:dyDescent="0.15"/>
    <row r="888" ht="14" customHeight="1" x14ac:dyDescent="0.15"/>
    <row r="889" ht="14" customHeight="1" x14ac:dyDescent="0.15"/>
    <row r="890" ht="14" customHeight="1" x14ac:dyDescent="0.15"/>
    <row r="891" ht="14" customHeight="1" x14ac:dyDescent="0.15"/>
    <row r="892" ht="14" customHeight="1" x14ac:dyDescent="0.15"/>
    <row r="893" ht="14" customHeight="1" x14ac:dyDescent="0.15"/>
    <row r="894" ht="14" customHeight="1" x14ac:dyDescent="0.15"/>
    <row r="895" ht="14" customHeight="1" x14ac:dyDescent="0.15"/>
    <row r="896" ht="14" customHeight="1" x14ac:dyDescent="0.15"/>
    <row r="897" ht="14" customHeight="1" x14ac:dyDescent="0.15"/>
    <row r="898" ht="14" customHeight="1" x14ac:dyDescent="0.15"/>
    <row r="899" ht="14" customHeight="1" x14ac:dyDescent="0.15"/>
    <row r="900" ht="14" customHeight="1" x14ac:dyDescent="0.15"/>
    <row r="901" ht="14" customHeight="1" x14ac:dyDescent="0.15"/>
    <row r="902" ht="14" customHeight="1" x14ac:dyDescent="0.15"/>
    <row r="903" ht="14" customHeight="1" x14ac:dyDescent="0.15"/>
    <row r="904" ht="14" customHeight="1" x14ac:dyDescent="0.15"/>
    <row r="905" ht="14" customHeight="1" x14ac:dyDescent="0.15"/>
    <row r="906" ht="14" customHeight="1" x14ac:dyDescent="0.15"/>
    <row r="907" ht="14" customHeight="1" x14ac:dyDescent="0.15"/>
    <row r="908" ht="14" customHeight="1" x14ac:dyDescent="0.15"/>
    <row r="909" ht="14" customHeight="1" x14ac:dyDescent="0.15"/>
    <row r="910" ht="14" customHeight="1" x14ac:dyDescent="0.15"/>
    <row r="911" ht="14" customHeight="1" x14ac:dyDescent="0.15"/>
    <row r="912" ht="14" customHeight="1" x14ac:dyDescent="0.15"/>
    <row r="913" ht="14" customHeight="1" x14ac:dyDescent="0.15"/>
    <row r="914" ht="14" customHeight="1" x14ac:dyDescent="0.15"/>
    <row r="915" ht="14" customHeight="1" x14ac:dyDescent="0.15"/>
    <row r="916" ht="14" customHeight="1" x14ac:dyDescent="0.15"/>
    <row r="917" ht="14" customHeight="1" x14ac:dyDescent="0.15"/>
    <row r="918" ht="14" customHeight="1" x14ac:dyDescent="0.15"/>
    <row r="919" ht="14" customHeight="1" x14ac:dyDescent="0.15"/>
    <row r="920" ht="14" customHeight="1" x14ac:dyDescent="0.15"/>
    <row r="921" ht="14" customHeight="1" x14ac:dyDescent="0.15"/>
    <row r="922" ht="14" customHeight="1" x14ac:dyDescent="0.15"/>
    <row r="923" ht="14" customHeight="1" x14ac:dyDescent="0.15"/>
    <row r="924" ht="14" customHeight="1" x14ac:dyDescent="0.15"/>
    <row r="925" ht="14" customHeight="1" x14ac:dyDescent="0.15"/>
    <row r="926" ht="14" customHeight="1" x14ac:dyDescent="0.15"/>
    <row r="927" ht="14" customHeight="1" x14ac:dyDescent="0.15"/>
    <row r="928" ht="14" customHeight="1" x14ac:dyDescent="0.15"/>
    <row r="929" ht="14" customHeight="1" x14ac:dyDescent="0.15"/>
    <row r="930" ht="14" customHeight="1" x14ac:dyDescent="0.15"/>
    <row r="931" ht="14" customHeight="1" x14ac:dyDescent="0.15"/>
    <row r="932" ht="14" customHeight="1" x14ac:dyDescent="0.15"/>
    <row r="933" ht="14" customHeight="1" x14ac:dyDescent="0.15"/>
    <row r="934" ht="14" customHeight="1" x14ac:dyDescent="0.15"/>
    <row r="935" ht="14" customHeight="1" x14ac:dyDescent="0.15"/>
    <row r="936" ht="14" customHeight="1" x14ac:dyDescent="0.15"/>
    <row r="937" ht="14" customHeight="1" x14ac:dyDescent="0.15"/>
    <row r="938" ht="14" customHeight="1" x14ac:dyDescent="0.15"/>
    <row r="939" ht="14" customHeight="1" x14ac:dyDescent="0.15"/>
    <row r="940" ht="14" customHeight="1" x14ac:dyDescent="0.15"/>
    <row r="941" ht="14" customHeight="1" x14ac:dyDescent="0.15"/>
    <row r="942" ht="14" customHeight="1" x14ac:dyDescent="0.15"/>
    <row r="943" ht="14" customHeight="1" x14ac:dyDescent="0.15"/>
    <row r="944" ht="14" customHeight="1" x14ac:dyDescent="0.15"/>
    <row r="945" ht="14" customHeight="1" x14ac:dyDescent="0.15"/>
    <row r="946" ht="14" customHeight="1" x14ac:dyDescent="0.15"/>
    <row r="947" ht="14" customHeight="1" x14ac:dyDescent="0.15"/>
    <row r="948" ht="14" customHeight="1" x14ac:dyDescent="0.15"/>
    <row r="949" ht="14" customHeight="1" x14ac:dyDescent="0.15"/>
    <row r="950" ht="14" customHeight="1" x14ac:dyDescent="0.15"/>
    <row r="951" ht="14" customHeight="1" x14ac:dyDescent="0.15"/>
    <row r="952" ht="14" customHeight="1" x14ac:dyDescent="0.15"/>
    <row r="953" ht="14" customHeight="1" x14ac:dyDescent="0.15"/>
    <row r="954" ht="14" customHeight="1" x14ac:dyDescent="0.15"/>
    <row r="955" ht="14" customHeight="1" x14ac:dyDescent="0.15"/>
    <row r="956" ht="14" customHeight="1" x14ac:dyDescent="0.15"/>
    <row r="957" ht="14" customHeight="1" x14ac:dyDescent="0.15"/>
    <row r="958" ht="14" customHeight="1" x14ac:dyDescent="0.15"/>
    <row r="959" ht="14" customHeight="1" x14ac:dyDescent="0.15"/>
    <row r="960" ht="14" customHeight="1" x14ac:dyDescent="0.15"/>
    <row r="961" ht="14" customHeight="1" x14ac:dyDescent="0.15"/>
    <row r="962" ht="14" customHeight="1" x14ac:dyDescent="0.15"/>
    <row r="963" ht="14" customHeight="1" x14ac:dyDescent="0.15"/>
    <row r="964" ht="14" customHeight="1" x14ac:dyDescent="0.15"/>
    <row r="965" ht="14" customHeight="1" x14ac:dyDescent="0.15"/>
    <row r="966" ht="14" customHeight="1" x14ac:dyDescent="0.15"/>
    <row r="967" ht="14" customHeight="1" x14ac:dyDescent="0.15"/>
    <row r="968" ht="14" customHeight="1" x14ac:dyDescent="0.15"/>
    <row r="969" ht="14" customHeight="1" x14ac:dyDescent="0.15"/>
    <row r="970" ht="14" customHeight="1" x14ac:dyDescent="0.15"/>
    <row r="971" ht="14" customHeight="1" x14ac:dyDescent="0.15"/>
    <row r="972" ht="14" customHeight="1" x14ac:dyDescent="0.15"/>
    <row r="973" ht="14" customHeight="1" x14ac:dyDescent="0.15"/>
    <row r="974" ht="14" customHeight="1" x14ac:dyDescent="0.15"/>
    <row r="975" ht="14" customHeight="1" x14ac:dyDescent="0.15"/>
    <row r="976" ht="14" customHeight="1" x14ac:dyDescent="0.15"/>
    <row r="977" ht="14" customHeight="1" x14ac:dyDescent="0.15"/>
    <row r="978" ht="14" customHeight="1" x14ac:dyDescent="0.15"/>
    <row r="979" ht="14" customHeight="1" x14ac:dyDescent="0.15"/>
    <row r="980" ht="14" customHeight="1" x14ac:dyDescent="0.15"/>
    <row r="981" ht="14" customHeight="1" x14ac:dyDescent="0.15"/>
    <row r="982" ht="14" customHeight="1" x14ac:dyDescent="0.15"/>
    <row r="983" ht="14" customHeight="1" x14ac:dyDescent="0.15"/>
    <row r="984" ht="14" customHeight="1" x14ac:dyDescent="0.15"/>
    <row r="985" ht="14" customHeight="1" x14ac:dyDescent="0.15"/>
    <row r="986" ht="14" customHeight="1" x14ac:dyDescent="0.15"/>
    <row r="987" ht="14" customHeight="1" x14ac:dyDescent="0.15"/>
    <row r="988" ht="14" customHeight="1" x14ac:dyDescent="0.15"/>
    <row r="989" ht="14" customHeight="1" x14ac:dyDescent="0.15"/>
    <row r="990" ht="14" customHeight="1" x14ac:dyDescent="0.15"/>
    <row r="991" ht="14" customHeight="1" x14ac:dyDescent="0.15"/>
    <row r="992" ht="14" customHeight="1" x14ac:dyDescent="0.15"/>
    <row r="993" ht="14" customHeight="1" x14ac:dyDescent="0.15"/>
    <row r="994" ht="14" customHeight="1" x14ac:dyDescent="0.15"/>
    <row r="995" ht="14" customHeight="1" x14ac:dyDescent="0.15"/>
    <row r="996" ht="14" customHeight="1" x14ac:dyDescent="0.15"/>
    <row r="997" ht="14" customHeight="1" x14ac:dyDescent="0.15"/>
    <row r="998" ht="14" customHeight="1" x14ac:dyDescent="0.15"/>
    <row r="999" ht="14" customHeight="1" x14ac:dyDescent="0.15"/>
    <row r="1000" ht="14" customHeight="1" x14ac:dyDescent="0.15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I1000"/>
  <sheetViews>
    <sheetView workbookViewId="0">
      <selection activeCell="A4" sqref="A4"/>
    </sheetView>
  </sheetViews>
  <sheetFormatPr baseColWidth="10" defaultColWidth="8.83203125" defaultRowHeight="15" customHeight="1" x14ac:dyDescent="0.15"/>
  <cols>
    <col min="1" max="1" width="39.83203125" style="48" customWidth="1"/>
    <col min="2" max="2" width="17.83203125" style="30" customWidth="1"/>
    <col min="3" max="3" width="9.5" style="48" customWidth="1"/>
    <col min="4" max="35" width="9.5" style="48" bestFit="1" customWidth="1"/>
    <col min="36" max="43" width="8.83203125" style="48" customWidth="1"/>
    <col min="44" max="16384" width="8.83203125" style="48"/>
  </cols>
  <sheetData>
    <row r="1" spans="1:35" ht="14.5" customHeight="1" x14ac:dyDescent="0.2">
      <c r="A1" s="28" t="s">
        <v>177</v>
      </c>
      <c r="B1" s="29">
        <v>2020</v>
      </c>
      <c r="C1" s="29">
        <v>2021</v>
      </c>
      <c r="D1" s="29">
        <v>2022</v>
      </c>
      <c r="E1" s="29">
        <v>2023</v>
      </c>
      <c r="F1" s="29">
        <v>2024</v>
      </c>
      <c r="G1" s="29">
        <v>2025</v>
      </c>
      <c r="H1" s="29">
        <v>2026</v>
      </c>
      <c r="I1" s="29">
        <v>2027</v>
      </c>
      <c r="J1" s="29">
        <v>2028</v>
      </c>
      <c r="K1" s="29">
        <v>2029</v>
      </c>
      <c r="L1" s="29">
        <v>2030</v>
      </c>
      <c r="M1" s="29">
        <v>2031</v>
      </c>
      <c r="N1" s="29">
        <v>2032</v>
      </c>
      <c r="O1" s="29">
        <v>2033</v>
      </c>
      <c r="P1" s="29">
        <v>2034</v>
      </c>
      <c r="Q1" s="29">
        <v>2035</v>
      </c>
      <c r="R1" s="29">
        <v>2036</v>
      </c>
      <c r="S1" s="29">
        <v>2037</v>
      </c>
      <c r="T1" s="29">
        <v>2038</v>
      </c>
      <c r="U1" s="29">
        <v>2039</v>
      </c>
      <c r="V1" s="29">
        <v>2040</v>
      </c>
      <c r="W1" s="29">
        <v>2041</v>
      </c>
      <c r="X1" s="29">
        <v>2042</v>
      </c>
      <c r="Y1" s="29">
        <v>2043</v>
      </c>
      <c r="Z1" s="29">
        <v>2044</v>
      </c>
      <c r="AA1" s="29">
        <v>2045</v>
      </c>
      <c r="AB1" s="29">
        <v>2046</v>
      </c>
      <c r="AC1" s="29">
        <v>2047</v>
      </c>
      <c r="AD1" s="29">
        <v>2048</v>
      </c>
      <c r="AE1" s="29">
        <v>2049</v>
      </c>
      <c r="AF1" s="29">
        <v>2050</v>
      </c>
      <c r="AH1" s="29"/>
      <c r="AI1" s="29"/>
    </row>
    <row r="2" spans="1:35" ht="14" customHeight="1" x14ac:dyDescent="0.15">
      <c r="A2" s="48" t="s">
        <v>178</v>
      </c>
      <c r="B2">
        <v>0</v>
      </c>
      <c r="C2" s="57">
        <v>0</v>
      </c>
      <c r="D2" s="57">
        <v>0</v>
      </c>
      <c r="E2" s="57">
        <v>0</v>
      </c>
      <c r="F2" s="57">
        <v>0</v>
      </c>
      <c r="G2" s="57">
        <v>0</v>
      </c>
      <c r="H2" s="57">
        <v>0</v>
      </c>
      <c r="I2" s="57">
        <v>0</v>
      </c>
      <c r="J2" s="57">
        <v>0</v>
      </c>
      <c r="K2" s="57">
        <v>0</v>
      </c>
      <c r="L2" s="57">
        <v>0</v>
      </c>
      <c r="M2" s="57">
        <v>0</v>
      </c>
      <c r="N2" s="57">
        <v>0</v>
      </c>
      <c r="O2" s="57">
        <v>0</v>
      </c>
      <c r="P2" s="57">
        <v>0</v>
      </c>
      <c r="Q2" s="57">
        <v>0</v>
      </c>
      <c r="R2" s="57">
        <v>0</v>
      </c>
      <c r="S2" s="57">
        <v>0</v>
      </c>
      <c r="T2" s="57">
        <v>0</v>
      </c>
      <c r="U2" s="57">
        <v>0</v>
      </c>
      <c r="V2" s="57">
        <v>0</v>
      </c>
      <c r="W2" s="57">
        <v>0</v>
      </c>
      <c r="X2" s="57">
        <v>0</v>
      </c>
      <c r="Y2" s="57">
        <v>0</v>
      </c>
      <c r="Z2" s="57">
        <v>0</v>
      </c>
      <c r="AA2" s="57">
        <v>0</v>
      </c>
      <c r="AB2" s="57">
        <v>0</v>
      </c>
      <c r="AC2" s="57">
        <v>0</v>
      </c>
      <c r="AD2" s="57">
        <v>0</v>
      </c>
      <c r="AE2" s="57">
        <v>0</v>
      </c>
      <c r="AF2" s="57">
        <v>0</v>
      </c>
      <c r="AG2" s="57"/>
    </row>
    <row r="3" spans="1:35" ht="14" customHeight="1" x14ac:dyDescent="0.15">
      <c r="A3" s="48" t="s">
        <v>179</v>
      </c>
      <c r="B3">
        <v>610251033125.97266</v>
      </c>
      <c r="C3">
        <v>614819705713.82373</v>
      </c>
      <c r="D3">
        <v>619388378301.6748</v>
      </c>
      <c r="E3">
        <v>626452329164.07178</v>
      </c>
      <c r="F3">
        <v>631812276947.8512</v>
      </c>
      <c r="G3">
        <v>637177695573.37671</v>
      </c>
      <c r="H3">
        <v>640958484887.18188</v>
      </c>
      <c r="I3">
        <v>643731681922.4231</v>
      </c>
      <c r="J3">
        <v>647293035773.79736</v>
      </c>
      <c r="K3">
        <v>650335562348.19263</v>
      </c>
      <c r="L3">
        <v>652930902318.27209</v>
      </c>
      <c r="M3">
        <v>654747659445.27405</v>
      </c>
      <c r="N3">
        <v>655883734442.24207</v>
      </c>
      <c r="O3">
        <v>656711992528.37329</v>
      </c>
      <c r="P3">
        <v>656860553235.98523</v>
      </c>
      <c r="Q3">
        <v>656964061561.81897</v>
      </c>
      <c r="R3">
        <v>657031763228.42529</v>
      </c>
      <c r="S3">
        <v>657330580604.59021</v>
      </c>
      <c r="T3">
        <v>657847930754.29797</v>
      </c>
      <c r="U3">
        <v>658088620436.91187</v>
      </c>
      <c r="V3">
        <v>658523579709.92529</v>
      </c>
      <c r="W3">
        <v>659512489063.92688</v>
      </c>
      <c r="X3">
        <v>660349527851.06018</v>
      </c>
      <c r="Y3">
        <v>661064840409.34595</v>
      </c>
      <c r="Z3">
        <v>661344892798.32214</v>
      </c>
      <c r="AA3">
        <v>661512792931.50598</v>
      </c>
      <c r="AB3">
        <v>661641932150.91956</v>
      </c>
      <c r="AC3">
        <v>661454309633.24158</v>
      </c>
      <c r="AD3">
        <v>660848359201.45789</v>
      </c>
      <c r="AE3">
        <v>660825983458.7168</v>
      </c>
      <c r="AF3">
        <v>661684139694.98975</v>
      </c>
    </row>
    <row r="4" spans="1:35" ht="14" customHeight="1" x14ac:dyDescent="0.15">
      <c r="A4" s="48" t="s">
        <v>135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5" ht="14" customHeight="1" x14ac:dyDescent="0.15">
      <c r="A5" s="48" t="s">
        <v>180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5" ht="14" customHeight="1" x14ac:dyDescent="0.15">
      <c r="A6" s="48" t="s">
        <v>181</v>
      </c>
      <c r="B6">
        <v>56879681785.090843</v>
      </c>
      <c r="C6">
        <v>57119079985.976448</v>
      </c>
      <c r="D6">
        <v>57358478186.862061</v>
      </c>
      <c r="E6">
        <v>57716310035.998619</v>
      </c>
      <c r="F6">
        <v>58059296237.635757</v>
      </c>
      <c r="G6">
        <v>58395375645.743843</v>
      </c>
      <c r="H6">
        <v>58710044276.668213</v>
      </c>
      <c r="I6">
        <v>58996931160.040466</v>
      </c>
      <c r="J6">
        <v>59258013233.555359</v>
      </c>
      <c r="K6">
        <v>59476817116.031059</v>
      </c>
      <c r="L6">
        <v>59649617022.148216</v>
      </c>
      <c r="M6">
        <v>59778096294.32531</v>
      </c>
      <c r="N6">
        <v>59854635593.194366</v>
      </c>
      <c r="O6">
        <v>59877290498.03344</v>
      </c>
      <c r="P6">
        <v>59844852696.983307</v>
      </c>
      <c r="Q6">
        <v>59787584652.739182</v>
      </c>
      <c r="R6">
        <v>59735148913.410896</v>
      </c>
      <c r="S6">
        <v>59681814009.095337</v>
      </c>
      <c r="T6">
        <v>59629514935.30497</v>
      </c>
      <c r="U6">
        <v>59578912870.486893</v>
      </c>
      <c r="V6">
        <v>59530209042.864159</v>
      </c>
      <c r="W6">
        <v>59482562723.748451</v>
      </c>
      <c r="X6">
        <v>59437601646.822189</v>
      </c>
      <c r="Y6">
        <v>59393396000.438171</v>
      </c>
      <c r="Z6">
        <v>59350660686.73774</v>
      </c>
      <c r="AA6">
        <v>59308601160.559181</v>
      </c>
      <c r="AB6">
        <v>59265973765.507637</v>
      </c>
      <c r="AC6">
        <v>59225607949.47805</v>
      </c>
      <c r="AD6">
        <v>59186518306.816139</v>
      </c>
      <c r="AE6">
        <v>59147036575.438606</v>
      </c>
      <c r="AF6">
        <v>59108040713.61132</v>
      </c>
    </row>
    <row r="7" spans="1:35" ht="14" customHeight="1" x14ac:dyDescent="0.15">
      <c r="A7" s="48" t="s">
        <v>182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5" ht="14" customHeight="1" x14ac:dyDescent="0.15">
      <c r="A8" s="48" t="s">
        <v>183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5" ht="14" customHeight="1" x14ac:dyDescent="0.15">
      <c r="A9" s="48" t="s">
        <v>184</v>
      </c>
      <c r="B9">
        <v>0</v>
      </c>
      <c r="C9" s="57">
        <v>0</v>
      </c>
      <c r="D9" s="57">
        <v>0</v>
      </c>
      <c r="E9" s="57">
        <v>0</v>
      </c>
      <c r="F9" s="57">
        <v>0</v>
      </c>
      <c r="G9" s="57">
        <v>0</v>
      </c>
      <c r="H9" s="57">
        <v>0</v>
      </c>
      <c r="I9" s="57">
        <v>0</v>
      </c>
      <c r="J9" s="57">
        <v>0</v>
      </c>
      <c r="K9" s="57">
        <v>0</v>
      </c>
      <c r="L9" s="57">
        <v>0</v>
      </c>
      <c r="M9" s="57">
        <v>0</v>
      </c>
      <c r="N9" s="57">
        <v>0</v>
      </c>
      <c r="O9" s="57">
        <v>0</v>
      </c>
      <c r="P9" s="57">
        <v>0</v>
      </c>
      <c r="Q9" s="57">
        <v>0</v>
      </c>
      <c r="R9" s="57">
        <v>0</v>
      </c>
      <c r="S9" s="57">
        <v>0</v>
      </c>
      <c r="T9" s="57">
        <v>0</v>
      </c>
      <c r="U9" s="57">
        <v>0</v>
      </c>
      <c r="V9" s="57">
        <v>0</v>
      </c>
      <c r="W9" s="57">
        <v>0</v>
      </c>
      <c r="X9" s="57">
        <v>0</v>
      </c>
      <c r="Y9" s="57">
        <v>0</v>
      </c>
      <c r="Z9" s="57">
        <v>0</v>
      </c>
      <c r="AA9" s="57">
        <v>0</v>
      </c>
      <c r="AB9" s="57">
        <v>0</v>
      </c>
      <c r="AC9" s="57">
        <v>0</v>
      </c>
      <c r="AD9" s="57">
        <v>0</v>
      </c>
      <c r="AE9" s="57">
        <v>0</v>
      </c>
      <c r="AF9" s="57">
        <v>0</v>
      </c>
      <c r="AG9" s="57"/>
    </row>
    <row r="10" spans="1:35" ht="14" customHeight="1" x14ac:dyDescent="0.15">
      <c r="A10" s="48" t="s">
        <v>136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5" ht="14" customHeight="1" x14ac:dyDescent="0.15">
      <c r="A11" s="48" t="s">
        <v>185</v>
      </c>
      <c r="B11">
        <v>207848896864.4765</v>
      </c>
      <c r="C11">
        <v>208646212007.30911</v>
      </c>
      <c r="D11">
        <v>209443527150.14169</v>
      </c>
      <c r="E11">
        <v>210935807777.86819</v>
      </c>
      <c r="F11">
        <v>212345957214.1759</v>
      </c>
      <c r="G11">
        <v>213789841364.3945</v>
      </c>
      <c r="H11">
        <v>215183879737.59561</v>
      </c>
      <c r="I11">
        <v>216416581751.85989</v>
      </c>
      <c r="J11">
        <v>217551649078.20541</v>
      </c>
      <c r="K11">
        <v>218532175087.41919</v>
      </c>
      <c r="L11">
        <v>219341787125.21689</v>
      </c>
      <c r="M11">
        <v>220007846784.95871</v>
      </c>
      <c r="N11">
        <v>220499372388.92001</v>
      </c>
      <c r="O11">
        <v>220793170925.73581</v>
      </c>
      <c r="P11">
        <v>220867401641.66241</v>
      </c>
      <c r="Q11">
        <v>220857889426.9776</v>
      </c>
      <c r="R11">
        <v>220849518509.2865</v>
      </c>
      <c r="S11">
        <v>220874449836.22031</v>
      </c>
      <c r="T11">
        <v>220878280881.21201</v>
      </c>
      <c r="U11">
        <v>220856359962.42969</v>
      </c>
      <c r="V11">
        <v>220834953787.578</v>
      </c>
      <c r="W11">
        <v>220873357060.1709</v>
      </c>
      <c r="X11">
        <v>220906108697.5585</v>
      </c>
      <c r="Y11">
        <v>220918968857.3985</v>
      </c>
      <c r="Z11">
        <v>220875287349.91061</v>
      </c>
      <c r="AA11">
        <v>220839943006.41351</v>
      </c>
      <c r="AB11">
        <v>220806465664.46799</v>
      </c>
      <c r="AC11">
        <v>220720743923.1727</v>
      </c>
      <c r="AD11">
        <v>220532206300.95221</v>
      </c>
      <c r="AE11">
        <v>220508032322.67041</v>
      </c>
      <c r="AF11">
        <v>220546804776.36111</v>
      </c>
    </row>
    <row r="12" spans="1:35" ht="14" customHeight="1" x14ac:dyDescent="0.15">
      <c r="A12" s="48" t="s">
        <v>186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5" ht="14" customHeight="1" x14ac:dyDescent="0.15">
      <c r="A13" s="48" t="s">
        <v>187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5" ht="14" customHeight="1" x14ac:dyDescent="0.15">
      <c r="A14" s="48" t="s">
        <v>188</v>
      </c>
      <c r="B14">
        <v>906992814352.52502</v>
      </c>
      <c r="C14">
        <v>910861947736.18823</v>
      </c>
      <c r="D14">
        <v>914731081119.8512</v>
      </c>
      <c r="E14">
        <v>921326115317.55103</v>
      </c>
      <c r="F14">
        <v>927808355464.63928</v>
      </c>
      <c r="G14">
        <v>934066791147.41467</v>
      </c>
      <c r="H14">
        <v>939994383167.29651</v>
      </c>
      <c r="I14">
        <v>945489962589.53552</v>
      </c>
      <c r="J14">
        <v>950458991411.89612</v>
      </c>
      <c r="K14">
        <v>954816773111.09436</v>
      </c>
      <c r="L14">
        <v>958488468380.77112</v>
      </c>
      <c r="M14">
        <v>961411565993.21216</v>
      </c>
      <c r="N14">
        <v>963535783125.52014</v>
      </c>
      <c r="O14">
        <v>964824948670.35315</v>
      </c>
      <c r="P14">
        <v>965256966513.98657</v>
      </c>
      <c r="Q14">
        <v>965256646508.54114</v>
      </c>
      <c r="R14">
        <v>965256405192.95911</v>
      </c>
      <c r="S14">
        <v>965256163877.37708</v>
      </c>
      <c r="T14">
        <v>965255922561.79517</v>
      </c>
      <c r="U14">
        <v>965255765182.06763</v>
      </c>
      <c r="V14">
        <v>965255445176.62207</v>
      </c>
      <c r="W14">
        <v>965255125171.17639</v>
      </c>
      <c r="X14">
        <v>965254962545.45801</v>
      </c>
      <c r="Y14">
        <v>965254721229.87622</v>
      </c>
      <c r="Z14">
        <v>965254401224.43042</v>
      </c>
      <c r="AA14">
        <v>965254081218.98474</v>
      </c>
      <c r="AB14">
        <v>965253682523.67529</v>
      </c>
      <c r="AC14">
        <v>965253441208.09351</v>
      </c>
      <c r="AD14">
        <v>965253199892.51147</v>
      </c>
      <c r="AE14">
        <v>965252963822.92041</v>
      </c>
      <c r="AF14">
        <v>965252559881.62024</v>
      </c>
    </row>
    <row r="15" spans="1:35" ht="14" customHeight="1" x14ac:dyDescent="0.15">
      <c r="A15" s="48" t="s">
        <v>189</v>
      </c>
      <c r="B15">
        <v>8027573871.934967</v>
      </c>
      <c r="C15" s="57">
        <v>8620864074.8104763</v>
      </c>
      <c r="D15" s="57">
        <v>9214154277.6859856</v>
      </c>
      <c r="E15" s="57">
        <v>9387946464.4706955</v>
      </c>
      <c r="F15" s="57">
        <v>9076798640.1142139</v>
      </c>
      <c r="G15" s="57">
        <v>8933950887.973278</v>
      </c>
      <c r="H15" s="57">
        <v>9214176198.1471634</v>
      </c>
      <c r="I15" s="57">
        <v>9090558824.1691875</v>
      </c>
      <c r="J15" s="57">
        <v>8921957043.9546776</v>
      </c>
      <c r="K15" s="57">
        <v>8763451077.3676796</v>
      </c>
      <c r="L15" s="57">
        <v>8569064533.5094023</v>
      </c>
      <c r="M15" s="57">
        <v>8439403849.2678814</v>
      </c>
      <c r="N15" s="57">
        <v>8414100330.2443609</v>
      </c>
      <c r="O15" s="57">
        <v>8368175388.7460413</v>
      </c>
      <c r="P15" s="57">
        <v>8418316449.4053583</v>
      </c>
      <c r="Q15" s="57">
        <v>8441148118.0142155</v>
      </c>
      <c r="R15" s="57">
        <v>8475263444.568675</v>
      </c>
      <c r="S15" s="57">
        <v>8516672754.3048992</v>
      </c>
      <c r="T15" s="57">
        <v>8554289187.4238043</v>
      </c>
      <c r="U15" s="57">
        <v>8507191115.8007565</v>
      </c>
      <c r="V15" s="57">
        <v>8456595473.7121248</v>
      </c>
      <c r="W15" s="57">
        <v>8455426566.7955122</v>
      </c>
      <c r="X15" s="57">
        <v>8500349032.6463251</v>
      </c>
      <c r="Y15" s="57">
        <v>8500145916.4463882</v>
      </c>
      <c r="Z15" s="57">
        <v>8427965675.5332146</v>
      </c>
      <c r="AA15" s="57">
        <v>8357537630.260973</v>
      </c>
      <c r="AB15" s="57">
        <v>8309196192.5400982</v>
      </c>
      <c r="AC15" s="57">
        <v>8199880210.0891056</v>
      </c>
      <c r="AD15" s="57">
        <v>8054874515.9114733</v>
      </c>
      <c r="AE15" s="57">
        <v>7994435815.8494062</v>
      </c>
      <c r="AF15" s="57">
        <v>8001448603.7573481</v>
      </c>
      <c r="AG15" s="57"/>
    </row>
    <row r="16" spans="1:35" ht="14" customHeight="1" x14ac:dyDescent="0.15">
      <c r="A16" s="48" t="s">
        <v>190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3" ht="14" customHeight="1" x14ac:dyDescent="0.15">
      <c r="A17" s="48" t="s">
        <v>191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3" ht="14" customHeight="1" x14ac:dyDescent="0.15">
      <c r="A18" s="48" t="s">
        <v>192</v>
      </c>
      <c r="B18">
        <v>0</v>
      </c>
      <c r="C18" s="30">
        <v>0</v>
      </c>
      <c r="D18" s="30">
        <v>0</v>
      </c>
      <c r="E18" s="30">
        <v>0</v>
      </c>
      <c r="F18" s="30">
        <v>0</v>
      </c>
      <c r="G18" s="30">
        <v>0</v>
      </c>
      <c r="H18" s="30">
        <v>0</v>
      </c>
      <c r="I18" s="30">
        <v>0</v>
      </c>
      <c r="J18" s="30">
        <v>0</v>
      </c>
      <c r="K18" s="30">
        <v>0</v>
      </c>
      <c r="L18" s="30">
        <v>0</v>
      </c>
      <c r="M18" s="30">
        <v>0</v>
      </c>
      <c r="N18" s="30">
        <v>0</v>
      </c>
      <c r="O18" s="30">
        <v>0</v>
      </c>
      <c r="P18" s="30">
        <v>0</v>
      </c>
      <c r="Q18" s="30">
        <v>0</v>
      </c>
      <c r="R18" s="30">
        <v>0</v>
      </c>
      <c r="S18" s="30">
        <v>0</v>
      </c>
      <c r="T18" s="30">
        <v>0</v>
      </c>
      <c r="U18" s="30">
        <v>0</v>
      </c>
      <c r="V18" s="30">
        <v>0</v>
      </c>
      <c r="W18" s="30">
        <v>0</v>
      </c>
      <c r="X18" s="30">
        <v>0</v>
      </c>
      <c r="Y18" s="30">
        <v>0</v>
      </c>
      <c r="Z18" s="30">
        <v>0</v>
      </c>
      <c r="AA18" s="30">
        <v>0</v>
      </c>
      <c r="AB18" s="30">
        <v>0</v>
      </c>
      <c r="AC18" s="30">
        <v>0</v>
      </c>
      <c r="AD18" s="30">
        <v>0</v>
      </c>
      <c r="AE18" s="30">
        <v>0</v>
      </c>
      <c r="AF18" s="30">
        <v>0</v>
      </c>
      <c r="AG18" s="30"/>
    </row>
    <row r="19" spans="1:33" ht="14" customHeight="1" x14ac:dyDescent="0.15">
      <c r="A19" s="48" t="s">
        <v>193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3" ht="14" customHeight="1" x14ac:dyDescent="0.15">
      <c r="A20" s="48" t="s">
        <v>194</v>
      </c>
      <c r="B20">
        <v>0</v>
      </c>
      <c r="C20" s="57">
        <v>0</v>
      </c>
      <c r="D20" s="57">
        <v>0</v>
      </c>
      <c r="E20" s="57">
        <v>0</v>
      </c>
      <c r="F20" s="57">
        <v>0</v>
      </c>
      <c r="G20" s="57">
        <v>0</v>
      </c>
      <c r="H20" s="57">
        <v>0</v>
      </c>
      <c r="I20" s="57">
        <v>0</v>
      </c>
      <c r="J20" s="57">
        <v>0</v>
      </c>
      <c r="K20" s="57">
        <v>0</v>
      </c>
      <c r="L20" s="57">
        <v>0</v>
      </c>
      <c r="M20" s="57">
        <v>0</v>
      </c>
      <c r="N20" s="57">
        <v>0</v>
      </c>
      <c r="O20" s="57">
        <v>0</v>
      </c>
      <c r="P20" s="57">
        <v>0</v>
      </c>
      <c r="Q20" s="57">
        <v>0</v>
      </c>
      <c r="R20" s="57">
        <v>0</v>
      </c>
      <c r="S20" s="57">
        <v>0</v>
      </c>
      <c r="T20" s="57">
        <v>0</v>
      </c>
      <c r="U20" s="57">
        <v>0</v>
      </c>
      <c r="V20" s="57">
        <v>0</v>
      </c>
      <c r="W20" s="57">
        <v>0</v>
      </c>
      <c r="X20" s="57">
        <v>0</v>
      </c>
      <c r="Y20" s="57">
        <v>0</v>
      </c>
      <c r="Z20" s="57">
        <v>0</v>
      </c>
      <c r="AA20" s="57">
        <v>0</v>
      </c>
      <c r="AB20" s="57">
        <v>0</v>
      </c>
      <c r="AC20" s="57">
        <v>0</v>
      </c>
      <c r="AD20" s="57">
        <v>0</v>
      </c>
      <c r="AE20" s="57">
        <v>0</v>
      </c>
      <c r="AF20" s="57">
        <v>0</v>
      </c>
      <c r="AG20" s="57"/>
    </row>
    <row r="21" spans="1:33" ht="14" customHeight="1" x14ac:dyDescent="0.15">
      <c r="A21" s="48" t="s">
        <v>195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3" ht="14" customHeight="1" x14ac:dyDescent="0.15">
      <c r="A22" s="48" t="s">
        <v>196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3" ht="14" customHeight="1" x14ac:dyDescent="0.15">
      <c r="A23" s="48" t="s">
        <v>197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3" ht="14" customHeight="1" x14ac:dyDescent="0.15">
      <c r="A24" s="48" t="s">
        <v>198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3" ht="14" customHeight="1" x14ac:dyDescent="0.15">
      <c r="A25" s="48" t="s">
        <v>199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3" ht="14" customHeight="1" x14ac:dyDescent="0.15">
      <c r="A26" s="48" t="s">
        <v>200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3" ht="14" customHeight="1" x14ac:dyDescent="0.15"/>
    <row r="28" spans="1:33" ht="14.5" customHeight="1" x14ac:dyDescent="0.2">
      <c r="A28" s="29"/>
    </row>
    <row r="29" spans="1:33" ht="14" customHeight="1" x14ac:dyDescent="0.15"/>
    <row r="30" spans="1:33" ht="14.5" customHeight="1" x14ac:dyDescent="0.2">
      <c r="A30" s="29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 spans="1:33" ht="14" customHeight="1" x14ac:dyDescent="0.15"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 spans="1:33" ht="14" customHeight="1" x14ac:dyDescent="0.15"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 spans="1:35" ht="14.5" customHeight="1" x14ac:dyDescent="0.2">
      <c r="A33" s="29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 spans="1:35" ht="14" customHeight="1" x14ac:dyDescent="0.15">
      <c r="A34" s="31"/>
      <c r="B34" s="32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</row>
    <row r="35" spans="1:35" ht="14" customHeight="1" x14ac:dyDescent="0.15">
      <c r="A35" s="31"/>
      <c r="B35" s="32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58"/>
    </row>
    <row r="36" spans="1:35" ht="14" customHeight="1" x14ac:dyDescent="0.15">
      <c r="A36" s="31"/>
      <c r="B36" s="32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</row>
    <row r="37" spans="1:35" ht="14" customHeight="1" x14ac:dyDescent="0.15">
      <c r="A37" s="31"/>
      <c r="B37" s="32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</row>
    <row r="38" spans="1:35" ht="14" customHeight="1" x14ac:dyDescent="0.15">
      <c r="A38" s="31"/>
      <c r="B38" s="32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</row>
    <row r="39" spans="1:35" ht="14" customHeight="1" x14ac:dyDescent="0.15">
      <c r="A39" s="31"/>
      <c r="B39" s="32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</row>
    <row r="40" spans="1:35" ht="14" customHeight="1" x14ac:dyDescent="0.15">
      <c r="A40" s="31"/>
      <c r="B40" s="32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</row>
    <row r="41" spans="1:35" ht="14" customHeight="1" x14ac:dyDescent="0.15">
      <c r="A41" s="31"/>
      <c r="B41" s="32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</row>
    <row r="42" spans="1:35" ht="14" customHeight="1" x14ac:dyDescent="0.15">
      <c r="A42" s="31"/>
      <c r="B42" s="32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58"/>
      <c r="AG42" s="58"/>
      <c r="AH42" s="58"/>
      <c r="AI42" s="58"/>
    </row>
    <row r="43" spans="1:35" ht="14" customHeight="1" x14ac:dyDescent="0.15">
      <c r="A43" s="31"/>
      <c r="B43" s="32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  <c r="AD43" s="58"/>
      <c r="AE43" s="58"/>
      <c r="AF43" s="58"/>
      <c r="AG43" s="58"/>
      <c r="AH43" s="58"/>
      <c r="AI43" s="58"/>
    </row>
    <row r="44" spans="1:35" ht="14" customHeight="1" x14ac:dyDescent="0.15">
      <c r="A44" s="31"/>
      <c r="B44" s="32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</row>
    <row r="45" spans="1:35" ht="14" customHeight="1" x14ac:dyDescent="0.15">
      <c r="A45" s="31"/>
      <c r="B45" s="32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</row>
    <row r="46" spans="1:35" ht="14" customHeight="1" x14ac:dyDescent="0.15">
      <c r="A46" s="33"/>
      <c r="B46" s="34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</row>
    <row r="47" spans="1:35" ht="14.5" customHeight="1" x14ac:dyDescent="0.2">
      <c r="A47" s="29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 spans="1:35" ht="14" customHeight="1" x14ac:dyDescent="0.15">
      <c r="A48" s="31"/>
      <c r="B48" s="32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  <c r="AD48" s="58"/>
      <c r="AE48" s="58"/>
      <c r="AF48" s="58"/>
      <c r="AG48" s="58"/>
      <c r="AH48" s="58"/>
      <c r="AI48" s="58"/>
    </row>
    <row r="49" spans="1:35" ht="14" customHeight="1" x14ac:dyDescent="0.15">
      <c r="A49" s="31"/>
      <c r="B49" s="32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  <c r="AC49" s="58"/>
      <c r="AD49" s="58"/>
      <c r="AE49" s="58"/>
      <c r="AF49" s="58"/>
      <c r="AG49" s="58"/>
      <c r="AH49" s="58"/>
      <c r="AI49" s="58"/>
    </row>
    <row r="50" spans="1:35" ht="14.5" customHeight="1" x14ac:dyDescent="0.2">
      <c r="A50" s="35"/>
      <c r="B50" s="32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  <c r="AD50" s="58"/>
      <c r="AE50" s="58"/>
      <c r="AF50" s="58"/>
      <c r="AG50" s="58"/>
      <c r="AH50" s="58"/>
      <c r="AI50" s="58"/>
    </row>
    <row r="51" spans="1:35" ht="14" customHeight="1" x14ac:dyDescent="0.15">
      <c r="A51" s="31"/>
      <c r="B51" s="32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  <c r="AD51" s="58"/>
      <c r="AE51" s="58"/>
      <c r="AF51" s="58"/>
      <c r="AG51" s="58"/>
      <c r="AH51" s="58"/>
      <c r="AI51" s="58"/>
    </row>
    <row r="52" spans="1:35" ht="14" customHeight="1" x14ac:dyDescent="0.15">
      <c r="A52" s="31"/>
      <c r="B52" s="32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</row>
    <row r="53" spans="1:35" ht="14" customHeight="1" x14ac:dyDescent="0.15">
      <c r="A53" s="31"/>
      <c r="B53" s="32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</row>
    <row r="54" spans="1:35" ht="14" customHeight="1" x14ac:dyDescent="0.15">
      <c r="A54" s="31"/>
      <c r="B54" s="32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</row>
    <row r="55" spans="1:35" ht="14" customHeight="1" x14ac:dyDescent="0.15">
      <c r="A55" s="31"/>
      <c r="B55" s="32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  <c r="AB55" s="58"/>
      <c r="AC55" s="58"/>
      <c r="AD55" s="58"/>
      <c r="AE55" s="58"/>
      <c r="AF55" s="58"/>
      <c r="AG55" s="58"/>
      <c r="AH55" s="58"/>
      <c r="AI55" s="58"/>
    </row>
    <row r="56" spans="1:35" ht="14" customHeight="1" x14ac:dyDescent="0.15">
      <c r="A56" s="31"/>
      <c r="B56" s="36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  <c r="AD56" s="58"/>
      <c r="AE56" s="58"/>
      <c r="AF56" s="58"/>
      <c r="AG56" s="58"/>
      <c r="AH56" s="58"/>
      <c r="AI56" s="58"/>
    </row>
    <row r="57" spans="1:35" ht="14" customHeight="1" x14ac:dyDescent="0.15">
      <c r="A57" s="31"/>
      <c r="B57" s="36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  <c r="AI57" s="58"/>
    </row>
    <row r="58" spans="1:35" ht="14" customHeight="1" x14ac:dyDescent="0.15">
      <c r="A58" s="31"/>
      <c r="B58" s="36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</row>
    <row r="59" spans="1:35" ht="14" customHeight="1" x14ac:dyDescent="0.15">
      <c r="A59" s="31"/>
      <c r="B59" s="36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</row>
    <row r="60" spans="1:35" ht="14" customHeight="1" x14ac:dyDescent="0.15">
      <c r="A60" s="31"/>
      <c r="B60" s="36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  <c r="AB60" s="58"/>
      <c r="AC60" s="58"/>
      <c r="AD60" s="58"/>
      <c r="AE60" s="58"/>
      <c r="AF60" s="58"/>
      <c r="AG60" s="58"/>
      <c r="AH60" s="58"/>
      <c r="AI60" s="58"/>
    </row>
    <row r="61" spans="1:35" ht="14" customHeight="1" x14ac:dyDescent="0.15">
      <c r="A61" s="31"/>
      <c r="B61" s="3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</row>
    <row r="62" spans="1:35" ht="14" customHeight="1" x14ac:dyDescent="0.15">
      <c r="A62" s="33"/>
      <c r="B62" s="36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</row>
    <row r="63" spans="1:35" ht="14.5" customHeight="1" x14ac:dyDescent="0.2">
      <c r="A63" s="37"/>
      <c r="B63" s="36"/>
    </row>
    <row r="64" spans="1:35" ht="14" customHeight="1" x14ac:dyDescent="0.15">
      <c r="A64" s="31"/>
      <c r="B64" s="36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</row>
    <row r="65" spans="1:35" ht="14" customHeight="1" x14ac:dyDescent="0.15">
      <c r="A65" s="31"/>
      <c r="B65" s="36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</row>
    <row r="66" spans="1:35" ht="14" customHeight="1" x14ac:dyDescent="0.15">
      <c r="A66" s="31"/>
      <c r="B66" s="36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  <c r="AD66" s="58"/>
      <c r="AE66" s="58"/>
      <c r="AF66" s="58"/>
      <c r="AG66" s="58"/>
      <c r="AH66" s="58"/>
      <c r="AI66" s="58"/>
    </row>
    <row r="67" spans="1:35" ht="14" customHeight="1" x14ac:dyDescent="0.15">
      <c r="A67" s="31"/>
      <c r="B67" s="36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  <c r="AG67" s="58"/>
      <c r="AH67" s="58"/>
      <c r="AI67" s="58"/>
    </row>
    <row r="68" spans="1:35" ht="14" customHeight="1" x14ac:dyDescent="0.15">
      <c r="A68" s="31"/>
      <c r="B68" s="36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</row>
    <row r="69" spans="1:35" ht="14" customHeight="1" x14ac:dyDescent="0.15">
      <c r="A69" s="31"/>
      <c r="B69" s="36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</row>
    <row r="70" spans="1:35" ht="14" customHeight="1" x14ac:dyDescent="0.15">
      <c r="A70" s="31"/>
      <c r="B70" s="36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</row>
    <row r="71" spans="1:35" ht="14" customHeight="1" x14ac:dyDescent="0.15">
      <c r="A71" s="31"/>
      <c r="B71" s="36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</row>
    <row r="72" spans="1:35" ht="14" customHeight="1" x14ac:dyDescent="0.15">
      <c r="A72" s="31"/>
      <c r="B72" s="36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</row>
    <row r="73" spans="1:35" ht="14" customHeight="1" x14ac:dyDescent="0.15">
      <c r="A73" s="31"/>
      <c r="B73" s="36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  <c r="AD73" s="58"/>
      <c r="AE73" s="58"/>
      <c r="AF73" s="58"/>
      <c r="AG73" s="58"/>
      <c r="AH73" s="58"/>
      <c r="AI73" s="58"/>
    </row>
    <row r="74" spans="1:35" ht="14" customHeight="1" x14ac:dyDescent="0.15">
      <c r="A74" s="31"/>
      <c r="B74" s="36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  <c r="AD74" s="58"/>
      <c r="AE74" s="58"/>
      <c r="AF74" s="58"/>
      <c r="AG74" s="58"/>
      <c r="AH74" s="58"/>
      <c r="AI74" s="58"/>
    </row>
    <row r="75" spans="1:35" ht="14" customHeight="1" x14ac:dyDescent="0.15">
      <c r="A75" s="31"/>
      <c r="B75" s="36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</row>
    <row r="76" spans="1:35" ht="14" customHeight="1" x14ac:dyDescent="0.15">
      <c r="A76" s="33"/>
      <c r="B76" s="36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</row>
    <row r="77" spans="1:35" ht="14.5" customHeight="1" x14ac:dyDescent="0.2">
      <c r="A77" s="37"/>
      <c r="B77" s="36"/>
    </row>
    <row r="78" spans="1:35" ht="14.5" customHeight="1" x14ac:dyDescent="0.2">
      <c r="A78" s="37"/>
      <c r="B78" s="36"/>
    </row>
    <row r="79" spans="1:35" ht="14" customHeight="1" x14ac:dyDescent="0.15">
      <c r="A79" s="31"/>
      <c r="B79" s="36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  <c r="AB79" s="58"/>
      <c r="AC79" s="58"/>
      <c r="AD79" s="58"/>
      <c r="AE79" s="58"/>
      <c r="AF79" s="58"/>
      <c r="AG79" s="58"/>
      <c r="AH79" s="58"/>
      <c r="AI79" s="58"/>
    </row>
    <row r="80" spans="1:35" ht="14" customHeight="1" x14ac:dyDescent="0.15">
      <c r="A80" s="31"/>
      <c r="B80" s="36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</row>
    <row r="81" spans="1:35" ht="14" customHeight="1" x14ac:dyDescent="0.15">
      <c r="A81" s="31"/>
      <c r="B81" s="36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</row>
    <row r="82" spans="1:35" ht="14" customHeight="1" x14ac:dyDescent="0.15">
      <c r="A82" s="31"/>
      <c r="B82" s="32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  <c r="AD82" s="58"/>
      <c r="AE82" s="58"/>
      <c r="AF82" s="58"/>
      <c r="AG82" s="58"/>
      <c r="AH82" s="58"/>
      <c r="AI82" s="58"/>
    </row>
    <row r="83" spans="1:35" ht="14" customHeight="1" x14ac:dyDescent="0.15">
      <c r="A83" s="31"/>
      <c r="B83" s="32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  <c r="AB83" s="58"/>
      <c r="AC83" s="58"/>
      <c r="AD83" s="58"/>
      <c r="AE83" s="58"/>
      <c r="AF83" s="58"/>
      <c r="AG83" s="58"/>
      <c r="AH83" s="58"/>
      <c r="AI83" s="58"/>
    </row>
    <row r="84" spans="1:35" ht="14" customHeight="1" x14ac:dyDescent="0.15">
      <c r="A84" s="31"/>
      <c r="B84" s="32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</row>
    <row r="85" spans="1:35" ht="14" customHeight="1" x14ac:dyDescent="0.15">
      <c r="A85" s="31"/>
      <c r="B85" s="32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  <c r="AC85" s="58"/>
      <c r="AD85" s="58"/>
      <c r="AE85" s="58"/>
      <c r="AF85" s="58"/>
      <c r="AG85" s="58"/>
      <c r="AH85" s="58"/>
      <c r="AI85" s="58"/>
    </row>
    <row r="86" spans="1:35" ht="14" customHeight="1" x14ac:dyDescent="0.15">
      <c r="A86" s="31"/>
      <c r="B86" s="32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</row>
    <row r="87" spans="1:35" ht="14" customHeight="1" x14ac:dyDescent="0.15">
      <c r="A87" s="31"/>
      <c r="B87" s="32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  <c r="AC87" s="58"/>
      <c r="AD87" s="58"/>
      <c r="AE87" s="58"/>
      <c r="AF87" s="58"/>
      <c r="AG87" s="58"/>
      <c r="AH87" s="58"/>
      <c r="AI87" s="58"/>
    </row>
    <row r="88" spans="1:35" ht="14" customHeight="1" x14ac:dyDescent="0.15">
      <c r="A88" s="31"/>
      <c r="B88" s="32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  <c r="AB88" s="58"/>
      <c r="AC88" s="58"/>
      <c r="AD88" s="58"/>
      <c r="AE88" s="58"/>
      <c r="AF88" s="58"/>
      <c r="AG88" s="58"/>
      <c r="AH88" s="58"/>
      <c r="AI88" s="58"/>
    </row>
    <row r="89" spans="1:35" ht="14" customHeight="1" x14ac:dyDescent="0.15">
      <c r="A89" s="31"/>
      <c r="B89" s="32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  <c r="AD89" s="58"/>
      <c r="AE89" s="58"/>
      <c r="AF89" s="58"/>
      <c r="AG89" s="58"/>
      <c r="AH89" s="58"/>
      <c r="AI89" s="58"/>
    </row>
    <row r="90" spans="1:35" ht="14.5" customHeight="1" x14ac:dyDescent="0.2">
      <c r="A90" s="38"/>
      <c r="B90" s="32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  <c r="AB90" s="58"/>
      <c r="AC90" s="58"/>
      <c r="AD90" s="58"/>
      <c r="AE90" s="58"/>
      <c r="AF90" s="58"/>
      <c r="AG90" s="58"/>
      <c r="AH90" s="58"/>
      <c r="AI90" s="58"/>
    </row>
    <row r="91" spans="1:35" ht="14.5" customHeight="1" x14ac:dyDescent="0.2">
      <c r="A91" s="35"/>
      <c r="B91" s="32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</row>
    <row r="92" spans="1:35" ht="14" customHeight="1" x14ac:dyDescent="0.15">
      <c r="A92" s="31"/>
      <c r="B92" s="32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</row>
    <row r="93" spans="1:35" ht="14" customHeight="1" x14ac:dyDescent="0.15">
      <c r="A93" s="31"/>
      <c r="B93" s="32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  <c r="AB93" s="58"/>
      <c r="AC93" s="58"/>
      <c r="AD93" s="58"/>
      <c r="AE93" s="58"/>
      <c r="AF93" s="58"/>
      <c r="AG93" s="58"/>
      <c r="AH93" s="58"/>
      <c r="AI93" s="58"/>
    </row>
    <row r="94" spans="1:35" ht="14" customHeight="1" x14ac:dyDescent="0.15">
      <c r="A94" s="31"/>
      <c r="B94" s="32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  <c r="AB94" s="58"/>
      <c r="AC94" s="58"/>
      <c r="AD94" s="58"/>
      <c r="AE94" s="58"/>
      <c r="AF94" s="58"/>
      <c r="AG94" s="58"/>
      <c r="AH94" s="58"/>
      <c r="AI94" s="58"/>
    </row>
    <row r="95" spans="1:35" ht="14.5" customHeight="1" x14ac:dyDescent="0.2">
      <c r="A95" s="37"/>
    </row>
    <row r="96" spans="1:35" ht="14" customHeight="1" x14ac:dyDescent="0.15">
      <c r="A96" s="31"/>
      <c r="B96" s="32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  <c r="AB96" s="58"/>
      <c r="AC96" s="58"/>
      <c r="AD96" s="58"/>
      <c r="AE96" s="58"/>
      <c r="AF96" s="58"/>
      <c r="AG96" s="58"/>
      <c r="AH96" s="58"/>
      <c r="AI96" s="58"/>
    </row>
    <row r="97" spans="1:35" ht="14" customHeight="1" x14ac:dyDescent="0.15">
      <c r="A97" s="31"/>
      <c r="B97" s="32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  <c r="AA97" s="58"/>
      <c r="AB97" s="58"/>
      <c r="AC97" s="58"/>
      <c r="AD97" s="58"/>
      <c r="AE97" s="58"/>
      <c r="AF97" s="58"/>
      <c r="AG97" s="58"/>
      <c r="AH97" s="58"/>
      <c r="AI97" s="58"/>
    </row>
    <row r="98" spans="1:35" ht="14" customHeight="1" x14ac:dyDescent="0.15">
      <c r="A98" s="31"/>
      <c r="B98" s="32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  <c r="AA98" s="58"/>
      <c r="AB98" s="58"/>
      <c r="AC98" s="58"/>
      <c r="AD98" s="58"/>
      <c r="AE98" s="58"/>
      <c r="AF98" s="58"/>
      <c r="AG98" s="58"/>
      <c r="AH98" s="58"/>
      <c r="AI98" s="58"/>
    </row>
    <row r="99" spans="1:35" ht="14" customHeight="1" x14ac:dyDescent="0.15">
      <c r="A99" s="31"/>
      <c r="B99" s="32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  <c r="AA99" s="58"/>
      <c r="AB99" s="58"/>
      <c r="AC99" s="58"/>
      <c r="AD99" s="58"/>
      <c r="AE99" s="58"/>
      <c r="AF99" s="58"/>
      <c r="AG99" s="58"/>
      <c r="AH99" s="58"/>
      <c r="AI99" s="58"/>
    </row>
    <row r="100" spans="1:35" ht="14" customHeight="1" x14ac:dyDescent="0.15">
      <c r="A100" s="31"/>
      <c r="B100" s="32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  <c r="AB100" s="58"/>
      <c r="AC100" s="58"/>
      <c r="AD100" s="58"/>
      <c r="AE100" s="58"/>
      <c r="AF100" s="58"/>
      <c r="AG100" s="58"/>
      <c r="AH100" s="58"/>
      <c r="AI100" s="58"/>
    </row>
    <row r="101" spans="1:35" ht="14" customHeight="1" x14ac:dyDescent="0.15">
      <c r="A101" s="31"/>
      <c r="B101" s="32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  <c r="AA101" s="58"/>
      <c r="AB101" s="58"/>
      <c r="AC101" s="58"/>
      <c r="AD101" s="58"/>
      <c r="AE101" s="58"/>
      <c r="AF101" s="58"/>
      <c r="AG101" s="58"/>
      <c r="AH101" s="58"/>
      <c r="AI101" s="58"/>
    </row>
    <row r="102" spans="1:35" ht="14" customHeight="1" x14ac:dyDescent="0.15">
      <c r="A102" s="31"/>
      <c r="B102" s="32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</row>
    <row r="103" spans="1:35" ht="14" customHeight="1" x14ac:dyDescent="0.15">
      <c r="A103" s="31"/>
      <c r="B103" s="32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  <c r="AA103" s="58"/>
      <c r="AB103" s="58"/>
      <c r="AC103" s="58"/>
      <c r="AD103" s="58"/>
      <c r="AE103" s="58"/>
      <c r="AF103" s="58"/>
      <c r="AG103" s="58"/>
      <c r="AH103" s="58"/>
      <c r="AI103" s="58"/>
    </row>
    <row r="104" spans="1:35" ht="14" customHeight="1" x14ac:dyDescent="0.15">
      <c r="A104" s="31"/>
      <c r="B104" s="32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</row>
    <row r="105" spans="1:35" ht="14" customHeight="1" x14ac:dyDescent="0.15">
      <c r="A105" s="31"/>
      <c r="B105" s="32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  <c r="AH105" s="58"/>
      <c r="AI105" s="58"/>
    </row>
    <row r="106" spans="1:35" ht="14" customHeight="1" x14ac:dyDescent="0.15">
      <c r="A106" s="31"/>
      <c r="B106" s="32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</row>
    <row r="107" spans="1:35" ht="14" customHeight="1" x14ac:dyDescent="0.15">
      <c r="A107" s="33"/>
      <c r="B107" s="34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</row>
    <row r="108" spans="1:35" ht="14.5" customHeight="1" x14ac:dyDescent="0.2">
      <c r="A108" s="29"/>
    </row>
    <row r="109" spans="1:35" ht="14" customHeight="1" x14ac:dyDescent="0.15">
      <c r="A109" s="39"/>
      <c r="B109" s="40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</row>
    <row r="110" spans="1:35" ht="14" customHeight="1" x14ac:dyDescent="0.15">
      <c r="A110" s="39"/>
      <c r="B110" s="40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</row>
    <row r="111" spans="1:35" ht="14" customHeight="1" x14ac:dyDescent="0.15">
      <c r="A111" s="39"/>
      <c r="B111" s="43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</row>
    <row r="112" spans="1:35" ht="14" customHeight="1" x14ac:dyDescent="0.15">
      <c r="A112" s="39"/>
      <c r="B112" s="43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</row>
    <row r="113" spans="1:35" ht="14.5" customHeight="1" x14ac:dyDescent="0.2">
      <c r="A113" s="29"/>
    </row>
    <row r="114" spans="1:35" ht="14" customHeight="1" x14ac:dyDescent="0.15">
      <c r="A114" s="31"/>
      <c r="B114" s="32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</row>
    <row r="115" spans="1:35" ht="14" customHeight="1" x14ac:dyDescent="0.15">
      <c r="A115" s="31"/>
      <c r="B115" s="32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</row>
    <row r="116" spans="1:35" ht="14" customHeight="1" x14ac:dyDescent="0.15">
      <c r="A116" s="31"/>
      <c r="B116" s="32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</row>
    <row r="117" spans="1:35" ht="14" customHeight="1" x14ac:dyDescent="0.15">
      <c r="A117" s="31"/>
      <c r="B117" s="32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</row>
    <row r="118" spans="1:35" ht="14" customHeight="1" x14ac:dyDescent="0.15">
      <c r="A118" s="31"/>
      <c r="B118" s="32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  <c r="AA118" s="58"/>
      <c r="AB118" s="58"/>
      <c r="AC118" s="58"/>
      <c r="AD118" s="58"/>
      <c r="AE118" s="58"/>
      <c r="AF118" s="58"/>
      <c r="AG118" s="58"/>
      <c r="AH118" s="58"/>
      <c r="AI118" s="58"/>
    </row>
    <row r="119" spans="1:35" ht="14" customHeight="1" x14ac:dyDescent="0.15">
      <c r="A119" s="31"/>
      <c r="B119" s="32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  <c r="AA119" s="58"/>
      <c r="AB119" s="58"/>
      <c r="AC119" s="58"/>
      <c r="AD119" s="58"/>
      <c r="AE119" s="58"/>
      <c r="AF119" s="58"/>
      <c r="AG119" s="58"/>
      <c r="AH119" s="58"/>
      <c r="AI119" s="58"/>
    </row>
    <row r="120" spans="1:35" ht="14" customHeight="1" x14ac:dyDescent="0.15">
      <c r="A120" s="31"/>
      <c r="B120" s="32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  <c r="AA120" s="58"/>
      <c r="AB120" s="58"/>
      <c r="AC120" s="58"/>
      <c r="AD120" s="58"/>
      <c r="AE120" s="58"/>
      <c r="AF120" s="58"/>
      <c r="AG120" s="58"/>
      <c r="AH120" s="58"/>
      <c r="AI120" s="58"/>
    </row>
    <row r="121" spans="1:35" ht="14" customHeight="1" x14ac:dyDescent="0.15">
      <c r="A121" s="31"/>
      <c r="B121" s="32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</row>
    <row r="122" spans="1:35" ht="14" customHeight="1" x14ac:dyDescent="0.15">
      <c r="A122" s="31"/>
      <c r="B122" s="32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</row>
    <row r="123" spans="1:35" ht="14" customHeight="1" x14ac:dyDescent="0.15">
      <c r="A123" s="31"/>
      <c r="B123" s="32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</row>
    <row r="124" spans="1:35" ht="14" customHeight="1" x14ac:dyDescent="0.15">
      <c r="A124" s="33"/>
      <c r="B124" s="34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</row>
    <row r="125" spans="1:35" ht="14.5" customHeight="1" x14ac:dyDescent="0.2">
      <c r="A125" s="29"/>
    </row>
    <row r="126" spans="1:35" ht="14.5" customHeight="1" x14ac:dyDescent="0.2">
      <c r="A126" s="35"/>
      <c r="B126" s="32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</row>
    <row r="127" spans="1:35" ht="14" customHeight="1" x14ac:dyDescent="0.15">
      <c r="A127" s="31"/>
      <c r="B127" s="32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</row>
    <row r="128" spans="1:35" ht="14" customHeight="1" x14ac:dyDescent="0.15">
      <c r="A128" s="31"/>
      <c r="B128" s="32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</row>
    <row r="129" spans="1:35" ht="14" customHeight="1" x14ac:dyDescent="0.15">
      <c r="A129" s="31"/>
      <c r="B129" s="32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</row>
    <row r="130" spans="1:35" ht="14" customHeight="1" x14ac:dyDescent="0.15">
      <c r="A130" s="31"/>
      <c r="B130" s="32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</row>
    <row r="131" spans="1:35" ht="14" customHeight="1" x14ac:dyDescent="0.15">
      <c r="A131" s="31"/>
      <c r="B131" s="32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</row>
    <row r="132" spans="1:35" ht="14" customHeight="1" x14ac:dyDescent="0.15">
      <c r="A132" s="31"/>
      <c r="B132" s="32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</row>
    <row r="133" spans="1:35" ht="14" customHeight="1" x14ac:dyDescent="0.15">
      <c r="A133" s="31"/>
      <c r="B133" s="32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</row>
    <row r="134" spans="1:35" ht="14" customHeight="1" x14ac:dyDescent="0.15">
      <c r="A134" s="31"/>
      <c r="B134" s="32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</row>
    <row r="135" spans="1:35" ht="14" customHeight="1" x14ac:dyDescent="0.15">
      <c r="A135" s="31"/>
      <c r="B135" s="32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</row>
    <row r="136" spans="1:35" ht="14" customHeight="1" x14ac:dyDescent="0.15">
      <c r="A136" s="31"/>
      <c r="B136" s="32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</row>
    <row r="137" spans="1:35" ht="14" customHeight="1" x14ac:dyDescent="0.15">
      <c r="A137" s="31"/>
      <c r="B137" s="32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</row>
    <row r="138" spans="1:35" ht="14" customHeight="1" x14ac:dyDescent="0.15">
      <c r="A138" s="31"/>
      <c r="B138" s="32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</row>
    <row r="139" spans="1:35" ht="14" customHeight="1" x14ac:dyDescent="0.15">
      <c r="A139" s="31"/>
      <c r="B139" s="32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</row>
    <row r="140" spans="1:35" ht="14" customHeight="1" x14ac:dyDescent="0.15">
      <c r="A140" s="31"/>
      <c r="B140" s="32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</row>
    <row r="141" spans="1:35" ht="14" customHeight="1" x14ac:dyDescent="0.15">
      <c r="A141" s="31"/>
      <c r="B141" s="32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</row>
    <row r="142" spans="1:35" ht="14" customHeight="1" x14ac:dyDescent="0.15">
      <c r="A142" s="31"/>
      <c r="B142" s="32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</row>
    <row r="143" spans="1:35" ht="14" customHeight="1" x14ac:dyDescent="0.15">
      <c r="A143" s="31"/>
      <c r="B143" s="32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</row>
    <row r="144" spans="1:35" ht="14" customHeight="1" x14ac:dyDescent="0.15">
      <c r="A144" s="31"/>
      <c r="B144" s="32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</row>
    <row r="145" spans="1:35" ht="14" customHeight="1" x14ac:dyDescent="0.15">
      <c r="A145" s="31"/>
      <c r="B145" s="32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</row>
    <row r="146" spans="1:35" ht="14" customHeight="1" x14ac:dyDescent="0.15">
      <c r="A146" s="33"/>
      <c r="B146" s="34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</row>
    <row r="147" spans="1:35" ht="14" customHeight="1" x14ac:dyDescent="0.15">
      <c r="A147" s="31"/>
      <c r="B147" s="32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</row>
    <row r="148" spans="1:35" ht="14" customHeight="1" x14ac:dyDescent="0.15">
      <c r="A148" s="33"/>
      <c r="B148" s="34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</row>
    <row r="149" spans="1:35" ht="14" customHeight="1" x14ac:dyDescent="0.15"/>
    <row r="150" spans="1:35" ht="14" customHeight="1" x14ac:dyDescent="0.15">
      <c r="C150" s="60"/>
      <c r="D150" s="60"/>
      <c r="E150" s="60"/>
      <c r="F150" s="60"/>
      <c r="G150" s="60"/>
      <c r="H150" s="60"/>
      <c r="I150" s="60"/>
      <c r="J150" s="60"/>
      <c r="K150" s="60"/>
      <c r="L150" s="60"/>
    </row>
    <row r="151" spans="1:35" ht="14" customHeight="1" x14ac:dyDescent="0.15">
      <c r="C151" s="60"/>
      <c r="D151" s="60"/>
      <c r="E151" s="60"/>
      <c r="F151" s="60"/>
      <c r="G151" s="60"/>
      <c r="H151" s="60"/>
      <c r="I151" s="60"/>
      <c r="J151" s="60"/>
      <c r="K151" s="60"/>
      <c r="L151" s="60"/>
    </row>
    <row r="152" spans="1:35" ht="14" customHeight="1" x14ac:dyDescent="0.15"/>
    <row r="153" spans="1:35" ht="14" customHeight="1" x14ac:dyDescent="0.15"/>
    <row r="154" spans="1:35" ht="14" customHeight="1" x14ac:dyDescent="0.15"/>
    <row r="155" spans="1:35" ht="14" customHeight="1" x14ac:dyDescent="0.15"/>
    <row r="156" spans="1:35" ht="14" customHeight="1" x14ac:dyDescent="0.15"/>
    <row r="157" spans="1:35" ht="14" customHeight="1" x14ac:dyDescent="0.15"/>
    <row r="158" spans="1:35" ht="14" customHeight="1" x14ac:dyDescent="0.15"/>
    <row r="159" spans="1:35" ht="14" customHeight="1" x14ac:dyDescent="0.15"/>
    <row r="160" spans="1:35" ht="14" customHeight="1" x14ac:dyDescent="0.15"/>
    <row r="161" ht="14" customHeight="1" x14ac:dyDescent="0.15"/>
    <row r="162" ht="14" customHeight="1" x14ac:dyDescent="0.15"/>
    <row r="163" ht="14" customHeight="1" x14ac:dyDescent="0.15"/>
    <row r="164" ht="14" customHeight="1" x14ac:dyDescent="0.15"/>
    <row r="165" ht="14" customHeight="1" x14ac:dyDescent="0.15"/>
    <row r="166" ht="14" customHeight="1" x14ac:dyDescent="0.15"/>
    <row r="167" ht="14" customHeight="1" x14ac:dyDescent="0.15"/>
    <row r="168" ht="14" customHeight="1" x14ac:dyDescent="0.15"/>
    <row r="169" ht="14" customHeight="1" x14ac:dyDescent="0.15"/>
    <row r="170" ht="14" customHeight="1" x14ac:dyDescent="0.15"/>
    <row r="171" ht="14" customHeight="1" x14ac:dyDescent="0.15"/>
    <row r="172" ht="14" customHeight="1" x14ac:dyDescent="0.15"/>
    <row r="173" ht="14" customHeight="1" x14ac:dyDescent="0.15"/>
    <row r="174" ht="14" customHeight="1" x14ac:dyDescent="0.15"/>
    <row r="175" ht="14" customHeight="1" x14ac:dyDescent="0.15"/>
    <row r="176" ht="14" customHeight="1" x14ac:dyDescent="0.15"/>
    <row r="177" ht="14" customHeight="1" x14ac:dyDescent="0.15"/>
    <row r="178" ht="14" customHeight="1" x14ac:dyDescent="0.15"/>
    <row r="179" ht="14" customHeight="1" x14ac:dyDescent="0.15"/>
    <row r="180" ht="14" customHeight="1" x14ac:dyDescent="0.15"/>
    <row r="181" ht="14" customHeight="1" x14ac:dyDescent="0.15"/>
    <row r="182" ht="14" customHeight="1" x14ac:dyDescent="0.15"/>
    <row r="183" ht="14" customHeight="1" x14ac:dyDescent="0.15"/>
    <row r="184" ht="14" customHeight="1" x14ac:dyDescent="0.15"/>
    <row r="185" ht="14" customHeight="1" x14ac:dyDescent="0.15"/>
    <row r="186" ht="14" customHeight="1" x14ac:dyDescent="0.15"/>
    <row r="187" ht="14" customHeight="1" x14ac:dyDescent="0.15"/>
    <row r="188" ht="14" customHeight="1" x14ac:dyDescent="0.15"/>
    <row r="189" ht="14" customHeight="1" x14ac:dyDescent="0.15"/>
    <row r="190" ht="14" customHeight="1" x14ac:dyDescent="0.15"/>
    <row r="191" ht="14" customHeight="1" x14ac:dyDescent="0.15"/>
    <row r="192" ht="14" customHeight="1" x14ac:dyDescent="0.15"/>
    <row r="193" ht="14" customHeight="1" x14ac:dyDescent="0.15"/>
    <row r="194" ht="14" customHeight="1" x14ac:dyDescent="0.15"/>
    <row r="195" ht="14" customHeight="1" x14ac:dyDescent="0.15"/>
    <row r="196" ht="14" customHeight="1" x14ac:dyDescent="0.15"/>
    <row r="197" ht="14" customHeight="1" x14ac:dyDescent="0.15"/>
    <row r="198" ht="14" customHeight="1" x14ac:dyDescent="0.15"/>
    <row r="199" ht="14" customHeight="1" x14ac:dyDescent="0.15"/>
    <row r="200" ht="14" customHeight="1" x14ac:dyDescent="0.15"/>
    <row r="201" ht="14" customHeight="1" x14ac:dyDescent="0.15"/>
    <row r="202" ht="14" customHeight="1" x14ac:dyDescent="0.15"/>
    <row r="203" ht="14" customHeight="1" x14ac:dyDescent="0.15"/>
    <row r="204" ht="14" customHeight="1" x14ac:dyDescent="0.15"/>
    <row r="205" ht="14" customHeight="1" x14ac:dyDescent="0.15"/>
    <row r="206" ht="14" customHeight="1" x14ac:dyDescent="0.15"/>
    <row r="207" ht="14" customHeight="1" x14ac:dyDescent="0.15"/>
    <row r="208" ht="14" customHeight="1" x14ac:dyDescent="0.15"/>
    <row r="209" ht="14" customHeight="1" x14ac:dyDescent="0.15"/>
    <row r="210" ht="14" customHeight="1" x14ac:dyDescent="0.15"/>
    <row r="211" ht="14" customHeight="1" x14ac:dyDescent="0.15"/>
    <row r="212" ht="14" customHeight="1" x14ac:dyDescent="0.15"/>
    <row r="213" ht="14" customHeight="1" x14ac:dyDescent="0.15"/>
    <row r="214" ht="14" customHeight="1" x14ac:dyDescent="0.15"/>
    <row r="215" ht="14" customHeight="1" x14ac:dyDescent="0.15"/>
    <row r="216" ht="14" customHeight="1" x14ac:dyDescent="0.15"/>
    <row r="217" ht="14" customHeight="1" x14ac:dyDescent="0.15"/>
    <row r="218" ht="14" customHeight="1" x14ac:dyDescent="0.15"/>
    <row r="219" ht="14" customHeight="1" x14ac:dyDescent="0.15"/>
    <row r="220" ht="14" customHeight="1" x14ac:dyDescent="0.15"/>
    <row r="221" ht="14" customHeight="1" x14ac:dyDescent="0.15"/>
    <row r="222" ht="14" customHeight="1" x14ac:dyDescent="0.15"/>
    <row r="223" ht="14" customHeight="1" x14ac:dyDescent="0.15"/>
    <row r="224" ht="14" customHeight="1" x14ac:dyDescent="0.15"/>
    <row r="225" ht="14" customHeight="1" x14ac:dyDescent="0.15"/>
    <row r="226" ht="14" customHeight="1" x14ac:dyDescent="0.15"/>
    <row r="227" ht="14" customHeight="1" x14ac:dyDescent="0.15"/>
    <row r="228" ht="14" customHeight="1" x14ac:dyDescent="0.15"/>
    <row r="229" ht="14" customHeight="1" x14ac:dyDescent="0.15"/>
    <row r="230" ht="14" customHeight="1" x14ac:dyDescent="0.15"/>
    <row r="231" ht="14" customHeight="1" x14ac:dyDescent="0.15"/>
    <row r="232" ht="14" customHeight="1" x14ac:dyDescent="0.15"/>
    <row r="233" ht="14" customHeight="1" x14ac:dyDescent="0.15"/>
    <row r="234" ht="14" customHeight="1" x14ac:dyDescent="0.15"/>
    <row r="235" ht="14" customHeight="1" x14ac:dyDescent="0.15"/>
    <row r="236" ht="14" customHeight="1" x14ac:dyDescent="0.15"/>
    <row r="237" ht="14" customHeight="1" x14ac:dyDescent="0.15"/>
    <row r="238" ht="14" customHeight="1" x14ac:dyDescent="0.15"/>
    <row r="239" ht="14" customHeight="1" x14ac:dyDescent="0.15"/>
    <row r="240" ht="14" customHeight="1" x14ac:dyDescent="0.15"/>
    <row r="241" ht="14" customHeight="1" x14ac:dyDescent="0.15"/>
    <row r="242" ht="14" customHeight="1" x14ac:dyDescent="0.15"/>
    <row r="243" ht="14" customHeight="1" x14ac:dyDescent="0.15"/>
    <row r="244" ht="14" customHeight="1" x14ac:dyDescent="0.15"/>
    <row r="245" ht="14" customHeight="1" x14ac:dyDescent="0.15"/>
    <row r="246" ht="14" customHeight="1" x14ac:dyDescent="0.15"/>
    <row r="247" ht="14" customHeight="1" x14ac:dyDescent="0.15"/>
    <row r="248" ht="14" customHeight="1" x14ac:dyDescent="0.15"/>
    <row r="249" ht="14" customHeight="1" x14ac:dyDescent="0.15"/>
    <row r="250" ht="14" customHeight="1" x14ac:dyDescent="0.15"/>
    <row r="251" ht="14" customHeight="1" x14ac:dyDescent="0.15"/>
    <row r="252" ht="14" customHeight="1" x14ac:dyDescent="0.15"/>
    <row r="253" ht="14" customHeight="1" x14ac:dyDescent="0.15"/>
    <row r="254" ht="14" customHeight="1" x14ac:dyDescent="0.15"/>
    <row r="255" ht="14" customHeight="1" x14ac:dyDescent="0.15"/>
    <row r="256" ht="14" customHeight="1" x14ac:dyDescent="0.15"/>
    <row r="257" ht="14" customHeight="1" x14ac:dyDescent="0.15"/>
    <row r="258" ht="14" customHeight="1" x14ac:dyDescent="0.15"/>
    <row r="259" ht="14" customHeight="1" x14ac:dyDescent="0.15"/>
    <row r="260" ht="14" customHeight="1" x14ac:dyDescent="0.15"/>
    <row r="261" ht="14" customHeight="1" x14ac:dyDescent="0.15"/>
    <row r="262" ht="14" customHeight="1" x14ac:dyDescent="0.15"/>
    <row r="263" ht="14" customHeight="1" x14ac:dyDescent="0.15"/>
    <row r="264" ht="14" customHeight="1" x14ac:dyDescent="0.15"/>
    <row r="265" ht="14" customHeight="1" x14ac:dyDescent="0.15"/>
    <row r="266" ht="14" customHeight="1" x14ac:dyDescent="0.15"/>
    <row r="267" ht="14" customHeight="1" x14ac:dyDescent="0.15"/>
    <row r="268" ht="14" customHeight="1" x14ac:dyDescent="0.15"/>
    <row r="269" ht="14" customHeight="1" x14ac:dyDescent="0.15"/>
    <row r="270" ht="14" customHeight="1" x14ac:dyDescent="0.15"/>
    <row r="271" ht="14" customHeight="1" x14ac:dyDescent="0.15"/>
    <row r="272" ht="14" customHeight="1" x14ac:dyDescent="0.15"/>
    <row r="273" ht="14" customHeight="1" x14ac:dyDescent="0.15"/>
    <row r="274" ht="14" customHeight="1" x14ac:dyDescent="0.15"/>
    <row r="275" ht="14" customHeight="1" x14ac:dyDescent="0.15"/>
    <row r="276" ht="14" customHeight="1" x14ac:dyDescent="0.15"/>
    <row r="277" ht="14" customHeight="1" x14ac:dyDescent="0.15"/>
    <row r="278" ht="14" customHeight="1" x14ac:dyDescent="0.15"/>
    <row r="279" ht="14" customHeight="1" x14ac:dyDescent="0.15"/>
    <row r="280" ht="14" customHeight="1" x14ac:dyDescent="0.15"/>
    <row r="281" ht="14" customHeight="1" x14ac:dyDescent="0.15"/>
    <row r="282" ht="14" customHeight="1" x14ac:dyDescent="0.15"/>
    <row r="283" ht="14" customHeight="1" x14ac:dyDescent="0.15"/>
    <row r="284" ht="14" customHeight="1" x14ac:dyDescent="0.15"/>
    <row r="285" ht="14" customHeight="1" x14ac:dyDescent="0.15"/>
    <row r="286" ht="14" customHeight="1" x14ac:dyDescent="0.15"/>
    <row r="287" ht="14" customHeight="1" x14ac:dyDescent="0.15"/>
    <row r="288" ht="14" customHeight="1" x14ac:dyDescent="0.15"/>
    <row r="289" ht="14" customHeight="1" x14ac:dyDescent="0.15"/>
    <row r="290" ht="14" customHeight="1" x14ac:dyDescent="0.15"/>
    <row r="291" ht="14" customHeight="1" x14ac:dyDescent="0.15"/>
    <row r="292" ht="14" customHeight="1" x14ac:dyDescent="0.15"/>
    <row r="293" ht="14" customHeight="1" x14ac:dyDescent="0.15"/>
    <row r="294" ht="14" customHeight="1" x14ac:dyDescent="0.15"/>
    <row r="295" ht="14" customHeight="1" x14ac:dyDescent="0.15"/>
    <row r="296" ht="14" customHeight="1" x14ac:dyDescent="0.15"/>
    <row r="297" ht="14" customHeight="1" x14ac:dyDescent="0.15"/>
    <row r="298" ht="14" customHeight="1" x14ac:dyDescent="0.15"/>
    <row r="299" ht="14" customHeight="1" x14ac:dyDescent="0.15"/>
    <row r="300" ht="14" customHeight="1" x14ac:dyDescent="0.15"/>
    <row r="301" ht="14" customHeight="1" x14ac:dyDescent="0.15"/>
    <row r="302" ht="14" customHeight="1" x14ac:dyDescent="0.15"/>
    <row r="303" ht="14" customHeight="1" x14ac:dyDescent="0.15"/>
    <row r="304" ht="14" customHeight="1" x14ac:dyDescent="0.15"/>
    <row r="305" ht="14" customHeight="1" x14ac:dyDescent="0.15"/>
    <row r="306" ht="14" customHeight="1" x14ac:dyDescent="0.15"/>
    <row r="307" ht="14" customHeight="1" x14ac:dyDescent="0.15"/>
    <row r="308" ht="14" customHeight="1" x14ac:dyDescent="0.15"/>
    <row r="309" ht="14" customHeight="1" x14ac:dyDescent="0.15"/>
    <row r="310" ht="14" customHeight="1" x14ac:dyDescent="0.15"/>
    <row r="311" ht="14" customHeight="1" x14ac:dyDescent="0.15"/>
    <row r="312" ht="14" customHeight="1" x14ac:dyDescent="0.15"/>
    <row r="313" ht="14" customHeight="1" x14ac:dyDescent="0.15"/>
    <row r="314" ht="14" customHeight="1" x14ac:dyDescent="0.15"/>
    <row r="315" ht="14" customHeight="1" x14ac:dyDescent="0.15"/>
    <row r="316" ht="14" customHeight="1" x14ac:dyDescent="0.15"/>
    <row r="317" ht="14" customHeight="1" x14ac:dyDescent="0.15"/>
    <row r="318" ht="14" customHeight="1" x14ac:dyDescent="0.15"/>
    <row r="319" ht="14" customHeight="1" x14ac:dyDescent="0.15"/>
    <row r="320" ht="14" customHeight="1" x14ac:dyDescent="0.15"/>
    <row r="321" ht="14" customHeight="1" x14ac:dyDescent="0.15"/>
    <row r="322" ht="14" customHeight="1" x14ac:dyDescent="0.15"/>
    <row r="323" ht="14" customHeight="1" x14ac:dyDescent="0.15"/>
    <row r="324" ht="14" customHeight="1" x14ac:dyDescent="0.15"/>
    <row r="325" ht="14" customHeight="1" x14ac:dyDescent="0.15"/>
    <row r="326" ht="14" customHeight="1" x14ac:dyDescent="0.15"/>
    <row r="327" ht="14" customHeight="1" x14ac:dyDescent="0.15"/>
    <row r="328" ht="14" customHeight="1" x14ac:dyDescent="0.15"/>
    <row r="329" ht="14" customHeight="1" x14ac:dyDescent="0.15"/>
    <row r="330" ht="14" customHeight="1" x14ac:dyDescent="0.15"/>
    <row r="331" ht="14" customHeight="1" x14ac:dyDescent="0.15"/>
    <row r="332" ht="14" customHeight="1" x14ac:dyDescent="0.15"/>
    <row r="333" ht="14" customHeight="1" x14ac:dyDescent="0.15"/>
    <row r="334" ht="14" customHeight="1" x14ac:dyDescent="0.15"/>
    <row r="335" ht="14" customHeight="1" x14ac:dyDescent="0.15"/>
    <row r="336" ht="14" customHeight="1" x14ac:dyDescent="0.15"/>
    <row r="337" ht="14" customHeight="1" x14ac:dyDescent="0.15"/>
    <row r="338" ht="14" customHeight="1" x14ac:dyDescent="0.15"/>
    <row r="339" ht="14" customHeight="1" x14ac:dyDescent="0.15"/>
    <row r="340" ht="14" customHeight="1" x14ac:dyDescent="0.15"/>
    <row r="341" ht="14" customHeight="1" x14ac:dyDescent="0.15"/>
    <row r="342" ht="14" customHeight="1" x14ac:dyDescent="0.15"/>
    <row r="343" ht="14" customHeight="1" x14ac:dyDescent="0.15"/>
    <row r="344" ht="14" customHeight="1" x14ac:dyDescent="0.15"/>
    <row r="345" ht="14" customHeight="1" x14ac:dyDescent="0.15"/>
    <row r="346" ht="14" customHeight="1" x14ac:dyDescent="0.15"/>
    <row r="347" ht="14" customHeight="1" x14ac:dyDescent="0.15"/>
    <row r="348" ht="14" customHeight="1" x14ac:dyDescent="0.15"/>
    <row r="349" ht="14" customHeight="1" x14ac:dyDescent="0.15"/>
    <row r="350" ht="14" customHeight="1" x14ac:dyDescent="0.15"/>
    <row r="351" ht="14" customHeight="1" x14ac:dyDescent="0.15"/>
    <row r="352" ht="14" customHeight="1" x14ac:dyDescent="0.15"/>
    <row r="353" ht="14" customHeight="1" x14ac:dyDescent="0.15"/>
    <row r="354" ht="14" customHeight="1" x14ac:dyDescent="0.15"/>
    <row r="355" ht="14" customHeight="1" x14ac:dyDescent="0.15"/>
    <row r="356" ht="14" customHeight="1" x14ac:dyDescent="0.15"/>
    <row r="357" ht="14" customHeight="1" x14ac:dyDescent="0.15"/>
    <row r="358" ht="14" customHeight="1" x14ac:dyDescent="0.15"/>
    <row r="359" ht="14" customHeight="1" x14ac:dyDescent="0.15"/>
    <row r="360" ht="14" customHeight="1" x14ac:dyDescent="0.15"/>
    <row r="361" ht="14" customHeight="1" x14ac:dyDescent="0.15"/>
    <row r="362" ht="14" customHeight="1" x14ac:dyDescent="0.15"/>
    <row r="363" ht="14" customHeight="1" x14ac:dyDescent="0.15"/>
    <row r="364" ht="14" customHeight="1" x14ac:dyDescent="0.15"/>
    <row r="365" ht="14" customHeight="1" x14ac:dyDescent="0.15"/>
    <row r="366" ht="14" customHeight="1" x14ac:dyDescent="0.15"/>
    <row r="367" ht="14" customHeight="1" x14ac:dyDescent="0.15"/>
    <row r="368" ht="14" customHeight="1" x14ac:dyDescent="0.15"/>
    <row r="369" ht="14" customHeight="1" x14ac:dyDescent="0.15"/>
    <row r="370" ht="14" customHeight="1" x14ac:dyDescent="0.15"/>
    <row r="371" ht="14" customHeight="1" x14ac:dyDescent="0.15"/>
    <row r="372" ht="14" customHeight="1" x14ac:dyDescent="0.15"/>
    <row r="373" ht="14" customHeight="1" x14ac:dyDescent="0.15"/>
    <row r="374" ht="14" customHeight="1" x14ac:dyDescent="0.15"/>
    <row r="375" ht="14" customHeight="1" x14ac:dyDescent="0.15"/>
    <row r="376" ht="14" customHeight="1" x14ac:dyDescent="0.15"/>
    <row r="377" ht="14" customHeight="1" x14ac:dyDescent="0.15"/>
    <row r="378" ht="14" customHeight="1" x14ac:dyDescent="0.15"/>
    <row r="379" ht="14" customHeight="1" x14ac:dyDescent="0.15"/>
    <row r="380" ht="14" customHeight="1" x14ac:dyDescent="0.15"/>
    <row r="381" ht="14" customHeight="1" x14ac:dyDescent="0.15"/>
    <row r="382" ht="14" customHeight="1" x14ac:dyDescent="0.15"/>
    <row r="383" ht="14" customHeight="1" x14ac:dyDescent="0.15"/>
    <row r="384" ht="14" customHeight="1" x14ac:dyDescent="0.15"/>
    <row r="385" ht="14" customHeight="1" x14ac:dyDescent="0.15"/>
    <row r="386" ht="14" customHeight="1" x14ac:dyDescent="0.15"/>
    <row r="387" ht="14" customHeight="1" x14ac:dyDescent="0.15"/>
    <row r="388" ht="14" customHeight="1" x14ac:dyDescent="0.15"/>
    <row r="389" ht="14" customHeight="1" x14ac:dyDescent="0.15"/>
    <row r="390" ht="14" customHeight="1" x14ac:dyDescent="0.15"/>
    <row r="391" ht="14" customHeight="1" x14ac:dyDescent="0.15"/>
    <row r="392" ht="14" customHeight="1" x14ac:dyDescent="0.15"/>
    <row r="393" ht="14" customHeight="1" x14ac:dyDescent="0.15"/>
    <row r="394" ht="14" customHeight="1" x14ac:dyDescent="0.15"/>
    <row r="395" ht="14" customHeight="1" x14ac:dyDescent="0.15"/>
    <row r="396" ht="14" customHeight="1" x14ac:dyDescent="0.15"/>
    <row r="397" ht="14" customHeight="1" x14ac:dyDescent="0.15"/>
    <row r="398" ht="14" customHeight="1" x14ac:dyDescent="0.15"/>
    <row r="399" ht="14" customHeight="1" x14ac:dyDescent="0.15"/>
    <row r="400" ht="14" customHeight="1" x14ac:dyDescent="0.15"/>
    <row r="401" ht="14" customHeight="1" x14ac:dyDescent="0.15"/>
    <row r="402" ht="14" customHeight="1" x14ac:dyDescent="0.15"/>
    <row r="403" ht="14" customHeight="1" x14ac:dyDescent="0.15"/>
    <row r="404" ht="14" customHeight="1" x14ac:dyDescent="0.15"/>
    <row r="405" ht="14" customHeight="1" x14ac:dyDescent="0.15"/>
    <row r="406" ht="14" customHeight="1" x14ac:dyDescent="0.15"/>
    <row r="407" ht="14" customHeight="1" x14ac:dyDescent="0.15"/>
    <row r="408" ht="14" customHeight="1" x14ac:dyDescent="0.15"/>
    <row r="409" ht="14" customHeight="1" x14ac:dyDescent="0.15"/>
    <row r="410" ht="14" customHeight="1" x14ac:dyDescent="0.15"/>
    <row r="411" ht="14" customHeight="1" x14ac:dyDescent="0.15"/>
    <row r="412" ht="14" customHeight="1" x14ac:dyDescent="0.15"/>
    <row r="413" ht="14" customHeight="1" x14ac:dyDescent="0.15"/>
    <row r="414" ht="14" customHeight="1" x14ac:dyDescent="0.15"/>
    <row r="415" ht="14" customHeight="1" x14ac:dyDescent="0.15"/>
    <row r="416" ht="14" customHeight="1" x14ac:dyDescent="0.15"/>
    <row r="417" ht="14" customHeight="1" x14ac:dyDescent="0.15"/>
    <row r="418" ht="14" customHeight="1" x14ac:dyDescent="0.15"/>
    <row r="419" ht="14" customHeight="1" x14ac:dyDescent="0.15"/>
    <row r="420" ht="14" customHeight="1" x14ac:dyDescent="0.15"/>
    <row r="421" ht="14" customHeight="1" x14ac:dyDescent="0.15"/>
    <row r="422" ht="14" customHeight="1" x14ac:dyDescent="0.15"/>
    <row r="423" ht="14" customHeight="1" x14ac:dyDescent="0.15"/>
    <row r="424" ht="14" customHeight="1" x14ac:dyDescent="0.15"/>
    <row r="425" ht="14" customHeight="1" x14ac:dyDescent="0.15"/>
    <row r="426" ht="14" customHeight="1" x14ac:dyDescent="0.15"/>
    <row r="427" ht="14" customHeight="1" x14ac:dyDescent="0.15"/>
    <row r="428" ht="14" customHeight="1" x14ac:dyDescent="0.15"/>
    <row r="429" ht="14" customHeight="1" x14ac:dyDescent="0.15"/>
    <row r="430" ht="14" customHeight="1" x14ac:dyDescent="0.15"/>
    <row r="431" ht="14" customHeight="1" x14ac:dyDescent="0.15"/>
    <row r="432" ht="14" customHeight="1" x14ac:dyDescent="0.15"/>
    <row r="433" ht="14" customHeight="1" x14ac:dyDescent="0.15"/>
    <row r="434" ht="14" customHeight="1" x14ac:dyDescent="0.15"/>
    <row r="435" ht="14" customHeight="1" x14ac:dyDescent="0.15"/>
    <row r="436" ht="14" customHeight="1" x14ac:dyDescent="0.15"/>
    <row r="437" ht="14" customHeight="1" x14ac:dyDescent="0.15"/>
    <row r="438" ht="14" customHeight="1" x14ac:dyDescent="0.15"/>
    <row r="439" ht="14" customHeight="1" x14ac:dyDescent="0.15"/>
    <row r="440" ht="14" customHeight="1" x14ac:dyDescent="0.15"/>
    <row r="441" ht="14" customHeight="1" x14ac:dyDescent="0.15"/>
    <row r="442" ht="14" customHeight="1" x14ac:dyDescent="0.15"/>
    <row r="443" ht="14" customHeight="1" x14ac:dyDescent="0.15"/>
    <row r="444" ht="14" customHeight="1" x14ac:dyDescent="0.15"/>
    <row r="445" ht="14" customHeight="1" x14ac:dyDescent="0.15"/>
    <row r="446" ht="14" customHeight="1" x14ac:dyDescent="0.15"/>
    <row r="447" ht="14" customHeight="1" x14ac:dyDescent="0.15"/>
    <row r="448" ht="14" customHeight="1" x14ac:dyDescent="0.15"/>
    <row r="449" ht="14" customHeight="1" x14ac:dyDescent="0.15"/>
    <row r="450" ht="14" customHeight="1" x14ac:dyDescent="0.15"/>
    <row r="451" ht="14" customHeight="1" x14ac:dyDescent="0.15"/>
    <row r="452" ht="14" customHeight="1" x14ac:dyDescent="0.15"/>
    <row r="453" ht="14" customHeight="1" x14ac:dyDescent="0.15"/>
    <row r="454" ht="14" customHeight="1" x14ac:dyDescent="0.15"/>
    <row r="455" ht="14" customHeight="1" x14ac:dyDescent="0.15"/>
    <row r="456" ht="14" customHeight="1" x14ac:dyDescent="0.15"/>
    <row r="457" ht="14" customHeight="1" x14ac:dyDescent="0.15"/>
    <row r="458" ht="14" customHeight="1" x14ac:dyDescent="0.15"/>
    <row r="459" ht="14" customHeight="1" x14ac:dyDescent="0.15"/>
    <row r="460" ht="14" customHeight="1" x14ac:dyDescent="0.15"/>
    <row r="461" ht="14" customHeight="1" x14ac:dyDescent="0.15"/>
    <row r="462" ht="14" customHeight="1" x14ac:dyDescent="0.15"/>
    <row r="463" ht="14" customHeight="1" x14ac:dyDescent="0.15"/>
    <row r="464" ht="14" customHeight="1" x14ac:dyDescent="0.15"/>
    <row r="465" ht="14" customHeight="1" x14ac:dyDescent="0.15"/>
    <row r="466" ht="14" customHeight="1" x14ac:dyDescent="0.15"/>
    <row r="467" ht="14" customHeight="1" x14ac:dyDescent="0.15"/>
    <row r="468" ht="14" customHeight="1" x14ac:dyDescent="0.15"/>
    <row r="469" ht="14" customHeight="1" x14ac:dyDescent="0.15"/>
    <row r="470" ht="14" customHeight="1" x14ac:dyDescent="0.15"/>
    <row r="471" ht="14" customHeight="1" x14ac:dyDescent="0.15"/>
    <row r="472" ht="14" customHeight="1" x14ac:dyDescent="0.15"/>
    <row r="473" ht="14" customHeight="1" x14ac:dyDescent="0.15"/>
    <row r="474" ht="14" customHeight="1" x14ac:dyDescent="0.15"/>
    <row r="475" ht="14" customHeight="1" x14ac:dyDescent="0.15"/>
    <row r="476" ht="14" customHeight="1" x14ac:dyDescent="0.15"/>
    <row r="477" ht="14" customHeight="1" x14ac:dyDescent="0.15"/>
    <row r="478" ht="14" customHeight="1" x14ac:dyDescent="0.15"/>
    <row r="479" ht="14" customHeight="1" x14ac:dyDescent="0.15"/>
    <row r="480" ht="14" customHeight="1" x14ac:dyDescent="0.15"/>
    <row r="481" ht="14" customHeight="1" x14ac:dyDescent="0.15"/>
    <row r="482" ht="14" customHeight="1" x14ac:dyDescent="0.15"/>
    <row r="483" ht="14" customHeight="1" x14ac:dyDescent="0.15"/>
    <row r="484" ht="14" customHeight="1" x14ac:dyDescent="0.15"/>
    <row r="485" ht="14" customHeight="1" x14ac:dyDescent="0.15"/>
    <row r="486" ht="14" customHeight="1" x14ac:dyDescent="0.15"/>
    <row r="487" ht="14" customHeight="1" x14ac:dyDescent="0.15"/>
    <row r="488" ht="14" customHeight="1" x14ac:dyDescent="0.15"/>
    <row r="489" ht="14" customHeight="1" x14ac:dyDescent="0.15"/>
    <row r="490" ht="14" customHeight="1" x14ac:dyDescent="0.15"/>
    <row r="491" ht="14" customHeight="1" x14ac:dyDescent="0.15"/>
    <row r="492" ht="14" customHeight="1" x14ac:dyDescent="0.15"/>
    <row r="493" ht="14" customHeight="1" x14ac:dyDescent="0.15"/>
    <row r="494" ht="14" customHeight="1" x14ac:dyDescent="0.15"/>
    <row r="495" ht="14" customHeight="1" x14ac:dyDescent="0.15"/>
    <row r="496" ht="14" customHeight="1" x14ac:dyDescent="0.15"/>
    <row r="497" ht="14" customHeight="1" x14ac:dyDescent="0.15"/>
    <row r="498" ht="14" customHeight="1" x14ac:dyDescent="0.15"/>
    <row r="499" ht="14" customHeight="1" x14ac:dyDescent="0.15"/>
    <row r="500" ht="14" customHeight="1" x14ac:dyDescent="0.15"/>
    <row r="501" ht="14" customHeight="1" x14ac:dyDescent="0.15"/>
    <row r="502" ht="14" customHeight="1" x14ac:dyDescent="0.15"/>
    <row r="503" ht="14" customHeight="1" x14ac:dyDescent="0.15"/>
    <row r="504" ht="14" customHeight="1" x14ac:dyDescent="0.15"/>
    <row r="505" ht="14" customHeight="1" x14ac:dyDescent="0.15"/>
    <row r="506" ht="14" customHeight="1" x14ac:dyDescent="0.15"/>
    <row r="507" ht="14" customHeight="1" x14ac:dyDescent="0.15"/>
    <row r="508" ht="14" customHeight="1" x14ac:dyDescent="0.15"/>
    <row r="509" ht="14" customHeight="1" x14ac:dyDescent="0.15"/>
    <row r="510" ht="14" customHeight="1" x14ac:dyDescent="0.15"/>
    <row r="511" ht="14" customHeight="1" x14ac:dyDescent="0.15"/>
    <row r="512" ht="14" customHeight="1" x14ac:dyDescent="0.15"/>
    <row r="513" ht="14" customHeight="1" x14ac:dyDescent="0.15"/>
    <row r="514" ht="14" customHeight="1" x14ac:dyDescent="0.15"/>
    <row r="515" ht="14" customHeight="1" x14ac:dyDescent="0.15"/>
    <row r="516" ht="14" customHeight="1" x14ac:dyDescent="0.15"/>
    <row r="517" ht="14" customHeight="1" x14ac:dyDescent="0.15"/>
    <row r="518" ht="14" customHeight="1" x14ac:dyDescent="0.15"/>
    <row r="519" ht="14" customHeight="1" x14ac:dyDescent="0.15"/>
    <row r="520" ht="14" customHeight="1" x14ac:dyDescent="0.15"/>
    <row r="521" ht="14" customHeight="1" x14ac:dyDescent="0.15"/>
    <row r="522" ht="14" customHeight="1" x14ac:dyDescent="0.15"/>
    <row r="523" ht="14" customHeight="1" x14ac:dyDescent="0.15"/>
    <row r="524" ht="14" customHeight="1" x14ac:dyDescent="0.15"/>
    <row r="525" ht="14" customHeight="1" x14ac:dyDescent="0.15"/>
    <row r="526" ht="14" customHeight="1" x14ac:dyDescent="0.15"/>
    <row r="527" ht="14" customHeight="1" x14ac:dyDescent="0.15"/>
    <row r="528" ht="14" customHeight="1" x14ac:dyDescent="0.15"/>
    <row r="529" ht="14" customHeight="1" x14ac:dyDescent="0.15"/>
    <row r="530" ht="14" customHeight="1" x14ac:dyDescent="0.15"/>
    <row r="531" ht="14" customHeight="1" x14ac:dyDescent="0.15"/>
    <row r="532" ht="14" customHeight="1" x14ac:dyDescent="0.15"/>
    <row r="533" ht="14" customHeight="1" x14ac:dyDescent="0.15"/>
    <row r="534" ht="14" customHeight="1" x14ac:dyDescent="0.15"/>
    <row r="535" ht="14" customHeight="1" x14ac:dyDescent="0.15"/>
    <row r="536" ht="14" customHeight="1" x14ac:dyDescent="0.15"/>
    <row r="537" ht="14" customHeight="1" x14ac:dyDescent="0.15"/>
    <row r="538" ht="14" customHeight="1" x14ac:dyDescent="0.15"/>
    <row r="539" ht="14" customHeight="1" x14ac:dyDescent="0.15"/>
    <row r="540" ht="14" customHeight="1" x14ac:dyDescent="0.15"/>
    <row r="541" ht="14" customHeight="1" x14ac:dyDescent="0.15"/>
    <row r="542" ht="14" customHeight="1" x14ac:dyDescent="0.15"/>
    <row r="543" ht="14" customHeight="1" x14ac:dyDescent="0.15"/>
    <row r="544" ht="14" customHeight="1" x14ac:dyDescent="0.15"/>
    <row r="545" ht="14" customHeight="1" x14ac:dyDescent="0.15"/>
    <row r="546" ht="14" customHeight="1" x14ac:dyDescent="0.15"/>
    <row r="547" ht="14" customHeight="1" x14ac:dyDescent="0.15"/>
    <row r="548" ht="14" customHeight="1" x14ac:dyDescent="0.15"/>
    <row r="549" ht="14" customHeight="1" x14ac:dyDescent="0.15"/>
    <row r="550" ht="14" customHeight="1" x14ac:dyDescent="0.15"/>
    <row r="551" ht="14" customHeight="1" x14ac:dyDescent="0.15"/>
    <row r="552" ht="14" customHeight="1" x14ac:dyDescent="0.15"/>
    <row r="553" ht="14" customHeight="1" x14ac:dyDescent="0.15"/>
    <row r="554" ht="14" customHeight="1" x14ac:dyDescent="0.15"/>
    <row r="555" ht="14" customHeight="1" x14ac:dyDescent="0.15"/>
    <row r="556" ht="14" customHeight="1" x14ac:dyDescent="0.15"/>
    <row r="557" ht="14" customHeight="1" x14ac:dyDescent="0.15"/>
    <row r="558" ht="14" customHeight="1" x14ac:dyDescent="0.15"/>
    <row r="559" ht="14" customHeight="1" x14ac:dyDescent="0.15"/>
    <row r="560" ht="14" customHeight="1" x14ac:dyDescent="0.15"/>
    <row r="561" ht="14" customHeight="1" x14ac:dyDescent="0.15"/>
    <row r="562" ht="14" customHeight="1" x14ac:dyDescent="0.15"/>
    <row r="563" ht="14" customHeight="1" x14ac:dyDescent="0.15"/>
    <row r="564" ht="14" customHeight="1" x14ac:dyDescent="0.15"/>
    <row r="565" ht="14" customHeight="1" x14ac:dyDescent="0.15"/>
    <row r="566" ht="14" customHeight="1" x14ac:dyDescent="0.15"/>
    <row r="567" ht="14" customHeight="1" x14ac:dyDescent="0.15"/>
    <row r="568" ht="14" customHeight="1" x14ac:dyDescent="0.15"/>
    <row r="569" ht="14" customHeight="1" x14ac:dyDescent="0.15"/>
    <row r="570" ht="14" customHeight="1" x14ac:dyDescent="0.15"/>
    <row r="571" ht="14" customHeight="1" x14ac:dyDescent="0.15"/>
    <row r="572" ht="14" customHeight="1" x14ac:dyDescent="0.15"/>
    <row r="573" ht="14" customHeight="1" x14ac:dyDescent="0.15"/>
    <row r="574" ht="14" customHeight="1" x14ac:dyDescent="0.15"/>
    <row r="575" ht="14" customHeight="1" x14ac:dyDescent="0.15"/>
    <row r="576" ht="14" customHeight="1" x14ac:dyDescent="0.15"/>
    <row r="577" ht="14" customHeight="1" x14ac:dyDescent="0.15"/>
    <row r="578" ht="14" customHeight="1" x14ac:dyDescent="0.15"/>
    <row r="579" ht="14" customHeight="1" x14ac:dyDescent="0.15"/>
    <row r="580" ht="14" customHeight="1" x14ac:dyDescent="0.15"/>
    <row r="581" ht="14" customHeight="1" x14ac:dyDescent="0.15"/>
    <row r="582" ht="14" customHeight="1" x14ac:dyDescent="0.15"/>
    <row r="583" ht="14" customHeight="1" x14ac:dyDescent="0.15"/>
    <row r="584" ht="14" customHeight="1" x14ac:dyDescent="0.15"/>
    <row r="585" ht="14" customHeight="1" x14ac:dyDescent="0.15"/>
    <row r="586" ht="14" customHeight="1" x14ac:dyDescent="0.15"/>
    <row r="587" ht="14" customHeight="1" x14ac:dyDescent="0.15"/>
    <row r="588" ht="14" customHeight="1" x14ac:dyDescent="0.15"/>
    <row r="589" ht="14" customHeight="1" x14ac:dyDescent="0.15"/>
    <row r="590" ht="14" customHeight="1" x14ac:dyDescent="0.15"/>
    <row r="591" ht="14" customHeight="1" x14ac:dyDescent="0.15"/>
    <row r="592" ht="14" customHeight="1" x14ac:dyDescent="0.15"/>
    <row r="593" ht="14" customHeight="1" x14ac:dyDescent="0.15"/>
    <row r="594" ht="14" customHeight="1" x14ac:dyDescent="0.15"/>
    <row r="595" ht="14" customHeight="1" x14ac:dyDescent="0.15"/>
    <row r="596" ht="14" customHeight="1" x14ac:dyDescent="0.15"/>
    <row r="597" ht="14" customHeight="1" x14ac:dyDescent="0.15"/>
    <row r="598" ht="14" customHeight="1" x14ac:dyDescent="0.15"/>
    <row r="599" ht="14" customHeight="1" x14ac:dyDescent="0.15"/>
    <row r="600" ht="14" customHeight="1" x14ac:dyDescent="0.15"/>
    <row r="601" ht="14" customHeight="1" x14ac:dyDescent="0.15"/>
    <row r="602" ht="14" customHeight="1" x14ac:dyDescent="0.15"/>
    <row r="603" ht="14" customHeight="1" x14ac:dyDescent="0.15"/>
    <row r="604" ht="14" customHeight="1" x14ac:dyDescent="0.15"/>
    <row r="605" ht="14" customHeight="1" x14ac:dyDescent="0.15"/>
    <row r="606" ht="14" customHeight="1" x14ac:dyDescent="0.15"/>
    <row r="607" ht="14" customHeight="1" x14ac:dyDescent="0.15"/>
    <row r="608" ht="14" customHeight="1" x14ac:dyDescent="0.15"/>
    <row r="609" ht="14" customHeight="1" x14ac:dyDescent="0.15"/>
    <row r="610" ht="14" customHeight="1" x14ac:dyDescent="0.15"/>
    <row r="611" ht="14" customHeight="1" x14ac:dyDescent="0.15"/>
    <row r="612" ht="14" customHeight="1" x14ac:dyDescent="0.15"/>
    <row r="613" ht="14" customHeight="1" x14ac:dyDescent="0.15"/>
    <row r="614" ht="14" customHeight="1" x14ac:dyDescent="0.15"/>
    <row r="615" ht="14" customHeight="1" x14ac:dyDescent="0.15"/>
    <row r="616" ht="14" customHeight="1" x14ac:dyDescent="0.15"/>
    <row r="617" ht="14" customHeight="1" x14ac:dyDescent="0.15"/>
    <row r="618" ht="14" customHeight="1" x14ac:dyDescent="0.15"/>
    <row r="619" ht="14" customHeight="1" x14ac:dyDescent="0.15"/>
    <row r="620" ht="14" customHeight="1" x14ac:dyDescent="0.15"/>
    <row r="621" ht="14" customHeight="1" x14ac:dyDescent="0.15"/>
    <row r="622" ht="14" customHeight="1" x14ac:dyDescent="0.15"/>
    <row r="623" ht="14" customHeight="1" x14ac:dyDescent="0.15"/>
    <row r="624" ht="14" customHeight="1" x14ac:dyDescent="0.15"/>
    <row r="625" ht="14" customHeight="1" x14ac:dyDescent="0.15"/>
    <row r="626" ht="14" customHeight="1" x14ac:dyDescent="0.15"/>
    <row r="627" ht="14" customHeight="1" x14ac:dyDescent="0.15"/>
    <row r="628" ht="14" customHeight="1" x14ac:dyDescent="0.15"/>
    <row r="629" ht="14" customHeight="1" x14ac:dyDescent="0.15"/>
    <row r="630" ht="14" customHeight="1" x14ac:dyDescent="0.15"/>
    <row r="631" ht="14" customHeight="1" x14ac:dyDescent="0.15"/>
    <row r="632" ht="14" customHeight="1" x14ac:dyDescent="0.15"/>
    <row r="633" ht="14" customHeight="1" x14ac:dyDescent="0.15"/>
    <row r="634" ht="14" customHeight="1" x14ac:dyDescent="0.15"/>
    <row r="635" ht="14" customHeight="1" x14ac:dyDescent="0.15"/>
    <row r="636" ht="14" customHeight="1" x14ac:dyDescent="0.15"/>
    <row r="637" ht="14" customHeight="1" x14ac:dyDescent="0.15"/>
    <row r="638" ht="14" customHeight="1" x14ac:dyDescent="0.15"/>
    <row r="639" ht="14" customHeight="1" x14ac:dyDescent="0.15"/>
    <row r="640" ht="14" customHeight="1" x14ac:dyDescent="0.15"/>
    <row r="641" ht="14" customHeight="1" x14ac:dyDescent="0.15"/>
    <row r="642" ht="14" customHeight="1" x14ac:dyDescent="0.15"/>
    <row r="643" ht="14" customHeight="1" x14ac:dyDescent="0.15"/>
    <row r="644" ht="14" customHeight="1" x14ac:dyDescent="0.15"/>
    <row r="645" ht="14" customHeight="1" x14ac:dyDescent="0.15"/>
    <row r="646" ht="14" customHeight="1" x14ac:dyDescent="0.15"/>
    <row r="647" ht="14" customHeight="1" x14ac:dyDescent="0.15"/>
    <row r="648" ht="14" customHeight="1" x14ac:dyDescent="0.15"/>
    <row r="649" ht="14" customHeight="1" x14ac:dyDescent="0.15"/>
    <row r="650" ht="14" customHeight="1" x14ac:dyDescent="0.15"/>
    <row r="651" ht="14" customHeight="1" x14ac:dyDescent="0.15"/>
    <row r="652" ht="14" customHeight="1" x14ac:dyDescent="0.15"/>
    <row r="653" ht="14" customHeight="1" x14ac:dyDescent="0.15"/>
    <row r="654" ht="14" customHeight="1" x14ac:dyDescent="0.15"/>
    <row r="655" ht="14" customHeight="1" x14ac:dyDescent="0.15"/>
    <row r="656" ht="14" customHeight="1" x14ac:dyDescent="0.15"/>
    <row r="657" ht="14" customHeight="1" x14ac:dyDescent="0.15"/>
    <row r="658" ht="14" customHeight="1" x14ac:dyDescent="0.15"/>
    <row r="659" ht="14" customHeight="1" x14ac:dyDescent="0.15"/>
    <row r="660" ht="14" customHeight="1" x14ac:dyDescent="0.15"/>
    <row r="661" ht="14" customHeight="1" x14ac:dyDescent="0.15"/>
    <row r="662" ht="14" customHeight="1" x14ac:dyDescent="0.15"/>
    <row r="663" ht="14" customHeight="1" x14ac:dyDescent="0.15"/>
    <row r="664" ht="14" customHeight="1" x14ac:dyDescent="0.15"/>
    <row r="665" ht="14" customHeight="1" x14ac:dyDescent="0.15"/>
    <row r="666" ht="14" customHeight="1" x14ac:dyDescent="0.15"/>
    <row r="667" ht="14" customHeight="1" x14ac:dyDescent="0.15"/>
    <row r="668" ht="14" customHeight="1" x14ac:dyDescent="0.15"/>
    <row r="669" ht="14" customHeight="1" x14ac:dyDescent="0.15"/>
    <row r="670" ht="14" customHeight="1" x14ac:dyDescent="0.15"/>
    <row r="671" ht="14" customHeight="1" x14ac:dyDescent="0.15"/>
    <row r="672" ht="14" customHeight="1" x14ac:dyDescent="0.15"/>
    <row r="673" ht="14" customHeight="1" x14ac:dyDescent="0.15"/>
    <row r="674" ht="14" customHeight="1" x14ac:dyDescent="0.15"/>
    <row r="675" ht="14" customHeight="1" x14ac:dyDescent="0.15"/>
    <row r="676" ht="14" customHeight="1" x14ac:dyDescent="0.15"/>
    <row r="677" ht="14" customHeight="1" x14ac:dyDescent="0.15"/>
    <row r="678" ht="14" customHeight="1" x14ac:dyDescent="0.15"/>
    <row r="679" ht="14" customHeight="1" x14ac:dyDescent="0.15"/>
    <row r="680" ht="14" customHeight="1" x14ac:dyDescent="0.15"/>
    <row r="681" ht="14" customHeight="1" x14ac:dyDescent="0.15"/>
    <row r="682" ht="14" customHeight="1" x14ac:dyDescent="0.15"/>
    <row r="683" ht="14" customHeight="1" x14ac:dyDescent="0.15"/>
    <row r="684" ht="14" customHeight="1" x14ac:dyDescent="0.15"/>
    <row r="685" ht="14" customHeight="1" x14ac:dyDescent="0.15"/>
    <row r="686" ht="14" customHeight="1" x14ac:dyDescent="0.15"/>
    <row r="687" ht="14" customHeight="1" x14ac:dyDescent="0.15"/>
    <row r="688" ht="14" customHeight="1" x14ac:dyDescent="0.15"/>
    <row r="689" ht="14" customHeight="1" x14ac:dyDescent="0.15"/>
    <row r="690" ht="14" customHeight="1" x14ac:dyDescent="0.15"/>
    <row r="691" ht="14" customHeight="1" x14ac:dyDescent="0.15"/>
    <row r="692" ht="14" customHeight="1" x14ac:dyDescent="0.15"/>
    <row r="693" ht="14" customHeight="1" x14ac:dyDescent="0.15"/>
    <row r="694" ht="14" customHeight="1" x14ac:dyDescent="0.15"/>
    <row r="695" ht="14" customHeight="1" x14ac:dyDescent="0.15"/>
    <row r="696" ht="14" customHeight="1" x14ac:dyDescent="0.15"/>
    <row r="697" ht="14" customHeight="1" x14ac:dyDescent="0.15"/>
    <row r="698" ht="14" customHeight="1" x14ac:dyDescent="0.15"/>
    <row r="699" ht="14" customHeight="1" x14ac:dyDescent="0.15"/>
    <row r="700" ht="14" customHeight="1" x14ac:dyDescent="0.15"/>
    <row r="701" ht="14" customHeight="1" x14ac:dyDescent="0.15"/>
    <row r="702" ht="14" customHeight="1" x14ac:dyDescent="0.15"/>
    <row r="703" ht="14" customHeight="1" x14ac:dyDescent="0.15"/>
    <row r="704" ht="14" customHeight="1" x14ac:dyDescent="0.15"/>
    <row r="705" ht="14" customHeight="1" x14ac:dyDescent="0.15"/>
    <row r="706" ht="14" customHeight="1" x14ac:dyDescent="0.15"/>
    <row r="707" ht="14" customHeight="1" x14ac:dyDescent="0.15"/>
    <row r="708" ht="14" customHeight="1" x14ac:dyDescent="0.15"/>
    <row r="709" ht="14" customHeight="1" x14ac:dyDescent="0.15"/>
    <row r="710" ht="14" customHeight="1" x14ac:dyDescent="0.15"/>
    <row r="711" ht="14" customHeight="1" x14ac:dyDescent="0.15"/>
    <row r="712" ht="14" customHeight="1" x14ac:dyDescent="0.15"/>
    <row r="713" ht="14" customHeight="1" x14ac:dyDescent="0.15"/>
    <row r="714" ht="14" customHeight="1" x14ac:dyDescent="0.15"/>
    <row r="715" ht="14" customHeight="1" x14ac:dyDescent="0.15"/>
    <row r="716" ht="14" customHeight="1" x14ac:dyDescent="0.15"/>
    <row r="717" ht="14" customHeight="1" x14ac:dyDescent="0.15"/>
    <row r="718" ht="14" customHeight="1" x14ac:dyDescent="0.15"/>
    <row r="719" ht="14" customHeight="1" x14ac:dyDescent="0.15"/>
    <row r="720" ht="14" customHeight="1" x14ac:dyDescent="0.15"/>
    <row r="721" ht="14" customHeight="1" x14ac:dyDescent="0.15"/>
    <row r="722" ht="14" customHeight="1" x14ac:dyDescent="0.15"/>
    <row r="723" ht="14" customHeight="1" x14ac:dyDescent="0.15"/>
    <row r="724" ht="14" customHeight="1" x14ac:dyDescent="0.15"/>
    <row r="725" ht="14" customHeight="1" x14ac:dyDescent="0.15"/>
    <row r="726" ht="14" customHeight="1" x14ac:dyDescent="0.15"/>
    <row r="727" ht="14" customHeight="1" x14ac:dyDescent="0.15"/>
    <row r="728" ht="14" customHeight="1" x14ac:dyDescent="0.15"/>
    <row r="729" ht="14" customHeight="1" x14ac:dyDescent="0.15"/>
    <row r="730" ht="14" customHeight="1" x14ac:dyDescent="0.15"/>
    <row r="731" ht="14" customHeight="1" x14ac:dyDescent="0.15"/>
    <row r="732" ht="14" customHeight="1" x14ac:dyDescent="0.15"/>
    <row r="733" ht="14" customHeight="1" x14ac:dyDescent="0.15"/>
    <row r="734" ht="14" customHeight="1" x14ac:dyDescent="0.15"/>
    <row r="735" ht="14" customHeight="1" x14ac:dyDescent="0.15"/>
    <row r="736" ht="14" customHeight="1" x14ac:dyDescent="0.15"/>
    <row r="737" ht="14" customHeight="1" x14ac:dyDescent="0.15"/>
    <row r="738" ht="14" customHeight="1" x14ac:dyDescent="0.15"/>
    <row r="739" ht="14" customHeight="1" x14ac:dyDescent="0.15"/>
    <row r="740" ht="14" customHeight="1" x14ac:dyDescent="0.15"/>
    <row r="741" ht="14" customHeight="1" x14ac:dyDescent="0.15"/>
    <row r="742" ht="14" customHeight="1" x14ac:dyDescent="0.15"/>
    <row r="743" ht="14" customHeight="1" x14ac:dyDescent="0.15"/>
    <row r="744" ht="14" customHeight="1" x14ac:dyDescent="0.15"/>
    <row r="745" ht="14" customHeight="1" x14ac:dyDescent="0.15"/>
    <row r="746" ht="14" customHeight="1" x14ac:dyDescent="0.15"/>
    <row r="747" ht="14" customHeight="1" x14ac:dyDescent="0.15"/>
    <row r="748" ht="14" customHeight="1" x14ac:dyDescent="0.15"/>
    <row r="749" ht="14" customHeight="1" x14ac:dyDescent="0.15"/>
    <row r="750" ht="14" customHeight="1" x14ac:dyDescent="0.15"/>
    <row r="751" ht="14" customHeight="1" x14ac:dyDescent="0.15"/>
    <row r="752" ht="14" customHeight="1" x14ac:dyDescent="0.15"/>
    <row r="753" ht="14" customHeight="1" x14ac:dyDescent="0.15"/>
    <row r="754" ht="14" customHeight="1" x14ac:dyDescent="0.15"/>
    <row r="755" ht="14" customHeight="1" x14ac:dyDescent="0.15"/>
    <row r="756" ht="14" customHeight="1" x14ac:dyDescent="0.15"/>
    <row r="757" ht="14" customHeight="1" x14ac:dyDescent="0.15"/>
    <row r="758" ht="14" customHeight="1" x14ac:dyDescent="0.15"/>
    <row r="759" ht="14" customHeight="1" x14ac:dyDescent="0.15"/>
    <row r="760" ht="14" customHeight="1" x14ac:dyDescent="0.15"/>
    <row r="761" ht="14" customHeight="1" x14ac:dyDescent="0.15"/>
    <row r="762" ht="14" customHeight="1" x14ac:dyDescent="0.15"/>
    <row r="763" ht="14" customHeight="1" x14ac:dyDescent="0.15"/>
    <row r="764" ht="14" customHeight="1" x14ac:dyDescent="0.15"/>
    <row r="765" ht="14" customHeight="1" x14ac:dyDescent="0.15"/>
    <row r="766" ht="14" customHeight="1" x14ac:dyDescent="0.15"/>
    <row r="767" ht="14" customHeight="1" x14ac:dyDescent="0.15"/>
    <row r="768" ht="14" customHeight="1" x14ac:dyDescent="0.15"/>
    <row r="769" ht="14" customHeight="1" x14ac:dyDescent="0.15"/>
    <row r="770" ht="14" customHeight="1" x14ac:dyDescent="0.15"/>
    <row r="771" ht="14" customHeight="1" x14ac:dyDescent="0.15"/>
    <row r="772" ht="14" customHeight="1" x14ac:dyDescent="0.15"/>
    <row r="773" ht="14" customHeight="1" x14ac:dyDescent="0.15"/>
    <row r="774" ht="14" customHeight="1" x14ac:dyDescent="0.15"/>
    <row r="775" ht="14" customHeight="1" x14ac:dyDescent="0.15"/>
    <row r="776" ht="14" customHeight="1" x14ac:dyDescent="0.15"/>
    <row r="777" ht="14" customHeight="1" x14ac:dyDescent="0.15"/>
    <row r="778" ht="14" customHeight="1" x14ac:dyDescent="0.15"/>
    <row r="779" ht="14" customHeight="1" x14ac:dyDescent="0.15"/>
    <row r="780" ht="14" customHeight="1" x14ac:dyDescent="0.15"/>
    <row r="781" ht="14" customHeight="1" x14ac:dyDescent="0.15"/>
    <row r="782" ht="14" customHeight="1" x14ac:dyDescent="0.15"/>
    <row r="783" ht="14" customHeight="1" x14ac:dyDescent="0.15"/>
    <row r="784" ht="14" customHeight="1" x14ac:dyDescent="0.15"/>
    <row r="785" ht="14" customHeight="1" x14ac:dyDescent="0.15"/>
    <row r="786" ht="14" customHeight="1" x14ac:dyDescent="0.15"/>
    <row r="787" ht="14" customHeight="1" x14ac:dyDescent="0.15"/>
    <row r="788" ht="14" customHeight="1" x14ac:dyDescent="0.15"/>
    <row r="789" ht="14" customHeight="1" x14ac:dyDescent="0.15"/>
    <row r="790" ht="14" customHeight="1" x14ac:dyDescent="0.15"/>
    <row r="791" ht="14" customHeight="1" x14ac:dyDescent="0.15"/>
    <row r="792" ht="14" customHeight="1" x14ac:dyDescent="0.15"/>
    <row r="793" ht="14" customHeight="1" x14ac:dyDescent="0.15"/>
    <row r="794" ht="14" customHeight="1" x14ac:dyDescent="0.15"/>
    <row r="795" ht="14" customHeight="1" x14ac:dyDescent="0.15"/>
    <row r="796" ht="14" customHeight="1" x14ac:dyDescent="0.15"/>
    <row r="797" ht="14" customHeight="1" x14ac:dyDescent="0.15"/>
    <row r="798" ht="14" customHeight="1" x14ac:dyDescent="0.15"/>
    <row r="799" ht="14" customHeight="1" x14ac:dyDescent="0.15"/>
    <row r="800" ht="14" customHeight="1" x14ac:dyDescent="0.15"/>
    <row r="801" ht="14" customHeight="1" x14ac:dyDescent="0.15"/>
    <row r="802" ht="14" customHeight="1" x14ac:dyDescent="0.15"/>
    <row r="803" ht="14" customHeight="1" x14ac:dyDescent="0.15"/>
    <row r="804" ht="14" customHeight="1" x14ac:dyDescent="0.15"/>
    <row r="805" ht="14" customHeight="1" x14ac:dyDescent="0.15"/>
    <row r="806" ht="14" customHeight="1" x14ac:dyDescent="0.15"/>
    <row r="807" ht="14" customHeight="1" x14ac:dyDescent="0.15"/>
    <row r="808" ht="14" customHeight="1" x14ac:dyDescent="0.15"/>
    <row r="809" ht="14" customHeight="1" x14ac:dyDescent="0.15"/>
    <row r="810" ht="14" customHeight="1" x14ac:dyDescent="0.15"/>
    <row r="811" ht="14" customHeight="1" x14ac:dyDescent="0.15"/>
    <row r="812" ht="14" customHeight="1" x14ac:dyDescent="0.15"/>
    <row r="813" ht="14" customHeight="1" x14ac:dyDescent="0.15"/>
    <row r="814" ht="14" customHeight="1" x14ac:dyDescent="0.15"/>
    <row r="815" ht="14" customHeight="1" x14ac:dyDescent="0.15"/>
    <row r="816" ht="14" customHeight="1" x14ac:dyDescent="0.15"/>
    <row r="817" ht="14" customHeight="1" x14ac:dyDescent="0.15"/>
    <row r="818" ht="14" customHeight="1" x14ac:dyDescent="0.15"/>
    <row r="819" ht="14" customHeight="1" x14ac:dyDescent="0.15"/>
    <row r="820" ht="14" customHeight="1" x14ac:dyDescent="0.15"/>
    <row r="821" ht="14" customHeight="1" x14ac:dyDescent="0.15"/>
    <row r="822" ht="14" customHeight="1" x14ac:dyDescent="0.15"/>
    <row r="823" ht="14" customHeight="1" x14ac:dyDescent="0.15"/>
    <row r="824" ht="14" customHeight="1" x14ac:dyDescent="0.15"/>
    <row r="825" ht="14" customHeight="1" x14ac:dyDescent="0.15"/>
    <row r="826" ht="14" customHeight="1" x14ac:dyDescent="0.15"/>
    <row r="827" ht="14" customHeight="1" x14ac:dyDescent="0.15"/>
    <row r="828" ht="14" customHeight="1" x14ac:dyDescent="0.15"/>
    <row r="829" ht="14" customHeight="1" x14ac:dyDescent="0.15"/>
    <row r="830" ht="14" customHeight="1" x14ac:dyDescent="0.15"/>
    <row r="831" ht="14" customHeight="1" x14ac:dyDescent="0.15"/>
    <row r="832" ht="14" customHeight="1" x14ac:dyDescent="0.15"/>
    <row r="833" ht="14" customHeight="1" x14ac:dyDescent="0.15"/>
    <row r="834" ht="14" customHeight="1" x14ac:dyDescent="0.15"/>
    <row r="835" ht="14" customHeight="1" x14ac:dyDescent="0.15"/>
    <row r="836" ht="14" customHeight="1" x14ac:dyDescent="0.15"/>
    <row r="837" ht="14" customHeight="1" x14ac:dyDescent="0.15"/>
    <row r="838" ht="14" customHeight="1" x14ac:dyDescent="0.15"/>
    <row r="839" ht="14" customHeight="1" x14ac:dyDescent="0.15"/>
    <row r="840" ht="14" customHeight="1" x14ac:dyDescent="0.15"/>
    <row r="841" ht="14" customHeight="1" x14ac:dyDescent="0.15"/>
    <row r="842" ht="14" customHeight="1" x14ac:dyDescent="0.15"/>
    <row r="843" ht="14" customHeight="1" x14ac:dyDescent="0.15"/>
    <row r="844" ht="14" customHeight="1" x14ac:dyDescent="0.15"/>
    <row r="845" ht="14" customHeight="1" x14ac:dyDescent="0.15"/>
    <row r="846" ht="14" customHeight="1" x14ac:dyDescent="0.15"/>
    <row r="847" ht="14" customHeight="1" x14ac:dyDescent="0.15"/>
    <row r="848" ht="14" customHeight="1" x14ac:dyDescent="0.15"/>
    <row r="849" ht="14" customHeight="1" x14ac:dyDescent="0.15"/>
    <row r="850" ht="14" customHeight="1" x14ac:dyDescent="0.15"/>
    <row r="851" ht="14" customHeight="1" x14ac:dyDescent="0.15"/>
    <row r="852" ht="14" customHeight="1" x14ac:dyDescent="0.15"/>
    <row r="853" ht="14" customHeight="1" x14ac:dyDescent="0.15"/>
    <row r="854" ht="14" customHeight="1" x14ac:dyDescent="0.15"/>
    <row r="855" ht="14" customHeight="1" x14ac:dyDescent="0.15"/>
    <row r="856" ht="14" customHeight="1" x14ac:dyDescent="0.15"/>
    <row r="857" ht="14" customHeight="1" x14ac:dyDescent="0.15"/>
    <row r="858" ht="14" customHeight="1" x14ac:dyDescent="0.15"/>
    <row r="859" ht="14" customHeight="1" x14ac:dyDescent="0.15"/>
    <row r="860" ht="14" customHeight="1" x14ac:dyDescent="0.15"/>
    <row r="861" ht="14" customHeight="1" x14ac:dyDescent="0.15"/>
    <row r="862" ht="14" customHeight="1" x14ac:dyDescent="0.15"/>
    <row r="863" ht="14" customHeight="1" x14ac:dyDescent="0.15"/>
    <row r="864" ht="14" customHeight="1" x14ac:dyDescent="0.15"/>
    <row r="865" ht="14" customHeight="1" x14ac:dyDescent="0.15"/>
    <row r="866" ht="14" customHeight="1" x14ac:dyDescent="0.15"/>
    <row r="867" ht="14" customHeight="1" x14ac:dyDescent="0.15"/>
    <row r="868" ht="14" customHeight="1" x14ac:dyDescent="0.15"/>
    <row r="869" ht="14" customHeight="1" x14ac:dyDescent="0.15"/>
    <row r="870" ht="14" customHeight="1" x14ac:dyDescent="0.15"/>
    <row r="871" ht="14" customHeight="1" x14ac:dyDescent="0.15"/>
    <row r="872" ht="14" customHeight="1" x14ac:dyDescent="0.15"/>
    <row r="873" ht="14" customHeight="1" x14ac:dyDescent="0.15"/>
    <row r="874" ht="14" customHeight="1" x14ac:dyDescent="0.15"/>
    <row r="875" ht="14" customHeight="1" x14ac:dyDescent="0.15"/>
    <row r="876" ht="14" customHeight="1" x14ac:dyDescent="0.15"/>
    <row r="877" ht="14" customHeight="1" x14ac:dyDescent="0.15"/>
    <row r="878" ht="14" customHeight="1" x14ac:dyDescent="0.15"/>
    <row r="879" ht="14" customHeight="1" x14ac:dyDescent="0.15"/>
    <row r="880" ht="14" customHeight="1" x14ac:dyDescent="0.15"/>
    <row r="881" ht="14" customHeight="1" x14ac:dyDescent="0.15"/>
    <row r="882" ht="14" customHeight="1" x14ac:dyDescent="0.15"/>
    <row r="883" ht="14" customHeight="1" x14ac:dyDescent="0.15"/>
    <row r="884" ht="14" customHeight="1" x14ac:dyDescent="0.15"/>
    <row r="885" ht="14" customHeight="1" x14ac:dyDescent="0.15"/>
    <row r="886" ht="14" customHeight="1" x14ac:dyDescent="0.15"/>
    <row r="887" ht="14" customHeight="1" x14ac:dyDescent="0.15"/>
    <row r="888" ht="14" customHeight="1" x14ac:dyDescent="0.15"/>
    <row r="889" ht="14" customHeight="1" x14ac:dyDescent="0.15"/>
    <row r="890" ht="14" customHeight="1" x14ac:dyDescent="0.15"/>
    <row r="891" ht="14" customHeight="1" x14ac:dyDescent="0.15"/>
    <row r="892" ht="14" customHeight="1" x14ac:dyDescent="0.15"/>
    <row r="893" ht="14" customHeight="1" x14ac:dyDescent="0.15"/>
    <row r="894" ht="14" customHeight="1" x14ac:dyDescent="0.15"/>
    <row r="895" ht="14" customHeight="1" x14ac:dyDescent="0.15"/>
    <row r="896" ht="14" customHeight="1" x14ac:dyDescent="0.15"/>
    <row r="897" ht="14" customHeight="1" x14ac:dyDescent="0.15"/>
    <row r="898" ht="14" customHeight="1" x14ac:dyDescent="0.15"/>
    <row r="899" ht="14" customHeight="1" x14ac:dyDescent="0.15"/>
    <row r="900" ht="14" customHeight="1" x14ac:dyDescent="0.15"/>
    <row r="901" ht="14" customHeight="1" x14ac:dyDescent="0.15"/>
    <row r="902" ht="14" customHeight="1" x14ac:dyDescent="0.15"/>
    <row r="903" ht="14" customHeight="1" x14ac:dyDescent="0.15"/>
    <row r="904" ht="14" customHeight="1" x14ac:dyDescent="0.15"/>
    <row r="905" ht="14" customHeight="1" x14ac:dyDescent="0.15"/>
    <row r="906" ht="14" customHeight="1" x14ac:dyDescent="0.15"/>
    <row r="907" ht="14" customHeight="1" x14ac:dyDescent="0.15"/>
    <row r="908" ht="14" customHeight="1" x14ac:dyDescent="0.15"/>
    <row r="909" ht="14" customHeight="1" x14ac:dyDescent="0.15"/>
    <row r="910" ht="14" customHeight="1" x14ac:dyDescent="0.15"/>
    <row r="911" ht="14" customHeight="1" x14ac:dyDescent="0.15"/>
    <row r="912" ht="14" customHeight="1" x14ac:dyDescent="0.15"/>
    <row r="913" ht="14" customHeight="1" x14ac:dyDescent="0.15"/>
    <row r="914" ht="14" customHeight="1" x14ac:dyDescent="0.15"/>
    <row r="915" ht="14" customHeight="1" x14ac:dyDescent="0.15"/>
    <row r="916" ht="14" customHeight="1" x14ac:dyDescent="0.15"/>
    <row r="917" ht="14" customHeight="1" x14ac:dyDescent="0.15"/>
    <row r="918" ht="14" customHeight="1" x14ac:dyDescent="0.15"/>
    <row r="919" ht="14" customHeight="1" x14ac:dyDescent="0.15"/>
    <row r="920" ht="14" customHeight="1" x14ac:dyDescent="0.15"/>
    <row r="921" ht="14" customHeight="1" x14ac:dyDescent="0.15"/>
    <row r="922" ht="14" customHeight="1" x14ac:dyDescent="0.15"/>
    <row r="923" ht="14" customHeight="1" x14ac:dyDescent="0.15"/>
    <row r="924" ht="14" customHeight="1" x14ac:dyDescent="0.15"/>
    <row r="925" ht="14" customHeight="1" x14ac:dyDescent="0.15"/>
    <row r="926" ht="14" customHeight="1" x14ac:dyDescent="0.15"/>
    <row r="927" ht="14" customHeight="1" x14ac:dyDescent="0.15"/>
    <row r="928" ht="14" customHeight="1" x14ac:dyDescent="0.15"/>
    <row r="929" ht="14" customHeight="1" x14ac:dyDescent="0.15"/>
    <row r="930" ht="14" customHeight="1" x14ac:dyDescent="0.15"/>
    <row r="931" ht="14" customHeight="1" x14ac:dyDescent="0.15"/>
    <row r="932" ht="14" customHeight="1" x14ac:dyDescent="0.15"/>
    <row r="933" ht="14" customHeight="1" x14ac:dyDescent="0.15"/>
    <row r="934" ht="14" customHeight="1" x14ac:dyDescent="0.15"/>
    <row r="935" ht="14" customHeight="1" x14ac:dyDescent="0.15"/>
    <row r="936" ht="14" customHeight="1" x14ac:dyDescent="0.15"/>
    <row r="937" ht="14" customHeight="1" x14ac:dyDescent="0.15"/>
    <row r="938" ht="14" customHeight="1" x14ac:dyDescent="0.15"/>
    <row r="939" ht="14" customHeight="1" x14ac:dyDescent="0.15"/>
    <row r="940" ht="14" customHeight="1" x14ac:dyDescent="0.15"/>
    <row r="941" ht="14" customHeight="1" x14ac:dyDescent="0.15"/>
    <row r="942" ht="14" customHeight="1" x14ac:dyDescent="0.15"/>
    <row r="943" ht="14" customHeight="1" x14ac:dyDescent="0.15"/>
    <row r="944" ht="14" customHeight="1" x14ac:dyDescent="0.15"/>
    <row r="945" ht="14" customHeight="1" x14ac:dyDescent="0.15"/>
    <row r="946" ht="14" customHeight="1" x14ac:dyDescent="0.15"/>
    <row r="947" ht="14" customHeight="1" x14ac:dyDescent="0.15"/>
    <row r="948" ht="14" customHeight="1" x14ac:dyDescent="0.15"/>
    <row r="949" ht="14" customHeight="1" x14ac:dyDescent="0.15"/>
    <row r="950" ht="14" customHeight="1" x14ac:dyDescent="0.15"/>
    <row r="951" ht="14" customHeight="1" x14ac:dyDescent="0.15"/>
    <row r="952" ht="14" customHeight="1" x14ac:dyDescent="0.15"/>
    <row r="953" ht="14" customHeight="1" x14ac:dyDescent="0.15"/>
    <row r="954" ht="14" customHeight="1" x14ac:dyDescent="0.15"/>
    <row r="955" ht="14" customHeight="1" x14ac:dyDescent="0.15"/>
    <row r="956" ht="14" customHeight="1" x14ac:dyDescent="0.15"/>
    <row r="957" ht="14" customHeight="1" x14ac:dyDescent="0.15"/>
    <row r="958" ht="14" customHeight="1" x14ac:dyDescent="0.15"/>
    <row r="959" ht="14" customHeight="1" x14ac:dyDescent="0.15"/>
    <row r="960" ht="14" customHeight="1" x14ac:dyDescent="0.15"/>
    <row r="961" ht="14" customHeight="1" x14ac:dyDescent="0.15"/>
    <row r="962" ht="14" customHeight="1" x14ac:dyDescent="0.15"/>
    <row r="963" ht="14" customHeight="1" x14ac:dyDescent="0.15"/>
    <row r="964" ht="14" customHeight="1" x14ac:dyDescent="0.15"/>
    <row r="965" ht="14" customHeight="1" x14ac:dyDescent="0.15"/>
    <row r="966" ht="14" customHeight="1" x14ac:dyDescent="0.15"/>
    <row r="967" ht="14" customHeight="1" x14ac:dyDescent="0.15"/>
    <row r="968" ht="14" customHeight="1" x14ac:dyDescent="0.15"/>
    <row r="969" ht="14" customHeight="1" x14ac:dyDescent="0.15"/>
    <row r="970" ht="14" customHeight="1" x14ac:dyDescent="0.15"/>
    <row r="971" ht="14" customHeight="1" x14ac:dyDescent="0.15"/>
    <row r="972" ht="14" customHeight="1" x14ac:dyDescent="0.15"/>
    <row r="973" ht="14" customHeight="1" x14ac:dyDescent="0.15"/>
    <row r="974" ht="14" customHeight="1" x14ac:dyDescent="0.15"/>
    <row r="975" ht="14" customHeight="1" x14ac:dyDescent="0.15"/>
    <row r="976" ht="14" customHeight="1" x14ac:dyDescent="0.15"/>
    <row r="977" ht="14" customHeight="1" x14ac:dyDescent="0.15"/>
    <row r="978" ht="14" customHeight="1" x14ac:dyDescent="0.15"/>
    <row r="979" ht="14" customHeight="1" x14ac:dyDescent="0.15"/>
    <row r="980" ht="14" customHeight="1" x14ac:dyDescent="0.15"/>
    <row r="981" ht="14" customHeight="1" x14ac:dyDescent="0.15"/>
    <row r="982" ht="14" customHeight="1" x14ac:dyDescent="0.15"/>
    <row r="983" ht="14" customHeight="1" x14ac:dyDescent="0.15"/>
    <row r="984" ht="14" customHeight="1" x14ac:dyDescent="0.15"/>
    <row r="985" ht="14" customHeight="1" x14ac:dyDescent="0.15"/>
    <row r="986" ht="14" customHeight="1" x14ac:dyDescent="0.15"/>
    <row r="987" ht="14" customHeight="1" x14ac:dyDescent="0.15"/>
    <row r="988" ht="14" customHeight="1" x14ac:dyDescent="0.15"/>
    <row r="989" ht="14" customHeight="1" x14ac:dyDescent="0.15"/>
    <row r="990" ht="14" customHeight="1" x14ac:dyDescent="0.15"/>
    <row r="991" ht="14" customHeight="1" x14ac:dyDescent="0.15"/>
    <row r="992" ht="14" customHeight="1" x14ac:dyDescent="0.15"/>
    <row r="993" ht="14" customHeight="1" x14ac:dyDescent="0.15"/>
    <row r="994" ht="14" customHeight="1" x14ac:dyDescent="0.15"/>
    <row r="995" ht="14" customHeight="1" x14ac:dyDescent="0.15"/>
    <row r="996" ht="14" customHeight="1" x14ac:dyDescent="0.15"/>
    <row r="997" ht="14" customHeight="1" x14ac:dyDescent="0.15"/>
    <row r="998" ht="14" customHeight="1" x14ac:dyDescent="0.15"/>
    <row r="999" ht="14" customHeight="1" x14ac:dyDescent="0.15"/>
    <row r="1000" ht="14" customHeight="1" x14ac:dyDescent="0.1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I1000"/>
  <sheetViews>
    <sheetView tabSelected="1" workbookViewId="0">
      <selection activeCell="AF1" sqref="AF1"/>
    </sheetView>
  </sheetViews>
  <sheetFormatPr baseColWidth="10" defaultColWidth="8.83203125" defaultRowHeight="15" customHeight="1" x14ac:dyDescent="0.15"/>
  <cols>
    <col min="1" max="1" width="39.83203125" style="48" customWidth="1"/>
    <col min="2" max="2" width="17.83203125" style="30" customWidth="1"/>
    <col min="3" max="3" width="9.5" style="48" customWidth="1"/>
    <col min="4" max="35" width="9.5" style="48" bestFit="1" customWidth="1"/>
    <col min="36" max="43" width="8.83203125" style="48" customWidth="1"/>
    <col min="44" max="16384" width="8.83203125" style="48"/>
  </cols>
  <sheetData>
    <row r="1" spans="1:35" ht="14.5" customHeight="1" x14ac:dyDescent="0.2">
      <c r="A1" s="28" t="s">
        <v>177</v>
      </c>
      <c r="B1" s="29">
        <v>2020</v>
      </c>
      <c r="C1" s="29">
        <v>2021</v>
      </c>
      <c r="D1" s="29">
        <v>2022</v>
      </c>
      <c r="E1" s="29">
        <v>2023</v>
      </c>
      <c r="F1" s="29">
        <v>2024</v>
      </c>
      <c r="G1" s="29">
        <v>2025</v>
      </c>
      <c r="H1" s="29">
        <v>2026</v>
      </c>
      <c r="I1" s="29">
        <v>2027</v>
      </c>
      <c r="J1" s="29">
        <v>2028</v>
      </c>
      <c r="K1" s="29">
        <v>2029</v>
      </c>
      <c r="L1" s="29">
        <v>2030</v>
      </c>
      <c r="M1" s="29">
        <v>2031</v>
      </c>
      <c r="N1" s="29">
        <v>2032</v>
      </c>
      <c r="O1" s="29">
        <v>2033</v>
      </c>
      <c r="P1" s="29">
        <v>2034</v>
      </c>
      <c r="Q1" s="29">
        <v>2035</v>
      </c>
      <c r="R1" s="29">
        <v>2036</v>
      </c>
      <c r="S1" s="29">
        <v>2037</v>
      </c>
      <c r="T1" s="29">
        <v>2038</v>
      </c>
      <c r="U1" s="29">
        <v>2039</v>
      </c>
      <c r="V1" s="29">
        <v>2040</v>
      </c>
      <c r="W1" s="29">
        <v>2041</v>
      </c>
      <c r="X1" s="29">
        <v>2042</v>
      </c>
      <c r="Y1" s="29">
        <v>2043</v>
      </c>
      <c r="Z1" s="29">
        <v>2044</v>
      </c>
      <c r="AA1" s="29">
        <v>2045</v>
      </c>
      <c r="AB1" s="29">
        <v>2046</v>
      </c>
      <c r="AC1" s="29">
        <v>2047</v>
      </c>
      <c r="AD1" s="29">
        <v>2048</v>
      </c>
      <c r="AE1" s="29">
        <v>2049</v>
      </c>
      <c r="AF1" s="29">
        <v>2050</v>
      </c>
      <c r="AH1" s="29"/>
      <c r="AI1" s="29"/>
    </row>
    <row r="2" spans="1:35" ht="14" customHeight="1" x14ac:dyDescent="0.15">
      <c r="A2" s="48" t="s">
        <v>178</v>
      </c>
      <c r="B2">
        <f>'BIFUbC-natural-gas-script'!B2+'BIFUbC-natural-gas-script'!B2*'Calibration Multiplier'!$B$2</f>
        <v>88277407642.814514</v>
      </c>
      <c r="C2">
        <f>'BIFUbC-natural-gas-script'!C2+'BIFUbC-natural-gas-script'!C2*'Calibration Multiplier'!$B$2</f>
        <v>88885031309.570679</v>
      </c>
      <c r="D2">
        <f>'BIFUbC-natural-gas-script'!D2+'BIFUbC-natural-gas-script'!D2*'Calibration Multiplier'!$B$2</f>
        <v>89492654976.326813</v>
      </c>
      <c r="E2">
        <f>'BIFUbC-natural-gas-script'!E2+'BIFUbC-natural-gas-script'!E2*'Calibration Multiplier'!$B$2</f>
        <v>90368370844.865616</v>
      </c>
      <c r="F2">
        <f>'BIFUbC-natural-gas-script'!F2+'BIFUbC-natural-gas-script'!F2*'Calibration Multiplier'!$B$2</f>
        <v>91066095637.158005</v>
      </c>
      <c r="G2">
        <f>'BIFUbC-natural-gas-script'!G2+'BIFUbC-natural-gas-script'!G2*'Calibration Multiplier'!$B$2</f>
        <v>91754888869.307373</v>
      </c>
      <c r="H2">
        <f>'BIFUbC-natural-gas-script'!H2+'BIFUbC-natural-gas-script'!H2*'Calibration Multiplier'!$B$2</f>
        <v>92557845567.564438</v>
      </c>
      <c r="I2">
        <f>'BIFUbC-natural-gas-script'!I2+'BIFUbC-natural-gas-script'!I2*'Calibration Multiplier'!$B$2</f>
        <v>93181190101.967743</v>
      </c>
      <c r="J2">
        <f>'BIFUbC-natural-gas-script'!J2+'BIFUbC-natural-gas-script'!J2*'Calibration Multiplier'!$B$2</f>
        <v>93571820287.666718</v>
      </c>
      <c r="K2">
        <f>'BIFUbC-natural-gas-script'!K2+'BIFUbC-natural-gas-script'!K2*'Calibration Multiplier'!$B$2</f>
        <v>94033149531.149292</v>
      </c>
      <c r="L2">
        <f>'BIFUbC-natural-gas-script'!L2+'BIFUbC-natural-gas-script'!L2*'Calibration Multiplier'!$B$2</f>
        <v>94391768665.405273</v>
      </c>
      <c r="M2">
        <f>'BIFUbC-natural-gas-script'!M2+'BIFUbC-natural-gas-script'!M2*'Calibration Multiplier'!$B$2</f>
        <v>93965735134.860138</v>
      </c>
      <c r="N2">
        <f>'BIFUbC-natural-gas-script'!N2+'BIFUbC-natural-gas-script'!N2*'Calibration Multiplier'!$B$2</f>
        <v>94088160766.169983</v>
      </c>
      <c r="O2">
        <f>'BIFUbC-natural-gas-script'!O2+'BIFUbC-natural-gas-script'!O2*'Calibration Multiplier'!$B$2</f>
        <v>93592226919.900558</v>
      </c>
      <c r="P2">
        <f>'BIFUbC-natural-gas-script'!P2+'BIFUbC-natural-gas-script'!P2*'Calibration Multiplier'!$B$2</f>
        <v>93245824007.282104</v>
      </c>
      <c r="Q2">
        <f>'BIFUbC-natural-gas-script'!Q2+'BIFUbC-natural-gas-script'!Q2*'Calibration Multiplier'!$B$2</f>
        <v>92959813925.119431</v>
      </c>
      <c r="R2">
        <f>'BIFUbC-natural-gas-script'!R2+'BIFUbC-natural-gas-script'!R2*'Calibration Multiplier'!$B$2</f>
        <v>92729116258.493896</v>
      </c>
      <c r="S2">
        <f>'BIFUbC-natural-gas-script'!S2+'BIFUbC-natural-gas-script'!S2*'Calibration Multiplier'!$B$2</f>
        <v>92715163764.223907</v>
      </c>
      <c r="T2">
        <f>'BIFUbC-natural-gas-script'!T2+'BIFUbC-natural-gas-script'!T2*'Calibration Multiplier'!$B$2</f>
        <v>92748254911.312073</v>
      </c>
      <c r="U2">
        <f>'BIFUbC-natural-gas-script'!U2+'BIFUbC-natural-gas-script'!U2*'Calibration Multiplier'!$B$2</f>
        <v>92790933795.530609</v>
      </c>
      <c r="V2">
        <f>'BIFUbC-natural-gas-script'!V2+'BIFUbC-natural-gas-script'!V2*'Calibration Multiplier'!$B$2</f>
        <v>92768417011.402466</v>
      </c>
      <c r="W2">
        <f>'BIFUbC-natural-gas-script'!W2+'BIFUbC-natural-gas-script'!W2*'Calibration Multiplier'!$B$2</f>
        <v>92649095710.933044</v>
      </c>
      <c r="X2">
        <f>'BIFUbC-natural-gas-script'!X2+'BIFUbC-natural-gas-script'!X2*'Calibration Multiplier'!$B$2</f>
        <v>92635654940.299179</v>
      </c>
      <c r="Y2">
        <f>'BIFUbC-natural-gas-script'!Y2+'BIFUbC-natural-gas-script'!Y2*'Calibration Multiplier'!$B$2</f>
        <v>92671202738.49649</v>
      </c>
      <c r="Z2">
        <f>'BIFUbC-natural-gas-script'!Z2+'BIFUbC-natural-gas-script'!Z2*'Calibration Multiplier'!$B$2</f>
        <v>92760133130.990707</v>
      </c>
      <c r="AA2">
        <f>'BIFUbC-natural-gas-script'!AA2+'BIFUbC-natural-gas-script'!AA2*'Calibration Multiplier'!$B$2</f>
        <v>92895135645.246216</v>
      </c>
      <c r="AB2">
        <f>'BIFUbC-natural-gas-script'!AB2+'BIFUbC-natural-gas-script'!AB2*'Calibration Multiplier'!$B$2</f>
        <v>93052332047.903717</v>
      </c>
      <c r="AC2">
        <f>'BIFUbC-natural-gas-script'!AC2+'BIFUbC-natural-gas-script'!AC2*'Calibration Multiplier'!$B$2</f>
        <v>93222399905.046448</v>
      </c>
      <c r="AD2">
        <f>'BIFUbC-natural-gas-script'!AD2+'BIFUbC-natural-gas-script'!AD2*'Calibration Multiplier'!$B$2</f>
        <v>93416857719.18454</v>
      </c>
      <c r="AE2">
        <f>'BIFUbC-natural-gas-script'!AE2+'BIFUbC-natural-gas-script'!AE2*'Calibration Multiplier'!$B$2</f>
        <v>93656435962.417435</v>
      </c>
      <c r="AF2">
        <f>'BIFUbC-natural-gas-script'!AF2+'BIFUbC-natural-gas-script'!AF2*'Calibration Multiplier'!$B$2</f>
        <v>93915471033.496887</v>
      </c>
      <c r="AG2" s="57"/>
    </row>
    <row r="3" spans="1:35" ht="14" customHeight="1" x14ac:dyDescent="0.15">
      <c r="A3" s="48" t="s">
        <v>179</v>
      </c>
      <c r="B3">
        <f>'BIFUbC-natural-gas-script'!B3+'BIFUbC-natural-gas-script'!B3*'Calibration Multiplier'!$B$2</f>
        <v>43966959599.018715</v>
      </c>
      <c r="C3">
        <f>'BIFUbC-natural-gas-script'!C3+'BIFUbC-natural-gas-script'!C3*'Calibration Multiplier'!$B$2</f>
        <v>44761641386.572472</v>
      </c>
      <c r="D3">
        <f>'BIFUbC-natural-gas-script'!D3+'BIFUbC-natural-gas-script'!D3*'Calibration Multiplier'!$B$2</f>
        <v>45556323174.126205</v>
      </c>
      <c r="E3">
        <f>'BIFUbC-natural-gas-script'!E3+'BIFUbC-natural-gas-script'!E3*'Calibration Multiplier'!$B$2</f>
        <v>45950652203.341003</v>
      </c>
      <c r="F3">
        <f>'BIFUbC-natural-gas-script'!F3+'BIFUbC-natural-gas-script'!F3*'Calibration Multiplier'!$B$2</f>
        <v>46592138325.187843</v>
      </c>
      <c r="G3">
        <f>'BIFUbC-natural-gas-script'!G3+'BIFUbC-natural-gas-script'!G3*'Calibration Multiplier'!$B$2</f>
        <v>47267841216.541412</v>
      </c>
      <c r="H3">
        <f>'BIFUbC-natural-gas-script'!H3+'BIFUbC-natural-gas-script'!H3*'Calibration Multiplier'!$B$2</f>
        <v>47457261885.713257</v>
      </c>
      <c r="I3">
        <f>'BIFUbC-natural-gas-script'!I3+'BIFUbC-natural-gas-script'!I3*'Calibration Multiplier'!$B$2</f>
        <v>47577169171.194061</v>
      </c>
      <c r="J3">
        <f>'BIFUbC-natural-gas-script'!J3+'BIFUbC-natural-gas-script'!J3*'Calibration Multiplier'!$B$2</f>
        <v>48372413593.889999</v>
      </c>
      <c r="K3">
        <f>'BIFUbC-natural-gas-script'!K3+'BIFUbC-natural-gas-script'!K3*'Calibration Multiplier'!$B$2</f>
        <v>48660608491.733002</v>
      </c>
      <c r="L3">
        <f>'BIFUbC-natural-gas-script'!L3+'BIFUbC-natural-gas-script'!L3*'Calibration Multiplier'!$B$2</f>
        <v>49083231635.599754</v>
      </c>
      <c r="M3">
        <f>'BIFUbC-natural-gas-script'!M3+'BIFUbC-natural-gas-script'!M3*'Calibration Multiplier'!$B$2</f>
        <v>49447693759.647522</v>
      </c>
      <c r="N3">
        <f>'BIFUbC-natural-gas-script'!N3+'BIFUbC-natural-gas-script'!N3*'Calibration Multiplier'!$B$2</f>
        <v>50006930662.662346</v>
      </c>
      <c r="O3">
        <f>'BIFUbC-natural-gas-script'!O3+'BIFUbC-natural-gas-script'!O3*'Calibration Multiplier'!$B$2</f>
        <v>50297248413.822983</v>
      </c>
      <c r="P3">
        <f>'BIFUbC-natural-gas-script'!P3+'BIFUbC-natural-gas-script'!P3*'Calibration Multiplier'!$B$2</f>
        <v>50295280172.752571</v>
      </c>
      <c r="Q3">
        <f>'BIFUbC-natural-gas-script'!Q3+'BIFUbC-natural-gas-script'!Q3*'Calibration Multiplier'!$B$2</f>
        <v>50235799534.467133</v>
      </c>
      <c r="R3">
        <f>'BIFUbC-natural-gas-script'!R3+'BIFUbC-natural-gas-script'!R3*'Calibration Multiplier'!$B$2</f>
        <v>50178862381.441528</v>
      </c>
      <c r="S3">
        <f>'BIFUbC-natural-gas-script'!S3+'BIFUbC-natural-gas-script'!S3*'Calibration Multiplier'!$B$2</f>
        <v>50155728028.402756</v>
      </c>
      <c r="T3">
        <f>'BIFUbC-natural-gas-script'!T3+'BIFUbC-natural-gas-script'!T3*'Calibration Multiplier'!$B$2</f>
        <v>50414231336.39035</v>
      </c>
      <c r="U3">
        <f>'BIFUbC-natural-gas-script'!U3+'BIFUbC-natural-gas-script'!U3*'Calibration Multiplier'!$B$2</f>
        <v>50638712296.468384</v>
      </c>
      <c r="V3">
        <f>'BIFUbC-natural-gas-script'!V3+'BIFUbC-natural-gas-script'!V3*'Calibration Multiplier'!$B$2</f>
        <v>51038552819.146469</v>
      </c>
      <c r="W3">
        <f>'BIFUbC-natural-gas-script'!W3+'BIFUbC-natural-gas-script'!W3*'Calibration Multiplier'!$B$2</f>
        <v>51270230663.646454</v>
      </c>
      <c r="X3">
        <f>'BIFUbC-natural-gas-script'!X3+'BIFUbC-natural-gas-script'!X3*'Calibration Multiplier'!$B$2</f>
        <v>51738082918.753876</v>
      </c>
      <c r="Y3">
        <f>'BIFUbC-natural-gas-script'!Y3+'BIFUbC-natural-gas-script'!Y3*'Calibration Multiplier'!$B$2</f>
        <v>51946698081.728065</v>
      </c>
      <c r="Z3">
        <f>'BIFUbC-natural-gas-script'!Z3+'BIFUbC-natural-gas-script'!Z3*'Calibration Multiplier'!$B$2</f>
        <v>52438672159.974396</v>
      </c>
      <c r="AA3">
        <f>'BIFUbC-natural-gas-script'!AA3+'BIFUbC-natural-gas-script'!AA3*'Calibration Multiplier'!$B$2</f>
        <v>52789837208.626366</v>
      </c>
      <c r="AB3">
        <f>'BIFUbC-natural-gas-script'!AB3+'BIFUbC-natural-gas-script'!AB3*'Calibration Multiplier'!$B$2</f>
        <v>53182467411.915169</v>
      </c>
      <c r="AC3">
        <f>'BIFUbC-natural-gas-script'!AC3+'BIFUbC-natural-gas-script'!AC3*'Calibration Multiplier'!$B$2</f>
        <v>53308826087.960274</v>
      </c>
      <c r="AD3">
        <f>'BIFUbC-natural-gas-script'!AD3+'BIFUbC-natural-gas-script'!AD3*'Calibration Multiplier'!$B$2</f>
        <v>53741359851.177017</v>
      </c>
      <c r="AE3">
        <f>'BIFUbC-natural-gas-script'!AE3+'BIFUbC-natural-gas-script'!AE3*'Calibration Multiplier'!$B$2</f>
        <v>54084623395.41864</v>
      </c>
      <c r="AF3">
        <f>'BIFUbC-natural-gas-script'!AF3+'BIFUbC-natural-gas-script'!AF3*'Calibration Multiplier'!$B$2</f>
        <v>54485619435.41143</v>
      </c>
    </row>
    <row r="4" spans="1:35" ht="14" customHeight="1" x14ac:dyDescent="0.15">
      <c r="A4" s="48" t="s">
        <v>135</v>
      </c>
      <c r="B4">
        <f>'BIFUbC-natural-gas-script'!B4+'BIFUbC-natural-gas-script'!B4*'Calibration Multiplier'!$B$2</f>
        <v>14949299844776.289</v>
      </c>
      <c r="C4">
        <f>'BIFUbC-natural-gas-script'!C4+'BIFUbC-natural-gas-script'!C4*'Calibration Multiplier'!$B$2</f>
        <v>15219501296768.18</v>
      </c>
      <c r="D4">
        <f>'BIFUbC-natural-gas-script'!D4+'BIFUbC-natural-gas-script'!D4*'Calibration Multiplier'!$B$2</f>
        <v>15489702748760.074</v>
      </c>
      <c r="E4">
        <f>'BIFUbC-natural-gas-script'!E4+'BIFUbC-natural-gas-script'!E4*'Calibration Multiplier'!$B$2</f>
        <v>15623779404253.059</v>
      </c>
      <c r="F4">
        <f>'BIFUbC-natural-gas-script'!F4+'BIFUbC-natural-gas-script'!F4*'Calibration Multiplier'!$B$2</f>
        <v>15841892470728.664</v>
      </c>
      <c r="G4">
        <f>'BIFUbC-natural-gas-script'!G4+'BIFUbC-natural-gas-script'!G4*'Calibration Multiplier'!$B$2</f>
        <v>16071639654089.787</v>
      </c>
      <c r="H4">
        <f>'BIFUbC-natural-gas-script'!H4+'BIFUbC-natural-gas-script'!H4*'Calibration Multiplier'!$B$2</f>
        <v>16136044980409.219</v>
      </c>
      <c r="I4">
        <f>'BIFUbC-natural-gas-script'!I4+'BIFUbC-natural-gas-script'!I4*'Calibration Multiplier'!$B$2</f>
        <v>16176814912662.295</v>
      </c>
      <c r="J4">
        <f>'BIFUbC-natural-gas-script'!J4+'BIFUbC-natural-gas-script'!J4*'Calibration Multiplier'!$B$2</f>
        <v>16447207667430.645</v>
      </c>
      <c r="K4">
        <f>'BIFUbC-natural-gas-script'!K4+'BIFUbC-natural-gas-script'!K4*'Calibration Multiplier'!$B$2</f>
        <v>16545197430218.018</v>
      </c>
      <c r="L4">
        <f>'BIFUbC-natural-gas-script'!L4+'BIFUbC-natural-gas-script'!L4*'Calibration Multiplier'!$B$2</f>
        <v>16688894428068.812</v>
      </c>
      <c r="M4">
        <f>'BIFUbC-natural-gas-script'!M4+'BIFUbC-natural-gas-script'!M4*'Calibration Multiplier'!$B$2</f>
        <v>16812815973341.539</v>
      </c>
      <c r="N4">
        <f>'BIFUbC-natural-gas-script'!N4+'BIFUbC-natural-gas-script'!N4*'Calibration Multiplier'!$B$2</f>
        <v>17002963307241.322</v>
      </c>
      <c r="O4">
        <f>'BIFUbC-natural-gas-script'!O4+'BIFUbC-natural-gas-script'!O4*'Calibration Multiplier'!$B$2</f>
        <v>17101674865919.535</v>
      </c>
      <c r="P4">
        <f>'BIFUbC-natural-gas-script'!P4+'BIFUbC-natural-gas-script'!P4*'Calibration Multiplier'!$B$2</f>
        <v>17101005640069.119</v>
      </c>
      <c r="Q4">
        <f>'BIFUbC-natural-gas-script'!Q4+'BIFUbC-natural-gas-script'!Q4*'Calibration Multiplier'!$B$2</f>
        <v>17080781501197.625</v>
      </c>
      <c r="R4">
        <f>'BIFUbC-natural-gas-script'!R4+'BIFUbC-natural-gas-script'!R4*'Calibration Multiplier'!$B$2</f>
        <v>17061422178182.111</v>
      </c>
      <c r="S4">
        <f>'BIFUbC-natural-gas-script'!S4+'BIFUbC-natural-gas-script'!S4*'Calibration Multiplier'!$B$2</f>
        <v>17053556217391.418</v>
      </c>
      <c r="T4">
        <f>'BIFUbC-natural-gas-script'!T4+'BIFUbC-natural-gas-script'!T4*'Calibration Multiplier'!$B$2</f>
        <v>17141450479292.117</v>
      </c>
      <c r="U4">
        <f>'BIFUbC-natural-gas-script'!U4+'BIFUbC-natural-gas-script'!U4*'Calibration Multiplier'!$B$2</f>
        <v>17217776730009.811</v>
      </c>
      <c r="V4">
        <f>'BIFUbC-natural-gas-script'!V4+'BIFUbC-natural-gas-script'!V4*'Calibration Multiplier'!$B$2</f>
        <v>17353727360167.551</v>
      </c>
      <c r="W4">
        <f>'BIFUbC-natural-gas-script'!W4+'BIFUbC-natural-gas-script'!W4*'Calibration Multiplier'!$B$2</f>
        <v>17432500638929.797</v>
      </c>
      <c r="X4">
        <f>'BIFUbC-natural-gas-script'!X4+'BIFUbC-natural-gas-script'!X4*'Calibration Multiplier'!$B$2</f>
        <v>17591576083500.955</v>
      </c>
      <c r="Y4">
        <f>'BIFUbC-natural-gas-script'!Y4+'BIFUbC-natural-gas-script'!Y4*'Calibration Multiplier'!$B$2</f>
        <v>17662507770656.719</v>
      </c>
      <c r="Z4">
        <f>'BIFUbC-natural-gas-script'!Z4+'BIFUbC-natural-gas-script'!Z4*'Calibration Multiplier'!$B$2</f>
        <v>17829784927836.492</v>
      </c>
      <c r="AA4">
        <f>'BIFUbC-natural-gas-script'!AA4+'BIFUbC-natural-gas-script'!AA4*'Calibration Multiplier'!$B$2</f>
        <v>17949185306101.914</v>
      </c>
      <c r="AB4">
        <f>'BIFUbC-natural-gas-script'!AB4+'BIFUbC-natural-gas-script'!AB4*'Calibration Multiplier'!$B$2</f>
        <v>18082684340163.199</v>
      </c>
      <c r="AC4">
        <f>'BIFUbC-natural-gas-script'!AC4+'BIFUbC-natural-gas-script'!AC4*'Calibration Multiplier'!$B$2</f>
        <v>18125647823501.914</v>
      </c>
      <c r="AD4">
        <f>'BIFUbC-natural-gas-script'!AD4+'BIFUbC-natural-gas-script'!AD4*'Calibration Multiplier'!$B$2</f>
        <v>18272714552206.566</v>
      </c>
      <c r="AE4">
        <f>'BIFUbC-natural-gas-script'!AE4+'BIFUbC-natural-gas-script'!AE4*'Calibration Multiplier'!$B$2</f>
        <v>18389428323080.164</v>
      </c>
      <c r="AF4">
        <f>'BIFUbC-natural-gas-script'!AF4+'BIFUbC-natural-gas-script'!AF4*'Calibration Multiplier'!$B$2</f>
        <v>18525771843148.207</v>
      </c>
    </row>
    <row r="5" spans="1:35" ht="14" customHeight="1" x14ac:dyDescent="0.15">
      <c r="A5" s="48" t="s">
        <v>180</v>
      </c>
      <c r="B5">
        <f>'BIFUbC-natural-gas-script'!B5+'BIFUbC-natural-gas-script'!B5*'Calibration Multiplier'!$B$2</f>
        <v>115952563824.92911</v>
      </c>
      <c r="C5">
        <f>'BIFUbC-natural-gas-script'!C5+'BIFUbC-natural-gas-script'!C5*'Calibration Multiplier'!$B$2</f>
        <v>118048351014.49612</v>
      </c>
      <c r="D5">
        <f>'BIFUbC-natural-gas-script'!D5+'BIFUbC-natural-gas-script'!D5*'Calibration Multiplier'!$B$2</f>
        <v>120144138204.06317</v>
      </c>
      <c r="E5">
        <f>'BIFUbC-natural-gas-script'!E5+'BIFUbC-natural-gas-script'!E5*'Calibration Multiplier'!$B$2</f>
        <v>121184088711.10419</v>
      </c>
      <c r="F5">
        <f>'BIFUbC-natural-gas-script'!F5+'BIFUbC-natural-gas-script'!F5*'Calibration Multiplier'!$B$2</f>
        <v>122875858193.56601</v>
      </c>
      <c r="G5">
        <f>'BIFUbC-natural-gas-script'!G5+'BIFUbC-natural-gas-script'!G5*'Calibration Multiplier'!$B$2</f>
        <v>124657866395.88237</v>
      </c>
      <c r="H5">
        <f>'BIFUbC-natural-gas-script'!H5+'BIFUbC-natural-gas-script'!H5*'Calibration Multiplier'!$B$2</f>
        <v>125157419069.80435</v>
      </c>
      <c r="I5">
        <f>'BIFUbC-natural-gas-script'!I5+'BIFUbC-natural-gas-script'!I5*'Calibration Multiplier'!$B$2</f>
        <v>125473646466.45828</v>
      </c>
      <c r="J5">
        <f>'BIFUbC-natural-gas-script'!J5+'BIFUbC-natural-gas-script'!J5*'Calibration Multiplier'!$B$2</f>
        <v>127570917474.50693</v>
      </c>
      <c r="K5">
        <f>'BIFUbC-natural-gas-script'!K5+'BIFUbC-natural-gas-script'!K5*'Calibration Multiplier'!$B$2</f>
        <v>128330964054.73273</v>
      </c>
      <c r="L5">
        <f>'BIFUbC-natural-gas-script'!L5+'BIFUbC-natural-gas-script'!L5*'Calibration Multiplier'!$B$2</f>
        <v>129445533665.86858</v>
      </c>
      <c r="M5">
        <f>'BIFUbC-natural-gas-script'!M5+'BIFUbC-natural-gas-script'!M5*'Calibration Multiplier'!$B$2</f>
        <v>130406717202.00191</v>
      </c>
      <c r="N5">
        <f>'BIFUbC-natural-gas-script'!N5+'BIFUbC-natural-gas-script'!N5*'Calibration Multiplier'!$B$2</f>
        <v>131881573623.31177</v>
      </c>
      <c r="O5">
        <f>'BIFUbC-natural-gas-script'!O5+'BIFUbC-natural-gas-script'!O5*'Calibration Multiplier'!$B$2</f>
        <v>132647218732.22926</v>
      </c>
      <c r="P5">
        <f>'BIFUbC-natural-gas-script'!P5+'BIFUbC-natural-gas-script'!P5*'Calibration Multiplier'!$B$2</f>
        <v>132642027957.14677</v>
      </c>
      <c r="Q5">
        <f>'BIFUbC-natural-gas-script'!Q5+'BIFUbC-natural-gas-script'!Q5*'Calibration Multiplier'!$B$2</f>
        <v>132485161697.34534</v>
      </c>
      <c r="R5">
        <f>'BIFUbC-natural-gas-script'!R5+'BIFUbC-natural-gas-script'!R5*'Calibration Multiplier'!$B$2</f>
        <v>132335003284.51846</v>
      </c>
      <c r="S5">
        <f>'BIFUbC-natural-gas-script'!S5+'BIFUbC-natural-gas-script'!S5*'Calibration Multiplier'!$B$2</f>
        <v>132273991843.84253</v>
      </c>
      <c r="T5">
        <f>'BIFUbC-natural-gas-script'!T5+'BIFUbC-natural-gas-script'!T5*'Calibration Multiplier'!$B$2</f>
        <v>132955733806.25598</v>
      </c>
      <c r="U5">
        <f>'BIFUbC-natural-gas-script'!U5+'BIFUbC-natural-gas-script'!U5*'Calibration Multiplier'!$B$2</f>
        <v>133547749790.26572</v>
      </c>
      <c r="V5">
        <f>'BIFUbC-natural-gas-script'!V5+'BIFUbC-natural-gas-script'!V5*'Calibration Multiplier'!$B$2</f>
        <v>134602235571.1442</v>
      </c>
      <c r="W5">
        <f>'BIFUbC-natural-gas-script'!W5+'BIFUbC-natural-gas-script'!W5*'Calibration Multiplier'!$B$2</f>
        <v>135213231653.11588</v>
      </c>
      <c r="X5">
        <f>'BIFUbC-natural-gas-script'!X5+'BIFUbC-natural-gas-script'!X5*'Calibration Multiplier'!$B$2</f>
        <v>136447082457.57748</v>
      </c>
      <c r="Y5">
        <f>'BIFUbC-natural-gas-script'!Y5+'BIFUbC-natural-gas-script'!Y5*'Calibration Multiplier'!$B$2</f>
        <v>136997256115.71124</v>
      </c>
      <c r="Z5">
        <f>'BIFUbC-natural-gas-script'!Z5+'BIFUbC-natural-gas-script'!Z5*'Calibration Multiplier'!$B$2</f>
        <v>138294722582.08344</v>
      </c>
      <c r="AA5">
        <f>'BIFUbC-natural-gas-script'!AA5+'BIFUbC-natural-gas-script'!AA5*'Calibration Multiplier'!$B$2</f>
        <v>139220838194.5401</v>
      </c>
      <c r="AB5">
        <f>'BIFUbC-natural-gas-script'!AB5+'BIFUbC-natural-gas-script'!AB5*'Calibration Multiplier'!$B$2</f>
        <v>140256308445.87531</v>
      </c>
      <c r="AC5">
        <f>'BIFUbC-natural-gas-script'!AC5+'BIFUbC-natural-gas-script'!AC5*'Calibration Multiplier'!$B$2</f>
        <v>140589549874.95242</v>
      </c>
      <c r="AD5">
        <f>'BIFUbC-natural-gas-script'!AD5+'BIFUbC-natural-gas-script'!AD5*'Calibration Multiplier'!$B$2</f>
        <v>141730256424.67126</v>
      </c>
      <c r="AE5">
        <f>'BIFUbC-natural-gas-script'!AE5+'BIFUbC-natural-gas-script'!AE5*'Calibration Multiplier'!$B$2</f>
        <v>142635533668.8894</v>
      </c>
      <c r="AF5">
        <f>'BIFUbC-natural-gas-script'!AF5+'BIFUbC-natural-gas-script'!AF5*'Calibration Multiplier'!$B$2</f>
        <v>143693066856.19321</v>
      </c>
    </row>
    <row r="6" spans="1:35" ht="14" customHeight="1" x14ac:dyDescent="0.15">
      <c r="A6" s="48" t="s">
        <v>181</v>
      </c>
      <c r="B6">
        <f>'BIFUbC-natural-gas-script'!B6+'BIFUbC-natural-gas-script'!B6*'Calibration Multiplier'!$B$2</f>
        <v>237240063218.10333</v>
      </c>
      <c r="C6">
        <f>'BIFUbC-natural-gas-script'!C6+'BIFUbC-natural-gas-script'!C6*'Calibration Multiplier'!$B$2</f>
        <v>239915353475.39801</v>
      </c>
      <c r="D6">
        <f>'BIFUbC-natural-gas-script'!D6+'BIFUbC-natural-gas-script'!D6*'Calibration Multiplier'!$B$2</f>
        <v>242590643732.69281</v>
      </c>
      <c r="E6">
        <f>'BIFUbC-natural-gas-script'!E6+'BIFUbC-natural-gas-script'!E6*'Calibration Multiplier'!$B$2</f>
        <v>243399589265.23108</v>
      </c>
      <c r="F6">
        <f>'BIFUbC-natural-gas-script'!F6+'BIFUbC-natural-gas-script'!F6*'Calibration Multiplier'!$B$2</f>
        <v>243824779907.43317</v>
      </c>
      <c r="G6">
        <f>'BIFUbC-natural-gas-script'!G6+'BIFUbC-natural-gas-script'!G6*'Calibration Multiplier'!$B$2</f>
        <v>243422105129.68591</v>
      </c>
      <c r="H6">
        <f>'BIFUbC-natural-gas-script'!H6+'BIFUbC-natural-gas-script'!H6*'Calibration Multiplier'!$B$2</f>
        <v>241550938709.21634</v>
      </c>
      <c r="I6">
        <f>'BIFUbC-natural-gas-script'!I6+'BIFUbC-natural-gas-script'!I6*'Calibration Multiplier'!$B$2</f>
        <v>237953019061.05847</v>
      </c>
      <c r="J6">
        <f>'BIFUbC-natural-gas-script'!J6+'BIFUbC-natural-gas-script'!J6*'Calibration Multiplier'!$B$2</f>
        <v>234047086337.31036</v>
      </c>
      <c r="K6">
        <f>'BIFUbC-natural-gas-script'!K6+'BIFUbC-natural-gas-script'!K6*'Calibration Multiplier'!$B$2</f>
        <v>230101658792.14706</v>
      </c>
      <c r="L6">
        <f>'BIFUbC-natural-gas-script'!L6+'BIFUbC-natural-gas-script'!L6*'Calibration Multiplier'!$B$2</f>
        <v>226110197585.53912</v>
      </c>
      <c r="M6">
        <f>'BIFUbC-natural-gas-script'!M6+'BIFUbC-natural-gas-script'!M6*'Calibration Multiplier'!$B$2</f>
        <v>221706131656.38275</v>
      </c>
      <c r="N6">
        <f>'BIFUbC-natural-gas-script'!N6+'BIFUbC-natural-gas-script'!N6*'Calibration Multiplier'!$B$2</f>
        <v>218226779157.84827</v>
      </c>
      <c r="O6">
        <f>'BIFUbC-natural-gas-script'!O6+'BIFUbC-natural-gas-script'!O6*'Calibration Multiplier'!$B$2</f>
        <v>214535730332.47357</v>
      </c>
      <c r="P6">
        <f>'BIFUbC-natural-gas-script'!P6+'BIFUbC-natural-gas-script'!P6*'Calibration Multiplier'!$B$2</f>
        <v>211321892299.06036</v>
      </c>
      <c r="Q6">
        <f>'BIFUbC-natural-gas-script'!Q6+'BIFUbC-natural-gas-script'!Q6*'Calibration Multiplier'!$B$2</f>
        <v>208499001110.07147</v>
      </c>
      <c r="R6">
        <f>'BIFUbC-natural-gas-script'!R6+'BIFUbC-natural-gas-script'!R6*'Calibration Multiplier'!$B$2</f>
        <v>206084219504.94641</v>
      </c>
      <c r="S6">
        <f>'BIFUbC-natural-gas-script'!S6+'BIFUbC-natural-gas-script'!S6*'Calibration Multiplier'!$B$2</f>
        <v>203919669295.12708</v>
      </c>
      <c r="T6">
        <f>'BIFUbC-natural-gas-script'!T6+'BIFUbC-natural-gas-script'!T6*'Calibration Multiplier'!$B$2</f>
        <v>201981689741.69464</v>
      </c>
      <c r="U6">
        <f>'BIFUbC-natural-gas-script'!U6+'BIFUbC-natural-gas-script'!U6*'Calibration Multiplier'!$B$2</f>
        <v>201736934327.81567</v>
      </c>
      <c r="V6">
        <f>'BIFUbC-natural-gas-script'!V6+'BIFUbC-natural-gas-script'!V6*'Calibration Multiplier'!$B$2</f>
        <v>201774284016.02496</v>
      </c>
      <c r="W6">
        <f>'BIFUbC-natural-gas-script'!W6+'BIFUbC-natural-gas-script'!W6*'Calibration Multiplier'!$B$2</f>
        <v>201961727750.71466</v>
      </c>
      <c r="X6">
        <f>'BIFUbC-natural-gas-script'!X6+'BIFUbC-natural-gas-script'!X6*'Calibration Multiplier'!$B$2</f>
        <v>202428027755.13269</v>
      </c>
      <c r="Y6">
        <f>'BIFUbC-natural-gas-script'!Y6+'BIFUbC-natural-gas-script'!Y6*'Calibration Multiplier'!$B$2</f>
        <v>202820813428.62982</v>
      </c>
      <c r="Z6">
        <f>'BIFUbC-natural-gas-script'!Z6+'BIFUbC-natural-gas-script'!Z6*'Calibration Multiplier'!$B$2</f>
        <v>203389743729.27966</v>
      </c>
      <c r="AA6">
        <f>'BIFUbC-natural-gas-script'!AA6+'BIFUbC-natural-gas-script'!AA6*'Calibration Multiplier'!$B$2</f>
        <v>203882421708.29541</v>
      </c>
      <c r="AB6">
        <f>'BIFUbC-natural-gas-script'!AB6+'BIFUbC-natural-gas-script'!AB6*'Calibration Multiplier'!$B$2</f>
        <v>204325817528.26508</v>
      </c>
      <c r="AC6">
        <f>'BIFUbC-natural-gas-script'!AC6+'BIFUbC-natural-gas-script'!AC6*'Calibration Multiplier'!$B$2</f>
        <v>204786457768.77673</v>
      </c>
      <c r="AD6">
        <f>'BIFUbC-natural-gas-script'!AD6+'BIFUbC-natural-gas-script'!AD6*'Calibration Multiplier'!$B$2</f>
        <v>205266386131.17596</v>
      </c>
      <c r="AE6">
        <f>'BIFUbC-natural-gas-script'!AE6+'BIFUbC-natural-gas-script'!AE6*'Calibration Multiplier'!$B$2</f>
        <v>205841159978.21185</v>
      </c>
      <c r="AF6">
        <f>'BIFUbC-natural-gas-script'!AF6+'BIFUbC-natural-gas-script'!AF6*'Calibration Multiplier'!$B$2</f>
        <v>206315530678.08252</v>
      </c>
    </row>
    <row r="7" spans="1:35" ht="14" customHeight="1" x14ac:dyDescent="0.15">
      <c r="A7" s="48" t="s">
        <v>182</v>
      </c>
      <c r="B7">
        <f>'BIFUbC-natural-gas-script'!B7+'BIFUbC-natural-gas-script'!B7*'Calibration Multiplier'!$B$2</f>
        <v>276481188.55263078</v>
      </c>
      <c r="C7">
        <f>'BIFUbC-natural-gas-script'!C7+'BIFUbC-natural-gas-script'!C7*'Calibration Multiplier'!$B$2</f>
        <v>278793466.88235688</v>
      </c>
      <c r="D7">
        <f>'BIFUbC-natural-gas-script'!D7+'BIFUbC-natural-gas-script'!D7*'Calibration Multiplier'!$B$2</f>
        <v>281105745.21208298</v>
      </c>
      <c r="E7">
        <f>'BIFUbC-natural-gas-script'!E7+'BIFUbC-natural-gas-script'!E7*'Calibration Multiplier'!$B$2</f>
        <v>285454363.08053648</v>
      </c>
      <c r="F7">
        <f>'BIFUbC-natural-gas-script'!F7+'BIFUbC-natural-gas-script'!F7*'Calibration Multiplier'!$B$2</f>
        <v>292864511.39112037</v>
      </c>
      <c r="G7">
        <f>'BIFUbC-natural-gas-script'!G7+'BIFUbC-natural-gas-script'!G7*'Calibration Multiplier'!$B$2</f>
        <v>296478800.87154555</v>
      </c>
      <c r="H7">
        <f>'BIFUbC-natural-gas-script'!H7+'BIFUbC-natural-gas-script'!H7*'Calibration Multiplier'!$B$2</f>
        <v>299176172.74113339</v>
      </c>
      <c r="I7">
        <f>'BIFUbC-natural-gas-script'!I7+'BIFUbC-natural-gas-script'!I7*'Calibration Multiplier'!$B$2</f>
        <v>301471438.54603523</v>
      </c>
      <c r="J7">
        <f>'BIFUbC-natural-gas-script'!J7+'BIFUbC-natural-gas-script'!J7*'Calibration Multiplier'!$B$2</f>
        <v>302595501.80905604</v>
      </c>
      <c r="K7">
        <f>'BIFUbC-natural-gas-script'!K7+'BIFUbC-natural-gas-script'!K7*'Calibration Multiplier'!$B$2</f>
        <v>304689331.65387946</v>
      </c>
      <c r="L7">
        <f>'BIFUbC-natural-gas-script'!L7+'BIFUbC-natural-gas-script'!L7*'Calibration Multiplier'!$B$2</f>
        <v>307082123.86733651</v>
      </c>
      <c r="M7">
        <f>'BIFUbC-natural-gas-script'!M7+'BIFUbC-natural-gas-script'!M7*'Calibration Multiplier'!$B$2</f>
        <v>308522743.26020396</v>
      </c>
      <c r="N7">
        <f>'BIFUbC-natural-gas-script'!N7+'BIFUbC-natural-gas-script'!N7*'Calibration Multiplier'!$B$2</f>
        <v>311471312.30193526</v>
      </c>
      <c r="O7">
        <f>'BIFUbC-natural-gas-script'!O7+'BIFUbC-natural-gas-script'!O7*'Calibration Multiplier'!$B$2</f>
        <v>314073292.57558727</v>
      </c>
      <c r="P7">
        <f>'BIFUbC-natural-gas-script'!P7+'BIFUbC-natural-gas-script'!P7*'Calibration Multiplier'!$B$2</f>
        <v>317286752.92413282</v>
      </c>
      <c r="Q7">
        <f>'BIFUbC-natural-gas-script'!Q7+'BIFUbC-natural-gas-script'!Q7*'Calibration Multiplier'!$B$2</f>
        <v>320575411.9901492</v>
      </c>
      <c r="R7">
        <f>'BIFUbC-natural-gas-script'!R7+'BIFUbC-natural-gas-script'!R7*'Calibration Multiplier'!$B$2</f>
        <v>323752897.28564233</v>
      </c>
      <c r="S7">
        <f>'BIFUbC-natural-gas-script'!S7+'BIFUbC-natural-gas-script'!S7*'Calibration Multiplier'!$B$2</f>
        <v>327358297.67098618</v>
      </c>
      <c r="T7">
        <f>'BIFUbC-natural-gas-script'!T7+'BIFUbC-natural-gas-script'!T7*'Calibration Multiplier'!$B$2</f>
        <v>331470967.02886176</v>
      </c>
      <c r="U7">
        <f>'BIFUbC-natural-gas-script'!U7+'BIFUbC-natural-gas-script'!U7*'Calibration Multiplier'!$B$2</f>
        <v>335472856.95192575</v>
      </c>
      <c r="V7">
        <f>'BIFUbC-natural-gas-script'!V7+'BIFUbC-natural-gas-script'!V7*'Calibration Multiplier'!$B$2</f>
        <v>339987353.63960123</v>
      </c>
      <c r="W7">
        <f>'BIFUbC-natural-gas-script'!W7+'BIFUbC-natural-gas-script'!W7*'Calibration Multiplier'!$B$2</f>
        <v>344511366.48078489</v>
      </c>
      <c r="X7">
        <f>'BIFUbC-natural-gas-script'!X7+'BIFUbC-natural-gas-script'!X7*'Calibration Multiplier'!$B$2</f>
        <v>349828729.1566366</v>
      </c>
      <c r="Y7">
        <f>'BIFUbC-natural-gas-script'!Y7+'BIFUbC-natural-gas-script'!Y7*'Calibration Multiplier'!$B$2</f>
        <v>355157464.82426119</v>
      </c>
      <c r="Z7">
        <f>'BIFUbC-natural-gas-script'!Z7+'BIFUbC-natural-gas-script'!Z7*'Calibration Multiplier'!$B$2</f>
        <v>360883641.07455814</v>
      </c>
      <c r="AA7">
        <f>'BIFUbC-natural-gas-script'!AA7+'BIFUbC-natural-gas-script'!AA7*'Calibration Multiplier'!$B$2</f>
        <v>366356322.58629817</v>
      </c>
      <c r="AB7">
        <f>'BIFUbC-natural-gas-script'!AB7+'BIFUbC-natural-gas-script'!AB7*'Calibration Multiplier'!$B$2</f>
        <v>372288925.02574402</v>
      </c>
      <c r="AC7">
        <f>'BIFUbC-natural-gas-script'!AC7+'BIFUbC-natural-gas-script'!AC7*'Calibration Multiplier'!$B$2</f>
        <v>377827266.28549409</v>
      </c>
      <c r="AD7">
        <f>'BIFUbC-natural-gas-script'!AD7+'BIFUbC-natural-gas-script'!AD7*'Calibration Multiplier'!$B$2</f>
        <v>382389922.88563704</v>
      </c>
      <c r="AE7">
        <f>'BIFUbC-natural-gas-script'!AE7+'BIFUbC-natural-gas-script'!AE7*'Calibration Multiplier'!$B$2</f>
        <v>387057324.48142993</v>
      </c>
      <c r="AF7">
        <f>'BIFUbC-natural-gas-script'!AF7+'BIFUbC-natural-gas-script'!AF7*'Calibration Multiplier'!$B$2</f>
        <v>391892067.3989979</v>
      </c>
    </row>
    <row r="8" spans="1:35" ht="14" customHeight="1" x14ac:dyDescent="0.15">
      <c r="A8" s="48" t="s">
        <v>183</v>
      </c>
      <c r="B8">
        <f>'BIFUbC-natural-gas-script'!B8+'BIFUbC-natural-gas-script'!B8*'Calibration Multiplier'!$B$2</f>
        <v>11858990953.311237</v>
      </c>
      <c r="C8">
        <f>'BIFUbC-natural-gas-script'!C8+'BIFUbC-natural-gas-script'!C8*'Calibration Multiplier'!$B$2</f>
        <v>11738346002.355911</v>
      </c>
      <c r="D8">
        <f>'BIFUbC-natural-gas-script'!D8+'BIFUbC-natural-gas-script'!D8*'Calibration Multiplier'!$B$2</f>
        <v>11617701051.400585</v>
      </c>
      <c r="E8">
        <f>'BIFUbC-natural-gas-script'!E8+'BIFUbC-natural-gas-script'!E8*'Calibration Multiplier'!$B$2</f>
        <v>11036329628.904327</v>
      </c>
      <c r="F8">
        <f>'BIFUbC-natural-gas-script'!F8+'BIFUbC-natural-gas-script'!F8*'Calibration Multiplier'!$B$2</f>
        <v>11176931428.979477</v>
      </c>
      <c r="G8">
        <f>'BIFUbC-natural-gas-script'!G8+'BIFUbC-natural-gas-script'!G8*'Calibration Multiplier'!$B$2</f>
        <v>11416302502.7052</v>
      </c>
      <c r="H8">
        <f>'BIFUbC-natural-gas-script'!H8+'BIFUbC-natural-gas-script'!H8*'Calibration Multiplier'!$B$2</f>
        <v>11300842511.52186</v>
      </c>
      <c r="I8">
        <f>'BIFUbC-natural-gas-script'!I8+'BIFUbC-natural-gas-script'!I8*'Calibration Multiplier'!$B$2</f>
        <v>11103525586.235294</v>
      </c>
      <c r="J8">
        <f>'BIFUbC-natural-gas-script'!J8+'BIFUbC-natural-gas-script'!J8*'Calibration Multiplier'!$B$2</f>
        <v>10961368572.46294</v>
      </c>
      <c r="K8">
        <f>'BIFUbC-natural-gas-script'!K8+'BIFUbC-natural-gas-script'!K8*'Calibration Multiplier'!$B$2</f>
        <v>11006104530.101486</v>
      </c>
      <c r="L8">
        <f>'BIFUbC-natural-gas-script'!L8+'BIFUbC-natural-gas-script'!L8*'Calibration Multiplier'!$B$2</f>
        <v>11071537465.008469</v>
      </c>
      <c r="M8">
        <f>'BIFUbC-natural-gas-script'!M8+'BIFUbC-natural-gas-script'!M8*'Calibration Multiplier'!$B$2</f>
        <v>11044469311.878075</v>
      </c>
      <c r="N8">
        <f>'BIFUbC-natural-gas-script'!N8+'BIFUbC-natural-gas-script'!N8*'Calibration Multiplier'!$B$2</f>
        <v>11043945422.624535</v>
      </c>
      <c r="O8">
        <f>'BIFUbC-natural-gas-script'!O8+'BIFUbC-natural-gas-script'!O8*'Calibration Multiplier'!$B$2</f>
        <v>11012082230.397678</v>
      </c>
      <c r="P8">
        <f>'BIFUbC-natural-gas-script'!P8+'BIFUbC-natural-gas-script'!P8*'Calibration Multiplier'!$B$2</f>
        <v>10990893256.319601</v>
      </c>
      <c r="Q8">
        <f>'BIFUbC-natural-gas-script'!Q8+'BIFUbC-natural-gas-script'!Q8*'Calibration Multiplier'!$B$2</f>
        <v>10985685037.408596</v>
      </c>
      <c r="R8">
        <f>'BIFUbC-natural-gas-script'!R8+'BIFUbC-natural-gas-script'!R8*'Calibration Multiplier'!$B$2</f>
        <v>11003396922.555763</v>
      </c>
      <c r="S8">
        <f>'BIFUbC-natural-gas-script'!S8+'BIFUbC-natural-gas-script'!S8*'Calibration Multiplier'!$B$2</f>
        <v>11055304820.475597</v>
      </c>
      <c r="T8">
        <f>'BIFUbC-natural-gas-script'!T8+'BIFUbC-natural-gas-script'!T8*'Calibration Multiplier'!$B$2</f>
        <v>11125801747.318005</v>
      </c>
      <c r="U8">
        <f>'BIFUbC-natural-gas-script'!U8+'BIFUbC-natural-gas-script'!U8*'Calibration Multiplier'!$B$2</f>
        <v>11174291465.916666</v>
      </c>
      <c r="V8">
        <f>'BIFUbC-natural-gas-script'!V8+'BIFUbC-natural-gas-script'!V8*'Calibration Multiplier'!$B$2</f>
        <v>11204954324.060871</v>
      </c>
      <c r="W8">
        <f>'BIFUbC-natural-gas-script'!W8+'BIFUbC-natural-gas-script'!W8*'Calibration Multiplier'!$B$2</f>
        <v>11281590038.511629</v>
      </c>
      <c r="X8">
        <f>'BIFUbC-natural-gas-script'!X8+'BIFUbC-natural-gas-script'!X8*'Calibration Multiplier'!$B$2</f>
        <v>11365544764.131447</v>
      </c>
      <c r="Y8">
        <f>'BIFUbC-natural-gas-script'!Y8+'BIFUbC-natural-gas-script'!Y8*'Calibration Multiplier'!$B$2</f>
        <v>11414293278.739807</v>
      </c>
      <c r="Z8">
        <f>'BIFUbC-natural-gas-script'!Z8+'BIFUbC-natural-gas-script'!Z8*'Calibration Multiplier'!$B$2</f>
        <v>11486404328.889164</v>
      </c>
      <c r="AA8">
        <f>'BIFUbC-natural-gas-script'!AA8+'BIFUbC-natural-gas-script'!AA8*'Calibration Multiplier'!$B$2</f>
        <v>11540852246.671825</v>
      </c>
      <c r="AB8">
        <f>'BIFUbC-natural-gas-script'!AB8+'BIFUbC-natural-gas-script'!AB8*'Calibration Multiplier'!$B$2</f>
        <v>11623594246.877289</v>
      </c>
      <c r="AC8">
        <f>'BIFUbC-natural-gas-script'!AC8+'BIFUbC-natural-gas-script'!AC8*'Calibration Multiplier'!$B$2</f>
        <v>11684028193.556145</v>
      </c>
      <c r="AD8">
        <f>'BIFUbC-natural-gas-script'!AD8+'BIFUbC-natural-gas-script'!AD8*'Calibration Multiplier'!$B$2</f>
        <v>11704416809.488064</v>
      </c>
      <c r="AE8">
        <f>'BIFUbC-natural-gas-script'!AE8+'BIFUbC-natural-gas-script'!AE8*'Calibration Multiplier'!$B$2</f>
        <v>11764436154.396284</v>
      </c>
      <c r="AF8">
        <f>'BIFUbC-natural-gas-script'!AF8+'BIFUbC-natural-gas-script'!AF8*'Calibration Multiplier'!$B$2</f>
        <v>11891601891.308655</v>
      </c>
    </row>
    <row r="9" spans="1:35" ht="14" customHeight="1" x14ac:dyDescent="0.15">
      <c r="A9" s="48" t="s">
        <v>184</v>
      </c>
      <c r="B9">
        <f>'BIFUbC-natural-gas-script'!B9+'BIFUbC-natural-gas-script'!B9*'Calibration Multiplier'!$B$2</f>
        <v>55153444523.881454</v>
      </c>
      <c r="C9">
        <f>'BIFUbC-natural-gas-script'!C9+'BIFUbC-natural-gas-script'!C9*'Calibration Multiplier'!$B$2</f>
        <v>55947535491.255432</v>
      </c>
      <c r="D9">
        <f>'BIFUbC-natural-gas-script'!D9+'BIFUbC-natural-gas-script'!D9*'Calibration Multiplier'!$B$2</f>
        <v>56741626458.629433</v>
      </c>
      <c r="E9">
        <f>'BIFUbC-natural-gas-script'!E9+'BIFUbC-natural-gas-script'!E9*'Calibration Multiplier'!$B$2</f>
        <v>57099448143.992981</v>
      </c>
      <c r="F9">
        <f>'BIFUbC-natural-gas-script'!F9+'BIFUbC-natural-gas-script'!F9*'Calibration Multiplier'!$B$2</f>
        <v>57116078968.229729</v>
      </c>
      <c r="G9">
        <f>'BIFUbC-natural-gas-script'!G9+'BIFUbC-natural-gas-script'!G9*'Calibration Multiplier'!$B$2</f>
        <v>55747680095.86628</v>
      </c>
      <c r="H9">
        <f>'BIFUbC-natural-gas-script'!H9+'BIFUbC-natural-gas-script'!H9*'Calibration Multiplier'!$B$2</f>
        <v>55065646444.401123</v>
      </c>
      <c r="I9">
        <f>'BIFUbC-natural-gas-script'!I9+'BIFUbC-natural-gas-script'!I9*'Calibration Multiplier'!$B$2</f>
        <v>54126758373.084167</v>
      </c>
      <c r="J9">
        <f>'BIFUbC-natural-gas-script'!J9+'BIFUbC-natural-gas-script'!J9*'Calibration Multiplier'!$B$2</f>
        <v>53300404507.094269</v>
      </c>
      <c r="K9">
        <f>'BIFUbC-natural-gas-script'!K9+'BIFUbC-natural-gas-script'!K9*'Calibration Multiplier'!$B$2</f>
        <v>52522263507.612503</v>
      </c>
      <c r="L9">
        <f>'BIFUbC-natural-gas-script'!L9+'BIFUbC-natural-gas-script'!L9*'Calibration Multiplier'!$B$2</f>
        <v>51675739032.81601</v>
      </c>
      <c r="M9">
        <f>'BIFUbC-natural-gas-script'!M9+'BIFUbC-natural-gas-script'!M9*'Calibration Multiplier'!$B$2</f>
        <v>50968447198.470123</v>
      </c>
      <c r="N9">
        <f>'BIFUbC-natural-gas-script'!N9+'BIFUbC-natural-gas-script'!N9*'Calibration Multiplier'!$B$2</f>
        <v>50271816494.19223</v>
      </c>
      <c r="O9">
        <f>'BIFUbC-natural-gas-script'!O9+'BIFUbC-natural-gas-script'!O9*'Calibration Multiplier'!$B$2</f>
        <v>49442354958.62426</v>
      </c>
      <c r="P9">
        <f>'BIFUbC-natural-gas-script'!P9+'BIFUbC-natural-gas-script'!P9*'Calibration Multiplier'!$B$2</f>
        <v>48741488623.091614</v>
      </c>
      <c r="Q9">
        <f>'BIFUbC-natural-gas-script'!Q9+'BIFUbC-natural-gas-script'!Q9*'Calibration Multiplier'!$B$2</f>
        <v>48105009878.767441</v>
      </c>
      <c r="R9">
        <f>'BIFUbC-natural-gas-script'!R9+'BIFUbC-natural-gas-script'!R9*'Calibration Multiplier'!$B$2</f>
        <v>47480011474.325058</v>
      </c>
      <c r="S9">
        <f>'BIFUbC-natural-gas-script'!S9+'BIFUbC-natural-gas-script'!S9*'Calibration Multiplier'!$B$2</f>
        <v>46924662221.410812</v>
      </c>
      <c r="T9">
        <f>'BIFUbC-natural-gas-script'!T9+'BIFUbC-natural-gas-script'!T9*'Calibration Multiplier'!$B$2</f>
        <v>46478094575.56926</v>
      </c>
      <c r="U9">
        <f>'BIFUbC-natural-gas-script'!U9+'BIFUbC-natural-gas-script'!U9*'Calibration Multiplier'!$B$2</f>
        <v>46011074305.927597</v>
      </c>
      <c r="V9">
        <f>'BIFUbC-natural-gas-script'!V9+'BIFUbC-natural-gas-script'!V9*'Calibration Multiplier'!$B$2</f>
        <v>45567704468.300919</v>
      </c>
      <c r="W9">
        <f>'BIFUbC-natural-gas-script'!W9+'BIFUbC-natural-gas-script'!W9*'Calibration Multiplier'!$B$2</f>
        <v>45314377742.449394</v>
      </c>
      <c r="X9">
        <f>'BIFUbC-natural-gas-script'!X9+'BIFUbC-natural-gas-script'!X9*'Calibration Multiplier'!$B$2</f>
        <v>45172169445.713226</v>
      </c>
      <c r="Y9">
        <f>'BIFUbC-natural-gas-script'!Y9+'BIFUbC-natural-gas-script'!Y9*'Calibration Multiplier'!$B$2</f>
        <v>45027480223.072235</v>
      </c>
      <c r="Z9">
        <f>'BIFUbC-natural-gas-script'!Z9+'BIFUbC-natural-gas-script'!Z9*'Calibration Multiplier'!$B$2</f>
        <v>44837068201.478134</v>
      </c>
      <c r="AA9">
        <f>'BIFUbC-natural-gas-script'!AA9+'BIFUbC-natural-gas-script'!AA9*'Calibration Multiplier'!$B$2</f>
        <v>44584812326.563911</v>
      </c>
      <c r="AB9">
        <f>'BIFUbC-natural-gas-script'!AB9+'BIFUbC-natural-gas-script'!AB9*'Calibration Multiplier'!$B$2</f>
        <v>44480776415.507706</v>
      </c>
      <c r="AC9">
        <f>'BIFUbC-natural-gas-script'!AC9+'BIFUbC-natural-gas-script'!AC9*'Calibration Multiplier'!$B$2</f>
        <v>44297308902.54406</v>
      </c>
      <c r="AD9">
        <f>'BIFUbC-natural-gas-script'!AD9+'BIFUbC-natural-gas-script'!AD9*'Calibration Multiplier'!$B$2</f>
        <v>44040538428.598312</v>
      </c>
      <c r="AE9">
        <f>'BIFUbC-natural-gas-script'!AE9+'BIFUbC-natural-gas-script'!AE9*'Calibration Multiplier'!$B$2</f>
        <v>43926408169.785889</v>
      </c>
      <c r="AF9">
        <f>'BIFUbC-natural-gas-script'!AF9+'BIFUbC-natural-gas-script'!AF9*'Calibration Multiplier'!$B$2</f>
        <v>43950868473.369888</v>
      </c>
      <c r="AG9" s="57"/>
    </row>
    <row r="10" spans="1:35" ht="14" customHeight="1" x14ac:dyDescent="0.15">
      <c r="A10" s="48" t="s">
        <v>136</v>
      </c>
      <c r="B10">
        <f>'BIFUbC-natural-gas-script'!B10+'BIFUbC-natural-gas-script'!B10*'Calibration Multiplier'!$B$2</f>
        <v>1965048309644.9292</v>
      </c>
      <c r="C10">
        <f>'BIFUbC-natural-gas-script'!C10+'BIFUbC-natural-gas-script'!C10*'Calibration Multiplier'!$B$2</f>
        <v>1970690372583.5142</v>
      </c>
      <c r="D10">
        <f>'BIFUbC-natural-gas-script'!D10+'BIFUbC-natural-gas-script'!D10*'Calibration Multiplier'!$B$2</f>
        <v>1976332435522.0994</v>
      </c>
      <c r="E10">
        <f>'BIFUbC-natural-gas-script'!E10+'BIFUbC-natural-gas-script'!E10*'Calibration Multiplier'!$B$2</f>
        <v>1785648031070.5156</v>
      </c>
      <c r="F10">
        <f>'BIFUbC-natural-gas-script'!F10+'BIFUbC-natural-gas-script'!F10*'Calibration Multiplier'!$B$2</f>
        <v>1723823680268.5425</v>
      </c>
      <c r="G10">
        <f>'BIFUbC-natural-gas-script'!G10+'BIFUbC-natural-gas-script'!G10*'Calibration Multiplier'!$B$2</f>
        <v>1737679341582.9077</v>
      </c>
      <c r="H10">
        <f>'BIFUbC-natural-gas-script'!H10+'BIFUbC-natural-gas-script'!H10*'Calibration Multiplier'!$B$2</f>
        <v>1792694124104.4824</v>
      </c>
      <c r="I10">
        <f>'BIFUbC-natural-gas-script'!I10+'BIFUbC-natural-gas-script'!I10*'Calibration Multiplier'!$B$2</f>
        <v>1798502957400.0713</v>
      </c>
      <c r="J10">
        <f>'BIFUbC-natural-gas-script'!J10+'BIFUbC-natural-gas-script'!J10*'Calibration Multiplier'!$B$2</f>
        <v>1804647722422.9722</v>
      </c>
      <c r="K10">
        <f>'BIFUbC-natural-gas-script'!K10+'BIFUbC-natural-gas-script'!K10*'Calibration Multiplier'!$B$2</f>
        <v>1817738025017.272</v>
      </c>
      <c r="L10">
        <f>'BIFUbC-natural-gas-script'!L10+'BIFUbC-natural-gas-script'!L10*'Calibration Multiplier'!$B$2</f>
        <v>1846360337507.3752</v>
      </c>
      <c r="M10">
        <f>'BIFUbC-natural-gas-script'!M10+'BIFUbC-natural-gas-script'!M10*'Calibration Multiplier'!$B$2</f>
        <v>1804116399646.0879</v>
      </c>
      <c r="N10">
        <f>'BIFUbC-natural-gas-script'!N10+'BIFUbC-natural-gas-script'!N10*'Calibration Multiplier'!$B$2</f>
        <v>1822160886825.0537</v>
      </c>
      <c r="O10">
        <f>'BIFUbC-natural-gas-script'!O10+'BIFUbC-natural-gas-script'!O10*'Calibration Multiplier'!$B$2</f>
        <v>1828646864617.7646</v>
      </c>
      <c r="P10">
        <f>'BIFUbC-natural-gas-script'!P10+'BIFUbC-natural-gas-script'!P10*'Calibration Multiplier'!$B$2</f>
        <v>1849540450402.0254</v>
      </c>
      <c r="Q10">
        <f>'BIFUbC-natural-gas-script'!Q10+'BIFUbC-natural-gas-script'!Q10*'Calibration Multiplier'!$B$2</f>
        <v>1871281106877.0608</v>
      </c>
      <c r="R10">
        <f>'BIFUbC-natural-gas-script'!R10+'BIFUbC-natural-gas-script'!R10*'Calibration Multiplier'!$B$2</f>
        <v>1887129630763.9077</v>
      </c>
      <c r="S10">
        <f>'BIFUbC-natural-gas-script'!S10+'BIFUbC-natural-gas-script'!S10*'Calibration Multiplier'!$B$2</f>
        <v>1894350759262.2251</v>
      </c>
      <c r="T10">
        <f>'BIFUbC-natural-gas-script'!T10+'BIFUbC-natural-gas-script'!T10*'Calibration Multiplier'!$B$2</f>
        <v>1910211221916.0845</v>
      </c>
      <c r="U10">
        <f>'BIFUbC-natural-gas-script'!U10+'BIFUbC-natural-gas-script'!U10*'Calibration Multiplier'!$B$2</f>
        <v>1912907227964.1401</v>
      </c>
      <c r="V10">
        <f>'BIFUbC-natural-gas-script'!V10+'BIFUbC-natural-gas-script'!V10*'Calibration Multiplier'!$B$2</f>
        <v>1923437760862.6509</v>
      </c>
      <c r="W10">
        <f>'BIFUbC-natural-gas-script'!W10+'BIFUbC-natural-gas-script'!W10*'Calibration Multiplier'!$B$2</f>
        <v>1934075811623.7764</v>
      </c>
      <c r="X10">
        <f>'BIFUbC-natural-gas-script'!X10+'BIFUbC-natural-gas-script'!X10*'Calibration Multiplier'!$B$2</f>
        <v>1944713117622.4971</v>
      </c>
      <c r="Y10">
        <f>'BIFUbC-natural-gas-script'!Y10+'BIFUbC-natural-gas-script'!Y10*'Calibration Multiplier'!$B$2</f>
        <v>1940945683090.3049</v>
      </c>
      <c r="Z10">
        <f>'BIFUbC-natural-gas-script'!Z10+'BIFUbC-natural-gas-script'!Z10*'Calibration Multiplier'!$B$2</f>
        <v>1956738631903.854</v>
      </c>
      <c r="AA10">
        <f>'BIFUbC-natural-gas-script'!AA10+'BIFUbC-natural-gas-script'!AA10*'Calibration Multiplier'!$B$2</f>
        <v>1967606339054.1606</v>
      </c>
      <c r="AB10">
        <f>'BIFUbC-natural-gas-script'!AB10+'BIFUbC-natural-gas-script'!AB10*'Calibration Multiplier'!$B$2</f>
        <v>1963167155163.939</v>
      </c>
      <c r="AC10">
        <f>'BIFUbC-natural-gas-script'!AC10+'BIFUbC-natural-gas-script'!AC10*'Calibration Multiplier'!$B$2</f>
        <v>1980679938408.1567</v>
      </c>
      <c r="AD10">
        <f>'BIFUbC-natural-gas-script'!AD10+'BIFUbC-natural-gas-script'!AD10*'Calibration Multiplier'!$B$2</f>
        <v>2006150110477.0488</v>
      </c>
      <c r="AE10">
        <f>'BIFUbC-natural-gas-script'!AE10+'BIFUbC-natural-gas-script'!AE10*'Calibration Multiplier'!$B$2</f>
        <v>2015807610066.7859</v>
      </c>
      <c r="AF10">
        <f>'BIFUbC-natural-gas-script'!AF10+'BIFUbC-natural-gas-script'!AF10*'Calibration Multiplier'!$B$2</f>
        <v>2044471821084.229</v>
      </c>
    </row>
    <row r="11" spans="1:35" ht="14" customHeight="1" x14ac:dyDescent="0.15">
      <c r="A11" s="48" t="s">
        <v>185</v>
      </c>
      <c r="B11">
        <f>'BIFUbC-natural-gas-script'!B11+'BIFUbC-natural-gas-script'!B11*'Calibration Multiplier'!$B$2</f>
        <v>68682469536.471283</v>
      </c>
      <c r="C11">
        <f>'BIFUbC-natural-gas-script'!C11+'BIFUbC-natural-gas-script'!C11*'Calibration Multiplier'!$B$2</f>
        <v>69775233839.761139</v>
      </c>
      <c r="D11">
        <f>'BIFUbC-natural-gas-script'!D11+'BIFUbC-natural-gas-script'!D11*'Calibration Multiplier'!$B$2</f>
        <v>70867998143.050995</v>
      </c>
      <c r="E11">
        <f>'BIFUbC-natural-gas-script'!E11+'BIFUbC-natural-gas-script'!E11*'Calibration Multiplier'!$B$2</f>
        <v>72913802731.765228</v>
      </c>
      <c r="F11">
        <f>'BIFUbC-natural-gas-script'!F11+'BIFUbC-natural-gas-script'!F11*'Calibration Multiplier'!$B$2</f>
        <v>75214088572.148499</v>
      </c>
      <c r="G11">
        <f>'BIFUbC-natural-gas-script'!G11+'BIFUbC-natural-gas-script'!G11*'Calibration Multiplier'!$B$2</f>
        <v>77339756054.728226</v>
      </c>
      <c r="H11">
        <f>'BIFUbC-natural-gas-script'!H11+'BIFUbC-natural-gas-script'!H11*'Calibration Multiplier'!$B$2</f>
        <v>79463348850.693634</v>
      </c>
      <c r="I11">
        <f>'BIFUbC-natural-gas-script'!I11+'BIFUbC-natural-gas-script'!I11*'Calibration Multiplier'!$B$2</f>
        <v>80901223595.460495</v>
      </c>
      <c r="J11">
        <f>'BIFUbC-natural-gas-script'!J11+'BIFUbC-natural-gas-script'!J11*'Calibration Multiplier'!$B$2</f>
        <v>81868323012.323547</v>
      </c>
      <c r="K11">
        <f>'BIFUbC-natural-gas-script'!K11+'BIFUbC-natural-gas-script'!K11*'Calibration Multiplier'!$B$2</f>
        <v>82863608697.413284</v>
      </c>
      <c r="L11">
        <f>'BIFUbC-natural-gas-script'!L11+'BIFUbC-natural-gas-script'!L11*'Calibration Multiplier'!$B$2</f>
        <v>83771023697.264847</v>
      </c>
      <c r="M11">
        <f>'BIFUbC-natural-gas-script'!M11+'BIFUbC-natural-gas-script'!M11*'Calibration Multiplier'!$B$2</f>
        <v>84879902795.820786</v>
      </c>
      <c r="N11">
        <f>'BIFUbC-natural-gas-script'!N11+'BIFUbC-natural-gas-script'!N11*'Calibration Multiplier'!$B$2</f>
        <v>86372418023.33963</v>
      </c>
      <c r="O11">
        <f>'BIFUbC-natural-gas-script'!O11+'BIFUbC-natural-gas-script'!O11*'Calibration Multiplier'!$B$2</f>
        <v>87498413910.161118</v>
      </c>
      <c r="P11">
        <f>'BIFUbC-natural-gas-script'!P11+'BIFUbC-natural-gas-script'!P11*'Calibration Multiplier'!$B$2</f>
        <v>88599693093.515686</v>
      </c>
      <c r="Q11">
        <f>'BIFUbC-natural-gas-script'!Q11+'BIFUbC-natural-gas-script'!Q11*'Calibration Multiplier'!$B$2</f>
        <v>89697320525.490143</v>
      </c>
      <c r="R11">
        <f>'BIFUbC-natural-gas-script'!R11+'BIFUbC-natural-gas-script'!R11*'Calibration Multiplier'!$B$2</f>
        <v>90783905675.188171</v>
      </c>
      <c r="S11">
        <f>'BIFUbC-natural-gas-script'!S11+'BIFUbC-natural-gas-script'!S11*'Calibration Multiplier'!$B$2</f>
        <v>92081792644.689941</v>
      </c>
      <c r="T11">
        <f>'BIFUbC-natural-gas-script'!T11+'BIFUbC-natural-gas-script'!T11*'Calibration Multiplier'!$B$2</f>
        <v>93417627445.54538</v>
      </c>
      <c r="U11">
        <f>'BIFUbC-natural-gas-script'!U11+'BIFUbC-natural-gas-script'!U11*'Calibration Multiplier'!$B$2</f>
        <v>94366769886.206406</v>
      </c>
      <c r="V11">
        <f>'BIFUbC-natural-gas-script'!V11+'BIFUbC-natural-gas-script'!V11*'Calibration Multiplier'!$B$2</f>
        <v>95565012468.721054</v>
      </c>
      <c r="W11">
        <f>'BIFUbC-natural-gas-script'!W11+'BIFUbC-natural-gas-script'!W11*'Calibration Multiplier'!$B$2</f>
        <v>97042374086.308685</v>
      </c>
      <c r="X11">
        <f>'BIFUbC-natural-gas-script'!X11+'BIFUbC-natural-gas-script'!X11*'Calibration Multiplier'!$B$2</f>
        <v>98471487879.902557</v>
      </c>
      <c r="Y11">
        <f>'BIFUbC-natural-gas-script'!Y11+'BIFUbC-natural-gas-script'!Y11*'Calibration Multiplier'!$B$2</f>
        <v>99972032616.846985</v>
      </c>
      <c r="Z11">
        <f>'BIFUbC-natural-gas-script'!Z11+'BIFUbC-natural-gas-script'!Z11*'Calibration Multiplier'!$B$2</f>
        <v>101240849604.97998</v>
      </c>
      <c r="AA11">
        <f>'BIFUbC-natural-gas-script'!AA11+'BIFUbC-natural-gas-script'!AA11*'Calibration Multiplier'!$B$2</f>
        <v>102420311284.05215</v>
      </c>
      <c r="AB11">
        <f>'BIFUbC-natural-gas-script'!AB11+'BIFUbC-natural-gas-script'!AB11*'Calibration Multiplier'!$B$2</f>
        <v>103796660811.91704</v>
      </c>
      <c r="AC11">
        <f>'BIFUbC-natural-gas-script'!AC11+'BIFUbC-natural-gas-script'!AC11*'Calibration Multiplier'!$B$2</f>
        <v>104675544237.63794</v>
      </c>
      <c r="AD11">
        <f>'BIFUbC-natural-gas-script'!AD11+'BIFUbC-natural-gas-script'!AD11*'Calibration Multiplier'!$B$2</f>
        <v>105001540698.70293</v>
      </c>
      <c r="AE11">
        <f>'BIFUbC-natural-gas-script'!AE11+'BIFUbC-natural-gas-script'!AE11*'Calibration Multiplier'!$B$2</f>
        <v>106289013494.29358</v>
      </c>
      <c r="AF11">
        <f>'BIFUbC-natural-gas-script'!AF11+'BIFUbC-natural-gas-script'!AF11*'Calibration Multiplier'!$B$2</f>
        <v>108395992558.92389</v>
      </c>
    </row>
    <row r="12" spans="1:35" ht="14" customHeight="1" x14ac:dyDescent="0.15">
      <c r="A12" s="48" t="s">
        <v>186</v>
      </c>
      <c r="B12">
        <f>'BIFUbC-natural-gas-script'!B12+'BIFUbC-natural-gas-script'!B12*'Calibration Multiplier'!$B$2</f>
        <v>0</v>
      </c>
      <c r="C12">
        <f>'BIFUbC-natural-gas-script'!C12+'BIFUbC-natural-gas-script'!C12*'Calibration Multiplier'!$B$2</f>
        <v>0</v>
      </c>
      <c r="D12">
        <f>'BIFUbC-natural-gas-script'!D12+'BIFUbC-natural-gas-script'!D12*'Calibration Multiplier'!$B$2</f>
        <v>0</v>
      </c>
      <c r="E12">
        <f>'BIFUbC-natural-gas-script'!E12+'BIFUbC-natural-gas-script'!E12*'Calibration Multiplier'!$B$2</f>
        <v>0</v>
      </c>
      <c r="F12">
        <f>'BIFUbC-natural-gas-script'!F12+'BIFUbC-natural-gas-script'!F12*'Calibration Multiplier'!$B$2</f>
        <v>0</v>
      </c>
      <c r="G12">
        <f>'BIFUbC-natural-gas-script'!G12+'BIFUbC-natural-gas-script'!G12*'Calibration Multiplier'!$B$2</f>
        <v>0</v>
      </c>
      <c r="H12">
        <f>'BIFUbC-natural-gas-script'!H12+'BIFUbC-natural-gas-script'!H12*'Calibration Multiplier'!$B$2</f>
        <v>0</v>
      </c>
      <c r="I12">
        <f>'BIFUbC-natural-gas-script'!I12+'BIFUbC-natural-gas-script'!I12*'Calibration Multiplier'!$B$2</f>
        <v>0</v>
      </c>
      <c r="J12">
        <f>'BIFUbC-natural-gas-script'!J12+'BIFUbC-natural-gas-script'!J12*'Calibration Multiplier'!$B$2</f>
        <v>0</v>
      </c>
      <c r="K12">
        <f>'BIFUbC-natural-gas-script'!K12+'BIFUbC-natural-gas-script'!K12*'Calibration Multiplier'!$B$2</f>
        <v>0</v>
      </c>
      <c r="L12">
        <f>'BIFUbC-natural-gas-script'!L12+'BIFUbC-natural-gas-script'!L12*'Calibration Multiplier'!$B$2</f>
        <v>0</v>
      </c>
      <c r="M12">
        <f>'BIFUbC-natural-gas-script'!M12+'BIFUbC-natural-gas-script'!M12*'Calibration Multiplier'!$B$2</f>
        <v>0</v>
      </c>
      <c r="N12">
        <f>'BIFUbC-natural-gas-script'!N12+'BIFUbC-natural-gas-script'!N12*'Calibration Multiplier'!$B$2</f>
        <v>0</v>
      </c>
      <c r="O12">
        <f>'BIFUbC-natural-gas-script'!O12+'BIFUbC-natural-gas-script'!O12*'Calibration Multiplier'!$B$2</f>
        <v>0</v>
      </c>
      <c r="P12">
        <f>'BIFUbC-natural-gas-script'!P12+'BIFUbC-natural-gas-script'!P12*'Calibration Multiplier'!$B$2</f>
        <v>0</v>
      </c>
      <c r="Q12">
        <f>'BIFUbC-natural-gas-script'!Q12+'BIFUbC-natural-gas-script'!Q12*'Calibration Multiplier'!$B$2</f>
        <v>0</v>
      </c>
      <c r="R12">
        <f>'BIFUbC-natural-gas-script'!R12+'BIFUbC-natural-gas-script'!R12*'Calibration Multiplier'!$B$2</f>
        <v>0</v>
      </c>
      <c r="S12">
        <f>'BIFUbC-natural-gas-script'!S12+'BIFUbC-natural-gas-script'!S12*'Calibration Multiplier'!$B$2</f>
        <v>0</v>
      </c>
      <c r="T12">
        <f>'BIFUbC-natural-gas-script'!T12+'BIFUbC-natural-gas-script'!T12*'Calibration Multiplier'!$B$2</f>
        <v>0</v>
      </c>
      <c r="U12">
        <f>'BIFUbC-natural-gas-script'!U12+'BIFUbC-natural-gas-script'!U12*'Calibration Multiplier'!$B$2</f>
        <v>0</v>
      </c>
      <c r="V12">
        <f>'BIFUbC-natural-gas-script'!V12+'BIFUbC-natural-gas-script'!V12*'Calibration Multiplier'!$B$2</f>
        <v>0</v>
      </c>
      <c r="W12">
        <f>'BIFUbC-natural-gas-script'!W12+'BIFUbC-natural-gas-script'!W12*'Calibration Multiplier'!$B$2</f>
        <v>0</v>
      </c>
      <c r="X12">
        <f>'BIFUbC-natural-gas-script'!X12+'BIFUbC-natural-gas-script'!X12*'Calibration Multiplier'!$B$2</f>
        <v>0</v>
      </c>
      <c r="Y12">
        <f>'BIFUbC-natural-gas-script'!Y12+'BIFUbC-natural-gas-script'!Y12*'Calibration Multiplier'!$B$2</f>
        <v>0</v>
      </c>
      <c r="Z12">
        <f>'BIFUbC-natural-gas-script'!Z12+'BIFUbC-natural-gas-script'!Z12*'Calibration Multiplier'!$B$2</f>
        <v>0</v>
      </c>
      <c r="AA12">
        <f>'BIFUbC-natural-gas-script'!AA12+'BIFUbC-natural-gas-script'!AA12*'Calibration Multiplier'!$B$2</f>
        <v>0</v>
      </c>
      <c r="AB12">
        <f>'BIFUbC-natural-gas-script'!AB12+'BIFUbC-natural-gas-script'!AB12*'Calibration Multiplier'!$B$2</f>
        <v>0</v>
      </c>
      <c r="AC12">
        <f>'BIFUbC-natural-gas-script'!AC12+'BIFUbC-natural-gas-script'!AC12*'Calibration Multiplier'!$B$2</f>
        <v>0</v>
      </c>
      <c r="AD12">
        <f>'BIFUbC-natural-gas-script'!AD12+'BIFUbC-natural-gas-script'!AD12*'Calibration Multiplier'!$B$2</f>
        <v>0</v>
      </c>
      <c r="AE12">
        <f>'BIFUbC-natural-gas-script'!AE12+'BIFUbC-natural-gas-script'!AE12*'Calibration Multiplier'!$B$2</f>
        <v>0</v>
      </c>
      <c r="AF12">
        <f>'BIFUbC-natural-gas-script'!AF12+'BIFUbC-natural-gas-script'!AF12*'Calibration Multiplier'!$B$2</f>
        <v>0</v>
      </c>
    </row>
    <row r="13" spans="1:35" ht="14" customHeight="1" x14ac:dyDescent="0.15">
      <c r="A13" s="48" t="s">
        <v>187</v>
      </c>
      <c r="B13">
        <f>'BIFUbC-natural-gas-script'!B13+'BIFUbC-natural-gas-script'!B13*'Calibration Multiplier'!$B$2</f>
        <v>0</v>
      </c>
      <c r="C13">
        <f>'BIFUbC-natural-gas-script'!C13+'BIFUbC-natural-gas-script'!C13*'Calibration Multiplier'!$B$2</f>
        <v>0</v>
      </c>
      <c r="D13">
        <f>'BIFUbC-natural-gas-script'!D13+'BIFUbC-natural-gas-script'!D13*'Calibration Multiplier'!$B$2</f>
        <v>0</v>
      </c>
      <c r="E13">
        <f>'BIFUbC-natural-gas-script'!E13+'BIFUbC-natural-gas-script'!E13*'Calibration Multiplier'!$B$2</f>
        <v>0</v>
      </c>
      <c r="F13">
        <f>'BIFUbC-natural-gas-script'!F13+'BIFUbC-natural-gas-script'!F13*'Calibration Multiplier'!$B$2</f>
        <v>0</v>
      </c>
      <c r="G13">
        <f>'BIFUbC-natural-gas-script'!G13+'BIFUbC-natural-gas-script'!G13*'Calibration Multiplier'!$B$2</f>
        <v>0</v>
      </c>
      <c r="H13">
        <f>'BIFUbC-natural-gas-script'!H13+'BIFUbC-natural-gas-script'!H13*'Calibration Multiplier'!$B$2</f>
        <v>0</v>
      </c>
      <c r="I13">
        <f>'BIFUbC-natural-gas-script'!I13+'BIFUbC-natural-gas-script'!I13*'Calibration Multiplier'!$B$2</f>
        <v>0</v>
      </c>
      <c r="J13">
        <f>'BIFUbC-natural-gas-script'!J13+'BIFUbC-natural-gas-script'!J13*'Calibration Multiplier'!$B$2</f>
        <v>0</v>
      </c>
      <c r="K13">
        <f>'BIFUbC-natural-gas-script'!K13+'BIFUbC-natural-gas-script'!K13*'Calibration Multiplier'!$B$2</f>
        <v>0</v>
      </c>
      <c r="L13">
        <f>'BIFUbC-natural-gas-script'!L13+'BIFUbC-natural-gas-script'!L13*'Calibration Multiplier'!$B$2</f>
        <v>0</v>
      </c>
      <c r="M13">
        <f>'BIFUbC-natural-gas-script'!M13+'BIFUbC-natural-gas-script'!M13*'Calibration Multiplier'!$B$2</f>
        <v>0</v>
      </c>
      <c r="N13">
        <f>'BIFUbC-natural-gas-script'!N13+'BIFUbC-natural-gas-script'!N13*'Calibration Multiplier'!$B$2</f>
        <v>0</v>
      </c>
      <c r="O13">
        <f>'BIFUbC-natural-gas-script'!O13+'BIFUbC-natural-gas-script'!O13*'Calibration Multiplier'!$B$2</f>
        <v>0</v>
      </c>
      <c r="P13">
        <f>'BIFUbC-natural-gas-script'!P13+'BIFUbC-natural-gas-script'!P13*'Calibration Multiplier'!$B$2</f>
        <v>0</v>
      </c>
      <c r="Q13">
        <f>'BIFUbC-natural-gas-script'!Q13+'BIFUbC-natural-gas-script'!Q13*'Calibration Multiplier'!$B$2</f>
        <v>0</v>
      </c>
      <c r="R13">
        <f>'BIFUbC-natural-gas-script'!R13+'BIFUbC-natural-gas-script'!R13*'Calibration Multiplier'!$B$2</f>
        <v>0</v>
      </c>
      <c r="S13">
        <f>'BIFUbC-natural-gas-script'!S13+'BIFUbC-natural-gas-script'!S13*'Calibration Multiplier'!$B$2</f>
        <v>0</v>
      </c>
      <c r="T13">
        <f>'BIFUbC-natural-gas-script'!T13+'BIFUbC-natural-gas-script'!T13*'Calibration Multiplier'!$B$2</f>
        <v>0</v>
      </c>
      <c r="U13">
        <f>'BIFUbC-natural-gas-script'!U13+'BIFUbC-natural-gas-script'!U13*'Calibration Multiplier'!$B$2</f>
        <v>0</v>
      </c>
      <c r="V13">
        <f>'BIFUbC-natural-gas-script'!V13+'BIFUbC-natural-gas-script'!V13*'Calibration Multiplier'!$B$2</f>
        <v>0</v>
      </c>
      <c r="W13">
        <f>'BIFUbC-natural-gas-script'!W13+'BIFUbC-natural-gas-script'!W13*'Calibration Multiplier'!$B$2</f>
        <v>0</v>
      </c>
      <c r="X13">
        <f>'BIFUbC-natural-gas-script'!X13+'BIFUbC-natural-gas-script'!X13*'Calibration Multiplier'!$B$2</f>
        <v>0</v>
      </c>
      <c r="Y13">
        <f>'BIFUbC-natural-gas-script'!Y13+'BIFUbC-natural-gas-script'!Y13*'Calibration Multiplier'!$B$2</f>
        <v>0</v>
      </c>
      <c r="Z13">
        <f>'BIFUbC-natural-gas-script'!Z13+'BIFUbC-natural-gas-script'!Z13*'Calibration Multiplier'!$B$2</f>
        <v>0</v>
      </c>
      <c r="AA13">
        <f>'BIFUbC-natural-gas-script'!AA13+'BIFUbC-natural-gas-script'!AA13*'Calibration Multiplier'!$B$2</f>
        <v>0</v>
      </c>
      <c r="AB13">
        <f>'BIFUbC-natural-gas-script'!AB13+'BIFUbC-natural-gas-script'!AB13*'Calibration Multiplier'!$B$2</f>
        <v>0</v>
      </c>
      <c r="AC13">
        <f>'BIFUbC-natural-gas-script'!AC13+'BIFUbC-natural-gas-script'!AC13*'Calibration Multiplier'!$B$2</f>
        <v>0</v>
      </c>
      <c r="AD13">
        <f>'BIFUbC-natural-gas-script'!AD13+'BIFUbC-natural-gas-script'!AD13*'Calibration Multiplier'!$B$2</f>
        <v>0</v>
      </c>
      <c r="AE13">
        <f>'BIFUbC-natural-gas-script'!AE13+'BIFUbC-natural-gas-script'!AE13*'Calibration Multiplier'!$B$2</f>
        <v>0</v>
      </c>
      <c r="AF13">
        <f>'BIFUbC-natural-gas-script'!AF13+'BIFUbC-natural-gas-script'!AF13*'Calibration Multiplier'!$B$2</f>
        <v>0</v>
      </c>
    </row>
    <row r="14" spans="1:35" ht="14" customHeight="1" x14ac:dyDescent="0.15">
      <c r="A14" s="48" t="s">
        <v>188</v>
      </c>
      <c r="B14">
        <f>'BIFUbC-natural-gas-script'!B14+'BIFUbC-natural-gas-script'!B14*'Calibration Multiplier'!$B$2</f>
        <v>74103804065.192612</v>
      </c>
      <c r="C14">
        <f>'BIFUbC-natural-gas-script'!C14+'BIFUbC-natural-gas-script'!C14*'Calibration Multiplier'!$B$2</f>
        <v>77546708457.734009</v>
      </c>
      <c r="D14">
        <f>'BIFUbC-natural-gas-script'!D14+'BIFUbC-natural-gas-script'!D14*'Calibration Multiplier'!$B$2</f>
        <v>80989612850.275406</v>
      </c>
      <c r="E14">
        <f>'BIFUbC-natural-gas-script'!E14+'BIFUbC-natural-gas-script'!E14*'Calibration Multiplier'!$B$2</f>
        <v>84844880589.786713</v>
      </c>
      <c r="F14">
        <f>'BIFUbC-natural-gas-script'!F14+'BIFUbC-natural-gas-script'!F14*'Calibration Multiplier'!$B$2</f>
        <v>89581165617.242676</v>
      </c>
      <c r="G14">
        <f>'BIFUbC-natural-gas-script'!G14+'BIFUbC-natural-gas-script'!G14*'Calibration Multiplier'!$B$2</f>
        <v>92138434706.649597</v>
      </c>
      <c r="H14">
        <f>'BIFUbC-natural-gas-script'!H14+'BIFUbC-natural-gas-script'!H14*'Calibration Multiplier'!$B$2</f>
        <v>93042300635.24762</v>
      </c>
      <c r="I14">
        <f>'BIFUbC-natural-gas-script'!I14+'BIFUbC-natural-gas-script'!I14*'Calibration Multiplier'!$B$2</f>
        <v>92921232137.550949</v>
      </c>
      <c r="J14">
        <f>'BIFUbC-natural-gas-script'!J14+'BIFUbC-natural-gas-script'!J14*'Calibration Multiplier'!$B$2</f>
        <v>91614595167.668106</v>
      </c>
      <c r="K14">
        <f>'BIFUbC-natural-gas-script'!K14+'BIFUbC-natural-gas-script'!K14*'Calibration Multiplier'!$B$2</f>
        <v>90117727982.486343</v>
      </c>
      <c r="L14">
        <f>'BIFUbC-natural-gas-script'!L14+'BIFUbC-natural-gas-script'!L14*'Calibration Multiplier'!$B$2</f>
        <v>88381634589.241653</v>
      </c>
      <c r="M14">
        <f>'BIFUbC-natural-gas-script'!M14+'BIFUbC-natural-gas-script'!M14*'Calibration Multiplier'!$B$2</f>
        <v>86295649910.006134</v>
      </c>
      <c r="N14">
        <f>'BIFUbC-natural-gas-script'!N14+'BIFUbC-natural-gas-script'!N14*'Calibration Multiplier'!$B$2</f>
        <v>84015323381.426636</v>
      </c>
      <c r="O14">
        <f>'BIFUbC-natural-gas-script'!O14+'BIFUbC-natural-gas-script'!O14*'Calibration Multiplier'!$B$2</f>
        <v>81264174515.470367</v>
      </c>
      <c r="P14">
        <f>'BIFUbC-natural-gas-script'!P14+'BIFUbC-natural-gas-script'!P14*'Calibration Multiplier'!$B$2</f>
        <v>78471246492.314972</v>
      </c>
      <c r="Q14">
        <f>'BIFUbC-natural-gas-script'!Q14+'BIFUbC-natural-gas-script'!Q14*'Calibration Multiplier'!$B$2</f>
        <v>76002221551.39949</v>
      </c>
      <c r="R14">
        <f>'BIFUbC-natural-gas-script'!R14+'BIFUbC-natural-gas-script'!R14*'Calibration Multiplier'!$B$2</f>
        <v>73494638399.066406</v>
      </c>
      <c r="S14">
        <f>'BIFUbC-natural-gas-script'!S14+'BIFUbC-natural-gas-script'!S14*'Calibration Multiplier'!$B$2</f>
        <v>71162791206.015381</v>
      </c>
      <c r="T14">
        <f>'BIFUbC-natural-gas-script'!T14+'BIFUbC-natural-gas-script'!T14*'Calibration Multiplier'!$B$2</f>
        <v>69012984417.498734</v>
      </c>
      <c r="U14">
        <f>'BIFUbC-natural-gas-script'!U14+'BIFUbC-natural-gas-script'!U14*'Calibration Multiplier'!$B$2</f>
        <v>66741351368.072372</v>
      </c>
      <c r="V14">
        <f>'BIFUbC-natural-gas-script'!V14+'BIFUbC-natural-gas-script'!V14*'Calibration Multiplier'!$B$2</f>
        <v>64865831352.129272</v>
      </c>
      <c r="W14">
        <f>'BIFUbC-natural-gas-script'!W14+'BIFUbC-natural-gas-script'!W14*'Calibration Multiplier'!$B$2</f>
        <v>63027710296.483093</v>
      </c>
      <c r="X14">
        <f>'BIFUbC-natural-gas-script'!X14+'BIFUbC-natural-gas-script'!X14*'Calibration Multiplier'!$B$2</f>
        <v>61191789286.060471</v>
      </c>
      <c r="Y14">
        <f>'BIFUbC-natural-gas-script'!Y14+'BIFUbC-natural-gas-script'!Y14*'Calibration Multiplier'!$B$2</f>
        <v>59432805656.568359</v>
      </c>
      <c r="Z14">
        <f>'BIFUbC-natural-gas-script'!Z14+'BIFUbC-natural-gas-script'!Z14*'Calibration Multiplier'!$B$2</f>
        <v>57949833208.298126</v>
      </c>
      <c r="AA14">
        <f>'BIFUbC-natural-gas-script'!AA14+'BIFUbC-natural-gas-script'!AA14*'Calibration Multiplier'!$B$2</f>
        <v>56576642383.708557</v>
      </c>
      <c r="AB14">
        <f>'BIFUbC-natural-gas-script'!AB14+'BIFUbC-natural-gas-script'!AB14*'Calibration Multiplier'!$B$2</f>
        <v>55324282238.528023</v>
      </c>
      <c r="AC14">
        <f>'BIFUbC-natural-gas-script'!AC14+'BIFUbC-natural-gas-script'!AC14*'Calibration Multiplier'!$B$2</f>
        <v>54070100929.730408</v>
      </c>
      <c r="AD14">
        <f>'BIFUbC-natural-gas-script'!AD14+'BIFUbC-natural-gas-script'!AD14*'Calibration Multiplier'!$B$2</f>
        <v>52784664149.024315</v>
      </c>
      <c r="AE14">
        <f>'BIFUbC-natural-gas-script'!AE14+'BIFUbC-natural-gas-script'!AE14*'Calibration Multiplier'!$B$2</f>
        <v>51629961416.115532</v>
      </c>
      <c r="AF14">
        <f>'BIFUbC-natural-gas-script'!AF14+'BIFUbC-natural-gas-script'!AF14*'Calibration Multiplier'!$B$2</f>
        <v>50582188295.939964</v>
      </c>
    </row>
    <row r="15" spans="1:35" ht="14" customHeight="1" x14ac:dyDescent="0.15">
      <c r="A15" s="48" t="s">
        <v>189</v>
      </c>
      <c r="B15">
        <f>'BIFUbC-natural-gas-script'!B15+'BIFUbC-natural-gas-script'!B15*'Calibration Multiplier'!$B$2</f>
        <v>8930640516.4316578</v>
      </c>
      <c r="C15">
        <f>'BIFUbC-natural-gas-script'!C15+'BIFUbC-natural-gas-script'!C15*'Calibration Multiplier'!$B$2</f>
        <v>9033710936.5609436</v>
      </c>
      <c r="D15">
        <f>'BIFUbC-natural-gas-script'!D15+'BIFUbC-natural-gas-script'!D15*'Calibration Multiplier'!$B$2</f>
        <v>9136781356.6902275</v>
      </c>
      <c r="E15">
        <f>'BIFUbC-natural-gas-script'!E15+'BIFUbC-natural-gas-script'!E15*'Calibration Multiplier'!$B$2</f>
        <v>9210713939.4074993</v>
      </c>
      <c r="F15">
        <f>'BIFUbC-natural-gas-script'!F15+'BIFUbC-natural-gas-script'!F15*'Calibration Multiplier'!$B$2</f>
        <v>9309357116.1006584</v>
      </c>
      <c r="G15">
        <f>'BIFUbC-natural-gas-script'!G15+'BIFUbC-natural-gas-script'!G15*'Calibration Multiplier'!$B$2</f>
        <v>9403234710.7908707</v>
      </c>
      <c r="H15">
        <f>'BIFUbC-natural-gas-script'!H15+'BIFUbC-natural-gas-script'!H15*'Calibration Multiplier'!$B$2</f>
        <v>9248918230.6573944</v>
      </c>
      <c r="I15">
        <f>'BIFUbC-natural-gas-script'!I15+'BIFUbC-natural-gas-script'!I15*'Calibration Multiplier'!$B$2</f>
        <v>9046844260.8178596</v>
      </c>
      <c r="J15">
        <f>'BIFUbC-natural-gas-script'!J15+'BIFUbC-natural-gas-script'!J15*'Calibration Multiplier'!$B$2</f>
        <v>8832693494.9927483</v>
      </c>
      <c r="K15">
        <f>'BIFUbC-natural-gas-script'!K15+'BIFUbC-natural-gas-script'!K15*'Calibration Multiplier'!$B$2</f>
        <v>8769065421.5770073</v>
      </c>
      <c r="L15">
        <f>'BIFUbC-natural-gas-script'!L15+'BIFUbC-natural-gas-script'!L15*'Calibration Multiplier'!$B$2</f>
        <v>8679532809.3015194</v>
      </c>
      <c r="M15">
        <f>'BIFUbC-natural-gas-script'!M15+'BIFUbC-natural-gas-script'!M15*'Calibration Multiplier'!$B$2</f>
        <v>8543391666.3589821</v>
      </c>
      <c r="N15">
        <f>'BIFUbC-natural-gas-script'!N15+'BIFUbC-natural-gas-script'!N15*'Calibration Multiplier'!$B$2</f>
        <v>8479656727.248827</v>
      </c>
      <c r="O15">
        <f>'BIFUbC-natural-gas-script'!O15+'BIFUbC-natural-gas-script'!O15*'Calibration Multiplier'!$B$2</f>
        <v>8369234428.0449352</v>
      </c>
      <c r="P15">
        <f>'BIFUbC-natural-gas-script'!P15+'BIFUbC-natural-gas-script'!P15*'Calibration Multiplier'!$B$2</f>
        <v>8316439135.0129395</v>
      </c>
      <c r="Q15">
        <f>'BIFUbC-natural-gas-script'!Q15+'BIFUbC-natural-gas-script'!Q15*'Calibration Multiplier'!$B$2</f>
        <v>8310974841.4260683</v>
      </c>
      <c r="R15">
        <f>'BIFUbC-natural-gas-script'!R15+'BIFUbC-natural-gas-script'!R15*'Calibration Multiplier'!$B$2</f>
        <v>8318735441.4918308</v>
      </c>
      <c r="S15">
        <f>'BIFUbC-natural-gas-script'!S15+'BIFUbC-natural-gas-script'!S15*'Calibration Multiplier'!$B$2</f>
        <v>8368994466.4908619</v>
      </c>
      <c r="T15">
        <f>'BIFUbC-natural-gas-script'!T15+'BIFUbC-natural-gas-script'!T15*'Calibration Multiplier'!$B$2</f>
        <v>8405845431.2596188</v>
      </c>
      <c r="U15">
        <f>'BIFUbC-natural-gas-script'!U15+'BIFUbC-natural-gas-script'!U15*'Calibration Multiplier'!$B$2</f>
        <v>8388165299.5824223</v>
      </c>
      <c r="V15">
        <f>'BIFUbC-natural-gas-script'!V15+'BIFUbC-natural-gas-script'!V15*'Calibration Multiplier'!$B$2</f>
        <v>8344851127.6245527</v>
      </c>
      <c r="W15">
        <f>'BIFUbC-natural-gas-script'!W15+'BIFUbC-natural-gas-script'!W15*'Calibration Multiplier'!$B$2</f>
        <v>8369491366.9623156</v>
      </c>
      <c r="X15">
        <f>'BIFUbC-natural-gas-script'!X15+'BIFUbC-natural-gas-script'!X15*'Calibration Multiplier'!$B$2</f>
        <v>8404573462.7486401</v>
      </c>
      <c r="Y15">
        <f>'BIFUbC-natural-gas-script'!Y15+'BIFUbC-natural-gas-script'!Y15*'Calibration Multiplier'!$B$2</f>
        <v>8408289254.631815</v>
      </c>
      <c r="Z15">
        <f>'BIFUbC-natural-gas-script'!Z15+'BIFUbC-natural-gas-script'!Z15*'Calibration Multiplier'!$B$2</f>
        <v>8385266949.6815643</v>
      </c>
      <c r="AA15">
        <f>'BIFUbC-natural-gas-script'!AA15+'BIFUbC-natural-gas-script'!AA15*'Calibration Multiplier'!$B$2</f>
        <v>8332143501.7221031</v>
      </c>
      <c r="AB15">
        <f>'BIFUbC-natural-gas-script'!AB15+'BIFUbC-natural-gas-script'!AB15*'Calibration Multiplier'!$B$2</f>
        <v>8308062931.863512</v>
      </c>
      <c r="AC15">
        <f>'BIFUbC-natural-gas-script'!AC15+'BIFUbC-natural-gas-script'!AC15*'Calibration Multiplier'!$B$2</f>
        <v>8258710375.805953</v>
      </c>
      <c r="AD15">
        <f>'BIFUbC-natural-gas-script'!AD15+'BIFUbC-natural-gas-script'!AD15*'Calibration Multiplier'!$B$2</f>
        <v>8130188234.4947739</v>
      </c>
      <c r="AE15">
        <f>'BIFUbC-natural-gas-script'!AE15+'BIFUbC-natural-gas-script'!AE15*'Calibration Multiplier'!$B$2</f>
        <v>8097249787.8485184</v>
      </c>
      <c r="AF15">
        <f>'BIFUbC-natural-gas-script'!AF15+'BIFUbC-natural-gas-script'!AF15*'Calibration Multiplier'!$B$2</f>
        <v>8151248334.1386852</v>
      </c>
      <c r="AG15" s="57"/>
    </row>
    <row r="16" spans="1:35" ht="14" customHeight="1" x14ac:dyDescent="0.15">
      <c r="A16" s="48" t="s">
        <v>190</v>
      </c>
      <c r="B16">
        <f>'BIFUbC-natural-gas-script'!B16+'BIFUbC-natural-gas-script'!B16*'Calibration Multiplier'!$B$2</f>
        <v>8099988981.9531593</v>
      </c>
      <c r="C16">
        <f>'BIFUbC-natural-gas-script'!C16+'BIFUbC-natural-gas-script'!C16*'Calibration Multiplier'!$B$2</f>
        <v>8347052620.5878229</v>
      </c>
      <c r="D16">
        <f>'BIFUbC-natural-gas-script'!D16+'BIFUbC-natural-gas-script'!D16*'Calibration Multiplier'!$B$2</f>
        <v>8594116259.2224903</v>
      </c>
      <c r="E16">
        <f>'BIFUbC-natural-gas-script'!E16+'BIFUbC-natural-gas-script'!E16*'Calibration Multiplier'!$B$2</f>
        <v>8778040532.0183163</v>
      </c>
      <c r="F16">
        <f>'BIFUbC-natural-gas-script'!F16+'BIFUbC-natural-gas-script'!F16*'Calibration Multiplier'!$B$2</f>
        <v>8881254108.5369797</v>
      </c>
      <c r="G16">
        <f>'BIFUbC-natural-gas-script'!G16+'BIFUbC-natural-gas-script'!G16*'Calibration Multiplier'!$B$2</f>
        <v>9016082768.6838226</v>
      </c>
      <c r="H16">
        <f>'BIFUbC-natural-gas-script'!H16+'BIFUbC-natural-gas-script'!H16*'Calibration Multiplier'!$B$2</f>
        <v>9130894122.7458286</v>
      </c>
      <c r="I16">
        <f>'BIFUbC-natural-gas-script'!I16+'BIFUbC-natural-gas-script'!I16*'Calibration Multiplier'!$B$2</f>
        <v>9188680112.9604053</v>
      </c>
      <c r="J16">
        <f>'BIFUbC-natural-gas-script'!J16+'BIFUbC-natural-gas-script'!J16*'Calibration Multiplier'!$B$2</f>
        <v>9236564162.7339268</v>
      </c>
      <c r="K16">
        <f>'BIFUbC-natural-gas-script'!K16+'BIFUbC-natural-gas-script'!K16*'Calibration Multiplier'!$B$2</f>
        <v>9276071273.3001366</v>
      </c>
      <c r="L16">
        <f>'BIFUbC-natural-gas-script'!L16+'BIFUbC-natural-gas-script'!L16*'Calibration Multiplier'!$B$2</f>
        <v>9293737392.9213715</v>
      </c>
      <c r="M16">
        <f>'BIFUbC-natural-gas-script'!M16+'BIFUbC-natural-gas-script'!M16*'Calibration Multiplier'!$B$2</f>
        <v>9290041452.2188663</v>
      </c>
      <c r="N16">
        <f>'BIFUbC-natural-gas-script'!N16+'BIFUbC-natural-gas-script'!N16*'Calibration Multiplier'!$B$2</f>
        <v>9269990648.9048996</v>
      </c>
      <c r="O16">
        <f>'BIFUbC-natural-gas-script'!O16+'BIFUbC-natural-gas-script'!O16*'Calibration Multiplier'!$B$2</f>
        <v>9229991368.336422</v>
      </c>
      <c r="P16">
        <f>'BIFUbC-natural-gas-script'!P16+'BIFUbC-natural-gas-script'!P16*'Calibration Multiplier'!$B$2</f>
        <v>9239234210.9167137</v>
      </c>
      <c r="Q16">
        <f>'BIFUbC-natural-gas-script'!Q16+'BIFUbC-natural-gas-script'!Q16*'Calibration Multiplier'!$B$2</f>
        <v>9268517568.3763123</v>
      </c>
      <c r="R16">
        <f>'BIFUbC-natural-gas-script'!R16+'BIFUbC-natural-gas-script'!R16*'Calibration Multiplier'!$B$2</f>
        <v>9279418523.7984715</v>
      </c>
      <c r="S16">
        <f>'BIFUbC-natural-gas-script'!S16+'BIFUbC-natural-gas-script'!S16*'Calibration Multiplier'!$B$2</f>
        <v>9308833318.0047455</v>
      </c>
      <c r="T16">
        <f>'BIFUbC-natural-gas-script'!T16+'BIFUbC-natural-gas-script'!T16*'Calibration Multiplier'!$B$2</f>
        <v>9364784058.8396072</v>
      </c>
      <c r="U16">
        <f>'BIFUbC-natural-gas-script'!U16+'BIFUbC-natural-gas-script'!U16*'Calibration Multiplier'!$B$2</f>
        <v>9414890330.7445889</v>
      </c>
      <c r="V16">
        <f>'BIFUbC-natural-gas-script'!V16+'BIFUbC-natural-gas-script'!V16*'Calibration Multiplier'!$B$2</f>
        <v>9432491370.0349445</v>
      </c>
      <c r="W16">
        <f>'BIFUbC-natural-gas-script'!W16+'BIFUbC-natural-gas-script'!W16*'Calibration Multiplier'!$B$2</f>
        <v>9492245800.9926739</v>
      </c>
      <c r="X16">
        <f>'BIFUbC-natural-gas-script'!X16+'BIFUbC-natural-gas-script'!X16*'Calibration Multiplier'!$B$2</f>
        <v>9587246096.1949043</v>
      </c>
      <c r="Y16">
        <f>'BIFUbC-natural-gas-script'!Y16+'BIFUbC-natural-gas-script'!Y16*'Calibration Multiplier'!$B$2</f>
        <v>9640784797.2665787</v>
      </c>
      <c r="Z16">
        <f>'BIFUbC-natural-gas-script'!Z16+'BIFUbC-natural-gas-script'!Z16*'Calibration Multiplier'!$B$2</f>
        <v>9664992207.9388771</v>
      </c>
      <c r="AA16">
        <f>'BIFUbC-natural-gas-script'!AA16+'BIFUbC-natural-gas-script'!AA16*'Calibration Multiplier'!$B$2</f>
        <v>9701879755.4319153</v>
      </c>
      <c r="AB16">
        <f>'BIFUbC-natural-gas-script'!AB16+'BIFUbC-natural-gas-script'!AB16*'Calibration Multiplier'!$B$2</f>
        <v>9737167012.6809845</v>
      </c>
      <c r="AC16">
        <f>'BIFUbC-natural-gas-script'!AC16+'BIFUbC-natural-gas-script'!AC16*'Calibration Multiplier'!$B$2</f>
        <v>9753735380.2504883</v>
      </c>
      <c r="AD16">
        <f>'BIFUbC-natural-gas-script'!AD16+'BIFUbC-natural-gas-script'!AD16*'Calibration Multiplier'!$B$2</f>
        <v>9726019533.6034946</v>
      </c>
      <c r="AE16">
        <f>'BIFUbC-natural-gas-script'!AE16+'BIFUbC-natural-gas-script'!AE16*'Calibration Multiplier'!$B$2</f>
        <v>9730745673.6123238</v>
      </c>
      <c r="AF16">
        <f>'BIFUbC-natural-gas-script'!AF16+'BIFUbC-natural-gas-script'!AF16*'Calibration Multiplier'!$B$2</f>
        <v>9795816992.1411552</v>
      </c>
    </row>
    <row r="17" spans="1:33" ht="14" customHeight="1" x14ac:dyDescent="0.15">
      <c r="A17" s="48" t="s">
        <v>191</v>
      </c>
      <c r="B17">
        <f>'BIFUbC-natural-gas-script'!B17+'BIFUbC-natural-gas-script'!B17*'Calibration Multiplier'!$B$2</f>
        <v>9039187333.9141369</v>
      </c>
      <c r="C17">
        <f>'BIFUbC-natural-gas-script'!C17+'BIFUbC-natural-gas-script'!C17*'Calibration Multiplier'!$B$2</f>
        <v>9157678042.3464508</v>
      </c>
      <c r="D17">
        <f>'BIFUbC-natural-gas-script'!D17+'BIFUbC-natural-gas-script'!D17*'Calibration Multiplier'!$B$2</f>
        <v>9276168750.7787647</v>
      </c>
      <c r="E17">
        <f>'BIFUbC-natural-gas-script'!E17+'BIFUbC-natural-gas-script'!E17*'Calibration Multiplier'!$B$2</f>
        <v>9498163378.2833977</v>
      </c>
      <c r="F17">
        <f>'BIFUbC-natural-gas-script'!F17+'BIFUbC-natural-gas-script'!F17*'Calibration Multiplier'!$B$2</f>
        <v>9759203740.6406021</v>
      </c>
      <c r="G17">
        <f>'BIFUbC-natural-gas-script'!G17+'BIFUbC-natural-gas-script'!G17*'Calibration Multiplier'!$B$2</f>
        <v>9929809611.4634724</v>
      </c>
      <c r="H17">
        <f>'BIFUbC-natural-gas-script'!H17+'BIFUbC-natural-gas-script'!H17*'Calibration Multiplier'!$B$2</f>
        <v>10045174457.899971</v>
      </c>
      <c r="I17">
        <f>'BIFUbC-natural-gas-script'!I17+'BIFUbC-natural-gas-script'!I17*'Calibration Multiplier'!$B$2</f>
        <v>10103264392.92565</v>
      </c>
      <c r="J17">
        <f>'BIFUbC-natural-gas-script'!J17+'BIFUbC-natural-gas-script'!J17*'Calibration Multiplier'!$B$2</f>
        <v>10106817921.998501</v>
      </c>
      <c r="K17">
        <f>'BIFUbC-natural-gas-script'!K17+'BIFUbC-natural-gas-script'!K17*'Calibration Multiplier'!$B$2</f>
        <v>10168294595.120981</v>
      </c>
      <c r="L17">
        <f>'BIFUbC-natural-gas-script'!L17+'BIFUbC-natural-gas-script'!L17*'Calibration Multiplier'!$B$2</f>
        <v>10231087317.588713</v>
      </c>
      <c r="M17">
        <f>'BIFUbC-natural-gas-script'!M17+'BIFUbC-natural-gas-script'!M17*'Calibration Multiplier'!$B$2</f>
        <v>10256647789.867123</v>
      </c>
      <c r="N17">
        <f>'BIFUbC-natural-gas-script'!N17+'BIFUbC-natural-gas-script'!N17*'Calibration Multiplier'!$B$2</f>
        <v>10370355987.382042</v>
      </c>
      <c r="O17">
        <f>'BIFUbC-natural-gas-script'!O17+'BIFUbC-natural-gas-script'!O17*'Calibration Multiplier'!$B$2</f>
        <v>10447884170.341751</v>
      </c>
      <c r="P17">
        <f>'BIFUbC-natural-gas-script'!P17+'BIFUbC-natural-gas-script'!P17*'Calibration Multiplier'!$B$2</f>
        <v>10565661447.510082</v>
      </c>
      <c r="Q17">
        <f>'BIFUbC-natural-gas-script'!Q17+'BIFUbC-natural-gas-script'!Q17*'Calibration Multiplier'!$B$2</f>
        <v>10687501521.110126</v>
      </c>
      <c r="R17">
        <f>'BIFUbC-natural-gas-script'!R17+'BIFUbC-natural-gas-script'!R17*'Calibration Multiplier'!$B$2</f>
        <v>10814810200.79714</v>
      </c>
      <c r="S17">
        <f>'BIFUbC-natural-gas-script'!S17+'BIFUbC-natural-gas-script'!S17*'Calibration Multiplier'!$B$2</f>
        <v>10967049969.788855</v>
      </c>
      <c r="T17">
        <f>'BIFUbC-natural-gas-script'!T17+'BIFUbC-natural-gas-script'!T17*'Calibration Multiplier'!$B$2</f>
        <v>11112437844.716133</v>
      </c>
      <c r="U17">
        <f>'BIFUbC-natural-gas-script'!U17+'BIFUbC-natural-gas-script'!U17*'Calibration Multiplier'!$B$2</f>
        <v>11231722931.891998</v>
      </c>
      <c r="V17">
        <f>'BIFUbC-natural-gas-script'!V17+'BIFUbC-natural-gas-script'!V17*'Calibration Multiplier'!$B$2</f>
        <v>11322600676.157196</v>
      </c>
      <c r="W17">
        <f>'BIFUbC-natural-gas-script'!W17+'BIFUbC-natural-gas-script'!W17*'Calibration Multiplier'!$B$2</f>
        <v>11444245317.082273</v>
      </c>
      <c r="X17">
        <f>'BIFUbC-natural-gas-script'!X17+'BIFUbC-natural-gas-script'!X17*'Calibration Multiplier'!$B$2</f>
        <v>11606987613.546652</v>
      </c>
      <c r="Y17">
        <f>'BIFUbC-natural-gas-script'!Y17+'BIFUbC-natural-gas-script'!Y17*'Calibration Multiplier'!$B$2</f>
        <v>11779404602.624598</v>
      </c>
      <c r="Z17">
        <f>'BIFUbC-natural-gas-script'!Z17+'BIFUbC-natural-gas-script'!Z17*'Calibration Multiplier'!$B$2</f>
        <v>11933722485.993515</v>
      </c>
      <c r="AA17">
        <f>'BIFUbC-natural-gas-script'!AA17+'BIFUbC-natural-gas-script'!AA17*'Calibration Multiplier'!$B$2</f>
        <v>12063058198.281305</v>
      </c>
      <c r="AB17">
        <f>'BIFUbC-natural-gas-script'!AB17+'BIFUbC-natural-gas-script'!AB17*'Calibration Multiplier'!$B$2</f>
        <v>12202734706.283188</v>
      </c>
      <c r="AC17">
        <f>'BIFUbC-natural-gas-script'!AC17+'BIFUbC-natural-gas-script'!AC17*'Calibration Multiplier'!$B$2</f>
        <v>12306200518.023895</v>
      </c>
      <c r="AD17">
        <f>'BIFUbC-natural-gas-script'!AD17+'BIFUbC-natural-gas-script'!AD17*'Calibration Multiplier'!$B$2</f>
        <v>12362902105.854626</v>
      </c>
      <c r="AE17">
        <f>'BIFUbC-natural-gas-script'!AE17+'BIFUbC-natural-gas-script'!AE17*'Calibration Multiplier'!$B$2</f>
        <v>12455088473.83943</v>
      </c>
      <c r="AF17">
        <f>'BIFUbC-natural-gas-script'!AF17+'BIFUbC-natural-gas-script'!AF17*'Calibration Multiplier'!$B$2</f>
        <v>12643287283.823174</v>
      </c>
    </row>
    <row r="18" spans="1:33" ht="14" customHeight="1" x14ac:dyDescent="0.15">
      <c r="A18" s="48" t="s">
        <v>192</v>
      </c>
      <c r="B18">
        <f>'BIFUbC-natural-gas-script'!B18+'BIFUbC-natural-gas-script'!B18*'Calibration Multiplier'!$B$2</f>
        <v>7276535536.1780672</v>
      </c>
      <c r="C18">
        <f>'BIFUbC-natural-gas-script'!C18+'BIFUbC-natural-gas-script'!C18*'Calibration Multiplier'!$B$2</f>
        <v>7367087255.7543173</v>
      </c>
      <c r="D18">
        <f>'BIFUbC-natural-gas-script'!D18+'BIFUbC-natural-gas-script'!D18*'Calibration Multiplier'!$B$2</f>
        <v>7457638975.3305683</v>
      </c>
      <c r="E18">
        <f>'BIFUbC-natural-gas-script'!E18+'BIFUbC-natural-gas-script'!E18*'Calibration Multiplier'!$B$2</f>
        <v>7638985131.2098408</v>
      </c>
      <c r="F18">
        <f>'BIFUbC-natural-gas-script'!F18+'BIFUbC-natural-gas-script'!F18*'Calibration Multiplier'!$B$2</f>
        <v>7882871846.8646297</v>
      </c>
      <c r="G18">
        <f>'BIFUbC-natural-gas-script'!G18+'BIFUbC-natural-gas-script'!G18*'Calibration Multiplier'!$B$2</f>
        <v>8051179872.8646679</v>
      </c>
      <c r="H18">
        <f>'BIFUbC-natural-gas-script'!H18+'BIFUbC-natural-gas-script'!H18*'Calibration Multiplier'!$B$2</f>
        <v>8123568369.2698545</v>
      </c>
      <c r="I18">
        <f>'BIFUbC-natural-gas-script'!I18+'BIFUbC-natural-gas-script'!I18*'Calibration Multiplier'!$B$2</f>
        <v>8135250820.188776</v>
      </c>
      <c r="J18">
        <f>'BIFUbC-natural-gas-script'!J18+'BIFUbC-natural-gas-script'!J18*'Calibration Multiplier'!$B$2</f>
        <v>8103018981.4625759</v>
      </c>
      <c r="K18">
        <f>'BIFUbC-natural-gas-script'!K18+'BIFUbC-natural-gas-script'!K18*'Calibration Multiplier'!$B$2</f>
        <v>8081100482.7984543</v>
      </c>
      <c r="L18">
        <f>'BIFUbC-natural-gas-script'!L18+'BIFUbC-natural-gas-script'!L18*'Calibration Multiplier'!$B$2</f>
        <v>8079319931.7426319</v>
      </c>
      <c r="M18">
        <f>'BIFUbC-natural-gas-script'!M18+'BIFUbC-natural-gas-script'!M18*'Calibration Multiplier'!$B$2</f>
        <v>8034999386.1393013</v>
      </c>
      <c r="N18">
        <f>'BIFUbC-natural-gas-script'!N18+'BIFUbC-natural-gas-script'!N18*'Calibration Multiplier'!$B$2</f>
        <v>8102096657.9008389</v>
      </c>
      <c r="O18">
        <f>'BIFUbC-natural-gas-script'!O18+'BIFUbC-natural-gas-script'!O18*'Calibration Multiplier'!$B$2</f>
        <v>8132331150.0482769</v>
      </c>
      <c r="P18">
        <f>'BIFUbC-natural-gas-script'!P18+'BIFUbC-natural-gas-script'!P18*'Calibration Multiplier'!$B$2</f>
        <v>8215160707.3562298</v>
      </c>
      <c r="Q18">
        <f>'BIFUbC-natural-gas-script'!Q18+'BIFUbC-natural-gas-script'!Q18*'Calibration Multiplier'!$B$2</f>
        <v>8309785826.2907276</v>
      </c>
      <c r="R18">
        <f>'BIFUbC-natural-gas-script'!R18+'BIFUbC-natural-gas-script'!R18*'Calibration Multiplier'!$B$2</f>
        <v>8405448264.6730471</v>
      </c>
      <c r="S18">
        <f>'BIFUbC-natural-gas-script'!S18+'BIFUbC-natural-gas-script'!S18*'Calibration Multiplier'!$B$2</f>
        <v>8507298094.4096107</v>
      </c>
      <c r="T18">
        <f>'BIFUbC-natural-gas-script'!T18+'BIFUbC-natural-gas-script'!T18*'Calibration Multiplier'!$B$2</f>
        <v>8619833351.3068657</v>
      </c>
      <c r="U18">
        <f>'BIFUbC-natural-gas-script'!U18+'BIFUbC-natural-gas-script'!U18*'Calibration Multiplier'!$B$2</f>
        <v>8739895183.2071552</v>
      </c>
      <c r="V18">
        <f>'BIFUbC-natural-gas-script'!V18+'BIFUbC-natural-gas-script'!V18*'Calibration Multiplier'!$B$2</f>
        <v>8854300301.4897938</v>
      </c>
      <c r="W18">
        <f>'BIFUbC-natural-gas-script'!W18+'BIFUbC-natural-gas-script'!W18*'Calibration Multiplier'!$B$2</f>
        <v>8983731705.9854374</v>
      </c>
      <c r="X18">
        <f>'BIFUbC-natural-gas-script'!X18+'BIFUbC-natural-gas-script'!X18*'Calibration Multiplier'!$B$2</f>
        <v>9127685347.1032429</v>
      </c>
      <c r="Y18">
        <f>'BIFUbC-natural-gas-script'!Y18+'BIFUbC-natural-gas-script'!Y18*'Calibration Multiplier'!$B$2</f>
        <v>9268343460.6250134</v>
      </c>
      <c r="Z18">
        <f>'BIFUbC-natural-gas-script'!Z18+'BIFUbC-natural-gas-script'!Z18*'Calibration Multiplier'!$B$2</f>
        <v>9438319869.5624809</v>
      </c>
      <c r="AA18">
        <f>'BIFUbC-natural-gas-script'!AA18+'BIFUbC-natural-gas-script'!AA18*'Calibration Multiplier'!$B$2</f>
        <v>9590975965.7479763</v>
      </c>
      <c r="AB18">
        <f>'BIFUbC-natural-gas-script'!AB18+'BIFUbC-natural-gas-script'!AB18*'Calibration Multiplier'!$B$2</f>
        <v>9735607328.5222874</v>
      </c>
      <c r="AC18">
        <f>'BIFUbC-natural-gas-script'!AC18+'BIFUbC-natural-gas-script'!AC18*'Calibration Multiplier'!$B$2</f>
        <v>9879194066.7822437</v>
      </c>
      <c r="AD18">
        <f>'BIFUbC-natural-gas-script'!AD18+'BIFUbC-natural-gas-script'!AD18*'Calibration Multiplier'!$B$2</f>
        <v>10017158967.226065</v>
      </c>
      <c r="AE18">
        <f>'BIFUbC-natural-gas-script'!AE18+'BIFUbC-natural-gas-script'!AE18*'Calibration Multiplier'!$B$2</f>
        <v>10159798403.309687</v>
      </c>
      <c r="AF18">
        <f>'BIFUbC-natural-gas-script'!AF18+'BIFUbC-natural-gas-script'!AF18*'Calibration Multiplier'!$B$2</f>
        <v>10294189947.981876</v>
      </c>
      <c r="AG18" s="30"/>
    </row>
    <row r="19" spans="1:33" ht="14" customHeight="1" x14ac:dyDescent="0.15">
      <c r="A19" s="48" t="s">
        <v>193</v>
      </c>
      <c r="B19">
        <f>'BIFUbC-natural-gas-script'!B19+'BIFUbC-natural-gas-script'!B19*'Calibration Multiplier'!$B$2</f>
        <v>0</v>
      </c>
      <c r="C19">
        <f>'BIFUbC-natural-gas-script'!C19+'BIFUbC-natural-gas-script'!C19*'Calibration Multiplier'!$B$2</f>
        <v>0</v>
      </c>
      <c r="D19">
        <f>'BIFUbC-natural-gas-script'!D19+'BIFUbC-natural-gas-script'!D19*'Calibration Multiplier'!$B$2</f>
        <v>0</v>
      </c>
      <c r="E19">
        <f>'BIFUbC-natural-gas-script'!E19+'BIFUbC-natural-gas-script'!E19*'Calibration Multiplier'!$B$2</f>
        <v>0</v>
      </c>
      <c r="F19">
        <f>'BIFUbC-natural-gas-script'!F19+'BIFUbC-natural-gas-script'!F19*'Calibration Multiplier'!$B$2</f>
        <v>0</v>
      </c>
      <c r="G19">
        <f>'BIFUbC-natural-gas-script'!G19+'BIFUbC-natural-gas-script'!G19*'Calibration Multiplier'!$B$2</f>
        <v>0</v>
      </c>
      <c r="H19">
        <f>'BIFUbC-natural-gas-script'!H19+'BIFUbC-natural-gas-script'!H19*'Calibration Multiplier'!$B$2</f>
        <v>0</v>
      </c>
      <c r="I19">
        <f>'BIFUbC-natural-gas-script'!I19+'BIFUbC-natural-gas-script'!I19*'Calibration Multiplier'!$B$2</f>
        <v>0</v>
      </c>
      <c r="J19">
        <f>'BIFUbC-natural-gas-script'!J19+'BIFUbC-natural-gas-script'!J19*'Calibration Multiplier'!$B$2</f>
        <v>0</v>
      </c>
      <c r="K19">
        <f>'BIFUbC-natural-gas-script'!K19+'BIFUbC-natural-gas-script'!K19*'Calibration Multiplier'!$B$2</f>
        <v>0</v>
      </c>
      <c r="L19">
        <f>'BIFUbC-natural-gas-script'!L19+'BIFUbC-natural-gas-script'!L19*'Calibration Multiplier'!$B$2</f>
        <v>0</v>
      </c>
      <c r="M19">
        <f>'BIFUbC-natural-gas-script'!M19+'BIFUbC-natural-gas-script'!M19*'Calibration Multiplier'!$B$2</f>
        <v>0</v>
      </c>
      <c r="N19">
        <f>'BIFUbC-natural-gas-script'!N19+'BIFUbC-natural-gas-script'!N19*'Calibration Multiplier'!$B$2</f>
        <v>0</v>
      </c>
      <c r="O19">
        <f>'BIFUbC-natural-gas-script'!O19+'BIFUbC-natural-gas-script'!O19*'Calibration Multiplier'!$B$2</f>
        <v>0</v>
      </c>
      <c r="P19">
        <f>'BIFUbC-natural-gas-script'!P19+'BIFUbC-natural-gas-script'!P19*'Calibration Multiplier'!$B$2</f>
        <v>0</v>
      </c>
      <c r="Q19">
        <f>'BIFUbC-natural-gas-script'!Q19+'BIFUbC-natural-gas-script'!Q19*'Calibration Multiplier'!$B$2</f>
        <v>0</v>
      </c>
      <c r="R19">
        <f>'BIFUbC-natural-gas-script'!R19+'BIFUbC-natural-gas-script'!R19*'Calibration Multiplier'!$B$2</f>
        <v>0</v>
      </c>
      <c r="S19">
        <f>'BIFUbC-natural-gas-script'!S19+'BIFUbC-natural-gas-script'!S19*'Calibration Multiplier'!$B$2</f>
        <v>0</v>
      </c>
      <c r="T19">
        <f>'BIFUbC-natural-gas-script'!T19+'BIFUbC-natural-gas-script'!T19*'Calibration Multiplier'!$B$2</f>
        <v>0</v>
      </c>
      <c r="U19">
        <f>'BIFUbC-natural-gas-script'!U19+'BIFUbC-natural-gas-script'!U19*'Calibration Multiplier'!$B$2</f>
        <v>0</v>
      </c>
      <c r="V19">
        <f>'BIFUbC-natural-gas-script'!V19+'BIFUbC-natural-gas-script'!V19*'Calibration Multiplier'!$B$2</f>
        <v>0</v>
      </c>
      <c r="W19">
        <f>'BIFUbC-natural-gas-script'!W19+'BIFUbC-natural-gas-script'!W19*'Calibration Multiplier'!$B$2</f>
        <v>0</v>
      </c>
      <c r="X19">
        <f>'BIFUbC-natural-gas-script'!X19+'BIFUbC-natural-gas-script'!X19*'Calibration Multiplier'!$B$2</f>
        <v>0</v>
      </c>
      <c r="Y19">
        <f>'BIFUbC-natural-gas-script'!Y19+'BIFUbC-natural-gas-script'!Y19*'Calibration Multiplier'!$B$2</f>
        <v>0</v>
      </c>
      <c r="Z19">
        <f>'BIFUbC-natural-gas-script'!Z19+'BIFUbC-natural-gas-script'!Z19*'Calibration Multiplier'!$B$2</f>
        <v>0</v>
      </c>
      <c r="AA19">
        <f>'BIFUbC-natural-gas-script'!AA19+'BIFUbC-natural-gas-script'!AA19*'Calibration Multiplier'!$B$2</f>
        <v>0</v>
      </c>
      <c r="AB19">
        <f>'BIFUbC-natural-gas-script'!AB19+'BIFUbC-natural-gas-script'!AB19*'Calibration Multiplier'!$B$2</f>
        <v>0</v>
      </c>
      <c r="AC19">
        <f>'BIFUbC-natural-gas-script'!AC19+'BIFUbC-natural-gas-script'!AC19*'Calibration Multiplier'!$B$2</f>
        <v>0</v>
      </c>
      <c r="AD19">
        <f>'BIFUbC-natural-gas-script'!AD19+'BIFUbC-natural-gas-script'!AD19*'Calibration Multiplier'!$B$2</f>
        <v>0</v>
      </c>
      <c r="AE19">
        <f>'BIFUbC-natural-gas-script'!AE19+'BIFUbC-natural-gas-script'!AE19*'Calibration Multiplier'!$B$2</f>
        <v>0</v>
      </c>
      <c r="AF19">
        <f>'BIFUbC-natural-gas-script'!AF19+'BIFUbC-natural-gas-script'!AF19*'Calibration Multiplier'!$B$2</f>
        <v>0</v>
      </c>
    </row>
    <row r="20" spans="1:33" ht="14" customHeight="1" x14ac:dyDescent="0.15">
      <c r="A20" s="48" t="s">
        <v>194</v>
      </c>
      <c r="B20">
        <f>'BIFUbC-natural-gas-script'!B20+'BIFUbC-natural-gas-script'!B20*'Calibration Multiplier'!$B$2</f>
        <v>2750735781.3975782</v>
      </c>
      <c r="C20">
        <f>'BIFUbC-natural-gas-script'!C20+'BIFUbC-natural-gas-script'!C20*'Calibration Multiplier'!$B$2</f>
        <v>2823251702.7241883</v>
      </c>
      <c r="D20">
        <f>'BIFUbC-natural-gas-script'!D20+'BIFUbC-natural-gas-script'!D20*'Calibration Multiplier'!$B$2</f>
        <v>2895767624.0507994</v>
      </c>
      <c r="E20">
        <f>'BIFUbC-natural-gas-script'!E20+'BIFUbC-natural-gas-script'!E20*'Calibration Multiplier'!$B$2</f>
        <v>2954228287.8051291</v>
      </c>
      <c r="F20">
        <f>'BIFUbC-natural-gas-script'!F20+'BIFUbC-natural-gas-script'!F20*'Calibration Multiplier'!$B$2</f>
        <v>3020606039.4633636</v>
      </c>
      <c r="G20">
        <f>'BIFUbC-natural-gas-script'!G20+'BIFUbC-natural-gas-script'!G20*'Calibration Multiplier'!$B$2</f>
        <v>3069273610.1404486</v>
      </c>
      <c r="H20">
        <f>'BIFUbC-natural-gas-script'!H20+'BIFUbC-natural-gas-script'!H20*'Calibration Multiplier'!$B$2</f>
        <v>3106067264.1894627</v>
      </c>
      <c r="I20">
        <f>'BIFUbC-natural-gas-script'!I20+'BIFUbC-natural-gas-script'!I20*'Calibration Multiplier'!$B$2</f>
        <v>3136451767.8029375</v>
      </c>
      <c r="J20">
        <f>'BIFUbC-natural-gas-script'!J20+'BIFUbC-natural-gas-script'!J20*'Calibration Multiplier'!$B$2</f>
        <v>3144234563.4603233</v>
      </c>
      <c r="K20">
        <f>'BIFUbC-natural-gas-script'!K20+'BIFUbC-natural-gas-script'!K20*'Calibration Multiplier'!$B$2</f>
        <v>3173910476.2042818</v>
      </c>
      <c r="L20">
        <f>'BIFUbC-natural-gas-script'!L20+'BIFUbC-natural-gas-script'!L20*'Calibration Multiplier'!$B$2</f>
        <v>3203115659.8151455</v>
      </c>
      <c r="M20">
        <f>'BIFUbC-natural-gas-script'!M20+'BIFUbC-natural-gas-script'!M20*'Calibration Multiplier'!$B$2</f>
        <v>3212124540.6564064</v>
      </c>
      <c r="N20">
        <f>'BIFUbC-natural-gas-script'!N20+'BIFUbC-natural-gas-script'!N20*'Calibration Multiplier'!$B$2</f>
        <v>3253149056.2932606</v>
      </c>
      <c r="O20">
        <f>'BIFUbC-natural-gas-script'!O20+'BIFUbC-natural-gas-script'!O20*'Calibration Multiplier'!$B$2</f>
        <v>3280602235.6105576</v>
      </c>
      <c r="P20">
        <f>'BIFUbC-natural-gas-script'!P20+'BIFUbC-natural-gas-script'!P20*'Calibration Multiplier'!$B$2</f>
        <v>3328791964.0039997</v>
      </c>
      <c r="Q20">
        <f>'BIFUbC-natural-gas-script'!Q20+'BIFUbC-natural-gas-script'!Q20*'Calibration Multiplier'!$B$2</f>
        <v>3378674470.8843122</v>
      </c>
      <c r="R20">
        <f>'BIFUbC-natural-gas-script'!R20+'BIFUbC-natural-gas-script'!R20*'Calibration Multiplier'!$B$2</f>
        <v>3430533323.7637806</v>
      </c>
      <c r="S20">
        <f>'BIFUbC-natural-gas-script'!S20+'BIFUbC-natural-gas-script'!S20*'Calibration Multiplier'!$B$2</f>
        <v>3485709174.9531956</v>
      </c>
      <c r="T20">
        <f>'BIFUbC-natural-gas-script'!T20+'BIFUbC-natural-gas-script'!T20*'Calibration Multiplier'!$B$2</f>
        <v>3537358669.1463127</v>
      </c>
      <c r="U20">
        <f>'BIFUbC-natural-gas-script'!U20+'BIFUbC-natural-gas-script'!U20*'Calibration Multiplier'!$B$2</f>
        <v>3588349213.1801243</v>
      </c>
      <c r="V20">
        <f>'BIFUbC-natural-gas-script'!V20+'BIFUbC-natural-gas-script'!V20*'Calibration Multiplier'!$B$2</f>
        <v>3633255087.518302</v>
      </c>
      <c r="W20">
        <f>'BIFUbC-natural-gas-script'!W20+'BIFUbC-natural-gas-script'!W20*'Calibration Multiplier'!$B$2</f>
        <v>3687626496.8733664</v>
      </c>
      <c r="X20">
        <f>'BIFUbC-natural-gas-script'!X20+'BIFUbC-natural-gas-script'!X20*'Calibration Multiplier'!$B$2</f>
        <v>3755504770.1621642</v>
      </c>
      <c r="Y20">
        <f>'BIFUbC-natural-gas-script'!Y20+'BIFUbC-natural-gas-script'!Y20*'Calibration Multiplier'!$B$2</f>
        <v>3816752931.3175373</v>
      </c>
      <c r="Z20">
        <f>'BIFUbC-natural-gas-script'!Z20+'BIFUbC-natural-gas-script'!Z20*'Calibration Multiplier'!$B$2</f>
        <v>3881832305.985261</v>
      </c>
      <c r="AA20">
        <f>'BIFUbC-natural-gas-script'!AA20+'BIFUbC-natural-gas-script'!AA20*'Calibration Multiplier'!$B$2</f>
        <v>3940088353.1536045</v>
      </c>
      <c r="AB20">
        <f>'BIFUbC-natural-gas-script'!AB20+'BIFUbC-natural-gas-script'!AB20*'Calibration Multiplier'!$B$2</f>
        <v>4004377159.1529408</v>
      </c>
      <c r="AC20">
        <f>'BIFUbC-natural-gas-script'!AC20+'BIFUbC-natural-gas-script'!AC20*'Calibration Multiplier'!$B$2</f>
        <v>4060933566.923244</v>
      </c>
      <c r="AD20">
        <f>'BIFUbC-natural-gas-script'!AD20+'BIFUbC-natural-gas-script'!AD20*'Calibration Multiplier'!$B$2</f>
        <v>4111173597.9023924</v>
      </c>
      <c r="AE20">
        <f>'BIFUbC-natural-gas-script'!AE20+'BIFUbC-natural-gas-script'!AE20*'Calibration Multiplier'!$B$2</f>
        <v>4169762601.0538473</v>
      </c>
      <c r="AF20">
        <f>'BIFUbC-natural-gas-script'!AF20+'BIFUbC-natural-gas-script'!AF20*'Calibration Multiplier'!$B$2</f>
        <v>4240077204.077261</v>
      </c>
      <c r="AG20" s="57"/>
    </row>
    <row r="21" spans="1:33" ht="14" customHeight="1" x14ac:dyDescent="0.15">
      <c r="A21" s="48" t="s">
        <v>195</v>
      </c>
      <c r="B21">
        <f>'BIFUbC-natural-gas-script'!B21+'BIFUbC-natural-gas-script'!B21*'Calibration Multiplier'!$B$2</f>
        <v>269538300.41866326</v>
      </c>
      <c r="C21">
        <f>'BIFUbC-natural-gas-script'!C21+'BIFUbC-natural-gas-script'!C21*'Calibration Multiplier'!$B$2</f>
        <v>282745474.48366201</v>
      </c>
      <c r="D21">
        <f>'BIFUbC-natural-gas-script'!D21+'BIFUbC-natural-gas-script'!D21*'Calibration Multiplier'!$B$2</f>
        <v>295952648.54866064</v>
      </c>
      <c r="E21">
        <f>'BIFUbC-natural-gas-script'!E21+'BIFUbC-natural-gas-script'!E21*'Calibration Multiplier'!$B$2</f>
        <v>320272381.6264168</v>
      </c>
      <c r="F21">
        <f>'BIFUbC-natural-gas-script'!F21+'BIFUbC-natural-gas-script'!F21*'Calibration Multiplier'!$B$2</f>
        <v>323108967.30071342</v>
      </c>
      <c r="G21">
        <f>'BIFUbC-natural-gas-script'!G21+'BIFUbC-natural-gas-script'!G21*'Calibration Multiplier'!$B$2</f>
        <v>324392708.03836983</v>
      </c>
      <c r="H21">
        <f>'BIFUbC-natural-gas-script'!H21+'BIFUbC-natural-gas-script'!H21*'Calibration Multiplier'!$B$2</f>
        <v>324016638.61967945</v>
      </c>
      <c r="I21">
        <f>'BIFUbC-natural-gas-script'!I21+'BIFUbC-natural-gas-script'!I21*'Calibration Multiplier'!$B$2</f>
        <v>322609214.7946673</v>
      </c>
      <c r="J21">
        <f>'BIFUbC-natural-gas-script'!J21+'BIFUbC-natural-gas-script'!J21*'Calibration Multiplier'!$B$2</f>
        <v>322198450.16047746</v>
      </c>
      <c r="K21">
        <f>'BIFUbC-natural-gas-script'!K21+'BIFUbC-natural-gas-script'!K21*'Calibration Multiplier'!$B$2</f>
        <v>321217078.82099855</v>
      </c>
      <c r="L21">
        <f>'BIFUbC-natural-gas-script'!L21+'BIFUbC-natural-gas-script'!L21*'Calibration Multiplier'!$B$2</f>
        <v>321209733.33351266</v>
      </c>
      <c r="M21">
        <f>'BIFUbC-natural-gas-script'!M21+'BIFUbC-natural-gas-script'!M21*'Calibration Multiplier'!$B$2</f>
        <v>320781648.62604845</v>
      </c>
      <c r="N21">
        <f>'BIFUbC-natural-gas-script'!N21+'BIFUbC-natural-gas-script'!N21*'Calibration Multiplier'!$B$2</f>
        <v>323056463.49705267</v>
      </c>
      <c r="O21">
        <f>'BIFUbC-natural-gas-script'!O21+'BIFUbC-natural-gas-script'!O21*'Calibration Multiplier'!$B$2</f>
        <v>325083802.05544341</v>
      </c>
      <c r="P21">
        <f>'BIFUbC-natural-gas-script'!P21+'BIFUbC-natural-gas-script'!P21*'Calibration Multiplier'!$B$2</f>
        <v>328470693.5327338</v>
      </c>
      <c r="Q21">
        <f>'BIFUbC-natural-gas-script'!Q21+'BIFUbC-natural-gas-script'!Q21*'Calibration Multiplier'!$B$2</f>
        <v>332277350.75306338</v>
      </c>
      <c r="R21">
        <f>'BIFUbC-natural-gas-script'!R21+'BIFUbC-natural-gas-script'!R21*'Calibration Multiplier'!$B$2</f>
        <v>336245097.08976793</v>
      </c>
      <c r="S21">
        <f>'BIFUbC-natural-gas-script'!S21+'BIFUbC-natural-gas-script'!S21*'Calibration Multiplier'!$B$2</f>
        <v>340544322.98267496</v>
      </c>
      <c r="T21">
        <f>'BIFUbC-natural-gas-script'!T21+'BIFUbC-natural-gas-script'!T21*'Calibration Multiplier'!$B$2</f>
        <v>345034618.59469026</v>
      </c>
      <c r="U21">
        <f>'BIFUbC-natural-gas-script'!U21+'BIFUbC-natural-gas-script'!U21*'Calibration Multiplier'!$B$2</f>
        <v>349527001.4975872</v>
      </c>
      <c r="V21">
        <f>'BIFUbC-natural-gas-script'!V21+'BIFUbC-natural-gas-script'!V21*'Calibration Multiplier'!$B$2</f>
        <v>353457180.15125537</v>
      </c>
      <c r="W21">
        <f>'BIFUbC-natural-gas-script'!W21+'BIFUbC-natural-gas-script'!W21*'Calibration Multiplier'!$B$2</f>
        <v>357616267.99898732</v>
      </c>
      <c r="X21">
        <f>'BIFUbC-natural-gas-script'!X21+'BIFUbC-natural-gas-script'!X21*'Calibration Multiplier'!$B$2</f>
        <v>362471844.84456527</v>
      </c>
      <c r="Y21">
        <f>'BIFUbC-natural-gas-script'!Y21+'BIFUbC-natural-gas-script'!Y21*'Calibration Multiplier'!$B$2</f>
        <v>366965826.52345681</v>
      </c>
      <c r="Z21">
        <f>'BIFUbC-natural-gas-script'!Z21+'BIFUbC-natural-gas-script'!Z21*'Calibration Multiplier'!$B$2</f>
        <v>371765835.24471784</v>
      </c>
      <c r="AA21">
        <f>'BIFUbC-natural-gas-script'!AA21+'BIFUbC-natural-gas-script'!AA21*'Calibration Multiplier'!$B$2</f>
        <v>376291343.00980401</v>
      </c>
      <c r="AB21">
        <f>'BIFUbC-natural-gas-script'!AB21+'BIFUbC-natural-gas-script'!AB21*'Calibration Multiplier'!$B$2</f>
        <v>381198935.14415568</v>
      </c>
      <c r="AC21">
        <f>'BIFUbC-natural-gas-script'!AC21+'BIFUbC-natural-gas-script'!AC21*'Calibration Multiplier'!$B$2</f>
        <v>386128727.17140055</v>
      </c>
      <c r="AD21">
        <f>'BIFUbC-natural-gas-script'!AD21+'BIFUbC-natural-gas-script'!AD21*'Calibration Multiplier'!$B$2</f>
        <v>390338856.83096695</v>
      </c>
      <c r="AE21">
        <f>'BIFUbC-natural-gas-script'!AE21+'BIFUbC-natural-gas-script'!AE21*'Calibration Multiplier'!$B$2</f>
        <v>395150655.63697875</v>
      </c>
      <c r="AF21">
        <f>'BIFUbC-natural-gas-script'!AF21+'BIFUbC-natural-gas-script'!AF21*'Calibration Multiplier'!$B$2</f>
        <v>400614517.00878406</v>
      </c>
    </row>
    <row r="22" spans="1:33" ht="14" customHeight="1" x14ac:dyDescent="0.15">
      <c r="A22" s="48" t="s">
        <v>196</v>
      </c>
      <c r="B22">
        <f>'BIFUbC-natural-gas-script'!B22+'BIFUbC-natural-gas-script'!B22*'Calibration Multiplier'!$B$2</f>
        <v>1802884511.0257444</v>
      </c>
      <c r="C22">
        <f>'BIFUbC-natural-gas-script'!C22+'BIFUbC-natural-gas-script'!C22*'Calibration Multiplier'!$B$2</f>
        <v>1891224496.5462527</v>
      </c>
      <c r="D22">
        <f>'BIFUbC-natural-gas-script'!D22+'BIFUbC-natural-gas-script'!D22*'Calibration Multiplier'!$B$2</f>
        <v>1979564482.0667615</v>
      </c>
      <c r="E22">
        <f>'BIFUbC-natural-gas-script'!E22+'BIFUbC-natural-gas-script'!E22*'Calibration Multiplier'!$B$2</f>
        <v>2142234017.3797891</v>
      </c>
      <c r="F22">
        <f>'BIFUbC-natural-gas-script'!F22+'BIFUbC-natural-gas-script'!F22*'Calibration Multiplier'!$B$2</f>
        <v>2161207337.1953526</v>
      </c>
      <c r="G22">
        <f>'BIFUbC-natural-gas-script'!G22+'BIFUbC-natural-gas-script'!G22*'Calibration Multiplier'!$B$2</f>
        <v>2169794006.6538239</v>
      </c>
      <c r="H22">
        <f>'BIFUbC-natural-gas-script'!H22+'BIFUbC-natural-gas-script'!H22*'Calibration Multiplier'!$B$2</f>
        <v>2167278558.0924358</v>
      </c>
      <c r="I22">
        <f>'BIFUbC-natural-gas-script'!I22+'BIFUbC-natural-gas-script'!I22*'Calibration Multiplier'!$B$2</f>
        <v>2157864598.7010555</v>
      </c>
      <c r="J22">
        <f>'BIFUbC-natural-gas-script'!J22+'BIFUbC-natural-gas-script'!J22*'Calibration Multiplier'!$B$2</f>
        <v>2155117081.2035136</v>
      </c>
      <c r="K22">
        <f>'BIFUbC-natural-gas-script'!K22+'BIFUbC-natural-gas-script'!K22*'Calibration Multiplier'!$B$2</f>
        <v>2148552896.5041103</v>
      </c>
      <c r="L22">
        <f>'BIFUbC-natural-gas-script'!L22+'BIFUbC-natural-gas-script'!L22*'Calibration Multiplier'!$B$2</f>
        <v>2148503764.0966063</v>
      </c>
      <c r="M22">
        <f>'BIFUbC-natural-gas-script'!M22+'BIFUbC-natural-gas-script'!M22*'Calibration Multiplier'!$B$2</f>
        <v>2145640396.3032515</v>
      </c>
      <c r="N22">
        <f>'BIFUbC-natural-gas-script'!N22+'BIFUbC-natural-gas-script'!N22*'Calibration Multiplier'!$B$2</f>
        <v>2160856150.3909431</v>
      </c>
      <c r="O22">
        <f>'BIFUbC-natural-gas-script'!O22+'BIFUbC-natural-gas-script'!O22*'Calibration Multiplier'!$B$2</f>
        <v>2174416587.9237556</v>
      </c>
      <c r="P22">
        <f>'BIFUbC-natural-gas-script'!P22+'BIFUbC-natural-gas-script'!P22*'Calibration Multiplier'!$B$2</f>
        <v>2197070786.5124073</v>
      </c>
      <c r="Q22">
        <f>'BIFUbC-natural-gas-script'!Q22+'BIFUbC-natural-gas-script'!Q22*'Calibration Multiplier'!$B$2</f>
        <v>2222532709.1061788</v>
      </c>
      <c r="R22">
        <f>'BIFUbC-natural-gas-script'!R22+'BIFUbC-natural-gas-script'!R22*'Calibration Multiplier'!$B$2</f>
        <v>2249072122.6255665</v>
      </c>
      <c r="S22">
        <f>'BIFUbC-natural-gas-script'!S22+'BIFUbC-natural-gas-script'!S22*'Calibration Multiplier'!$B$2</f>
        <v>2277828732.5755568</v>
      </c>
      <c r="T22">
        <f>'BIFUbC-natural-gas-script'!T22+'BIFUbC-natural-gas-script'!T22*'Calibration Multiplier'!$B$2</f>
        <v>2307863367.3426924</v>
      </c>
      <c r="U22">
        <f>'BIFUbC-natural-gas-script'!U22+'BIFUbC-natural-gas-script'!U22*'Calibration Multiplier'!$B$2</f>
        <v>2337911963.5557337</v>
      </c>
      <c r="V22">
        <f>'BIFUbC-natural-gas-script'!V22+'BIFUbC-natural-gas-script'!V22*'Calibration Multiplier'!$B$2</f>
        <v>2364200094.8129864</v>
      </c>
      <c r="W22">
        <f>'BIFUbC-natural-gas-script'!W22+'BIFUbC-natural-gas-script'!W22*'Calibration Multiplier'!$B$2</f>
        <v>2392019351.1080074</v>
      </c>
      <c r="X22">
        <f>'BIFUbC-natural-gas-script'!X22+'BIFUbC-natural-gas-script'!X22*'Calibration Multiplier'!$B$2</f>
        <v>2424497274.5548429</v>
      </c>
      <c r="Y22">
        <f>'BIFUbC-natural-gas-script'!Y22+'BIFUbC-natural-gas-script'!Y22*'Calibration Multiplier'!$B$2</f>
        <v>2454556564.641345</v>
      </c>
      <c r="Z22">
        <f>'BIFUbC-natural-gas-script'!Z22+'BIFUbC-natural-gas-script'!Z22*'Calibration Multiplier'!$B$2</f>
        <v>2486662804.6929741</v>
      </c>
      <c r="AA22">
        <f>'BIFUbC-natural-gas-script'!AA22+'BIFUbC-natural-gas-script'!AA22*'Calibration Multiplier'!$B$2</f>
        <v>2516932966.082015</v>
      </c>
      <c r="AB22">
        <f>'BIFUbC-natural-gas-script'!AB22+'BIFUbC-natural-gas-script'!AB22*'Calibration Multiplier'!$B$2</f>
        <v>2549758808.7608156</v>
      </c>
      <c r="AC22">
        <f>'BIFUbC-natural-gas-script'!AC22+'BIFUbC-natural-gas-script'!AC22*'Calibration Multiplier'!$B$2</f>
        <v>2582733141.8136435</v>
      </c>
      <c r="AD22">
        <f>'BIFUbC-natural-gas-script'!AD22+'BIFUbC-natural-gas-script'!AD22*'Calibration Multiplier'!$B$2</f>
        <v>2610893805.9598989</v>
      </c>
      <c r="AE22">
        <f>'BIFUbC-natural-gas-script'!AE22+'BIFUbC-natural-gas-script'!AE22*'Calibration Multiplier'!$B$2</f>
        <v>2643078907.3872509</v>
      </c>
      <c r="AF22">
        <f>'BIFUbC-natural-gas-script'!AF22+'BIFUbC-natural-gas-script'!AF22*'Calibration Multiplier'!$B$2</f>
        <v>2679625516.9871445</v>
      </c>
    </row>
    <row r="23" spans="1:33" ht="14" customHeight="1" x14ac:dyDescent="0.15">
      <c r="A23" s="48" t="s">
        <v>197</v>
      </c>
      <c r="B23">
        <f>'BIFUbC-natural-gas-script'!B23+'BIFUbC-natural-gas-script'!B23*'Calibration Multiplier'!$B$2</f>
        <v>3627884323.0759048</v>
      </c>
      <c r="C23">
        <f>'BIFUbC-natural-gas-script'!C23+'BIFUbC-natural-gas-script'!C23*'Calibration Multiplier'!$B$2</f>
        <v>3658225187.6638937</v>
      </c>
      <c r="D23">
        <f>'BIFUbC-natural-gas-script'!D23+'BIFUbC-natural-gas-script'!D23*'Calibration Multiplier'!$B$2</f>
        <v>3688566052.2518835</v>
      </c>
      <c r="E23">
        <f>'BIFUbC-natural-gas-script'!E23+'BIFUbC-natural-gas-script'!E23*'Calibration Multiplier'!$B$2</f>
        <v>3745627014.2457104</v>
      </c>
      <c r="F23">
        <f>'BIFUbC-natural-gas-script'!F23+'BIFUbC-natural-gas-script'!F23*'Calibration Multiplier'!$B$2</f>
        <v>3842860251.0831518</v>
      </c>
      <c r="G23">
        <f>'BIFUbC-natural-gas-script'!G23+'BIFUbC-natural-gas-script'!G23*'Calibration Multiplier'!$B$2</f>
        <v>3890285626.435935</v>
      </c>
      <c r="H23">
        <f>'BIFUbC-natural-gas-script'!H23+'BIFUbC-natural-gas-script'!H23*'Calibration Multiplier'!$B$2</f>
        <v>3925679546.61695</v>
      </c>
      <c r="I23">
        <f>'BIFUbC-natural-gas-script'!I23+'BIFUbC-natural-gas-script'!I23*'Calibration Multiplier'!$B$2</f>
        <v>3955797179.1202211</v>
      </c>
      <c r="J23">
        <f>'BIFUbC-natural-gas-script'!J23+'BIFUbC-natural-gas-script'!J23*'Calibration Multiplier'!$B$2</f>
        <v>3970546723.2443857</v>
      </c>
      <c r="K23">
        <f>'BIFUbC-natural-gas-script'!K23+'BIFUbC-natural-gas-script'!K23*'Calibration Multiplier'!$B$2</f>
        <v>3998021187.2720785</v>
      </c>
      <c r="L23">
        <f>'BIFUbC-natural-gas-script'!L23+'BIFUbC-natural-gas-script'!L23*'Calibration Multiplier'!$B$2</f>
        <v>4029418525.3876381</v>
      </c>
      <c r="M23">
        <f>'BIFUbC-natural-gas-script'!M23+'BIFUbC-natural-gas-script'!M23*'Calibration Multiplier'!$B$2</f>
        <v>4048321802.4542027</v>
      </c>
      <c r="N23">
        <f>'BIFUbC-natural-gas-script'!N23+'BIFUbC-natural-gas-script'!N23*'Calibration Multiplier'!$B$2</f>
        <v>4087011839.4075403</v>
      </c>
      <c r="O23">
        <f>'BIFUbC-natural-gas-script'!O23+'BIFUbC-natural-gas-script'!O23*'Calibration Multiplier'!$B$2</f>
        <v>4121154066.2011662</v>
      </c>
      <c r="P23">
        <f>'BIFUbC-natural-gas-script'!P23+'BIFUbC-natural-gas-script'!P23*'Calibration Multiplier'!$B$2</f>
        <v>4163319909.3181763</v>
      </c>
      <c r="Q23">
        <f>'BIFUbC-natural-gas-script'!Q23+'BIFUbC-natural-gas-script'!Q23*'Calibration Multiplier'!$B$2</f>
        <v>4206472482.3087626</v>
      </c>
      <c r="R23">
        <f>'BIFUbC-natural-gas-script'!R23+'BIFUbC-natural-gas-script'!R23*'Calibration Multiplier'!$B$2</f>
        <v>4248166274.029891</v>
      </c>
      <c r="S23">
        <f>'BIFUbC-natural-gas-script'!S23+'BIFUbC-natural-gas-script'!S23*'Calibration Multiplier'!$B$2</f>
        <v>4295475009.9510384</v>
      </c>
      <c r="T23">
        <f>'BIFUbC-natural-gas-script'!T23+'BIFUbC-natural-gas-script'!T23*'Calibration Multiplier'!$B$2</f>
        <v>4349439942.4932432</v>
      </c>
      <c r="U23">
        <f>'BIFUbC-natural-gas-script'!U23+'BIFUbC-natural-gas-script'!U23*'Calibration Multiplier'!$B$2</f>
        <v>4401951268.093956</v>
      </c>
      <c r="V23">
        <f>'BIFUbC-natural-gas-script'!V23+'BIFUbC-natural-gas-script'!V23*'Calibration Multiplier'!$B$2</f>
        <v>4461188830.8573933</v>
      </c>
      <c r="W23">
        <f>'BIFUbC-natural-gas-script'!W23+'BIFUbC-natural-gas-script'!W23*'Calibration Multiplier'!$B$2</f>
        <v>4520551261.0821896</v>
      </c>
      <c r="X23">
        <f>'BIFUbC-natural-gas-script'!X23+'BIFUbC-natural-gas-script'!X23*'Calibration Multiplier'!$B$2</f>
        <v>4590323735.6321478</v>
      </c>
      <c r="Y23">
        <f>'BIFUbC-natural-gas-script'!Y23+'BIFUbC-natural-gas-script'!Y23*'Calibration Multiplier'!$B$2</f>
        <v>4660245442.3912735</v>
      </c>
      <c r="Z23">
        <f>'BIFUbC-natural-gas-script'!Z23+'BIFUbC-natural-gas-script'!Z23*'Calibration Multiplier'!$B$2</f>
        <v>4735382218.0915384</v>
      </c>
      <c r="AA23">
        <f>'BIFUbC-natural-gas-script'!AA23+'BIFUbC-natural-gas-script'!AA23*'Calibration Multiplier'!$B$2</f>
        <v>4807192729.1992397</v>
      </c>
      <c r="AB23">
        <f>'BIFUbC-natural-gas-script'!AB23+'BIFUbC-natural-gas-script'!AB23*'Calibration Multiplier'!$B$2</f>
        <v>4885038153.3229513</v>
      </c>
      <c r="AC23">
        <f>'BIFUbC-natural-gas-script'!AC23+'BIFUbC-natural-gas-script'!AC23*'Calibration Multiplier'!$B$2</f>
        <v>4957710227.4603443</v>
      </c>
      <c r="AD23">
        <f>'BIFUbC-natural-gas-script'!AD23+'BIFUbC-natural-gas-script'!AD23*'Calibration Multiplier'!$B$2</f>
        <v>5017579726.8569984</v>
      </c>
      <c r="AE23">
        <f>'BIFUbC-natural-gas-script'!AE23+'BIFUbC-natural-gas-script'!AE23*'Calibration Multiplier'!$B$2</f>
        <v>5078823651.5070591</v>
      </c>
      <c r="AF23">
        <f>'BIFUbC-natural-gas-script'!AF23+'BIFUbC-natural-gas-script'!AF23*'Calibration Multiplier'!$B$2</f>
        <v>5142263367.3465614</v>
      </c>
    </row>
    <row r="24" spans="1:33" ht="14" customHeight="1" x14ac:dyDescent="0.15">
      <c r="A24" s="48" t="s">
        <v>198</v>
      </c>
      <c r="B24">
        <f>'BIFUbC-natural-gas-script'!B24+'BIFUbC-natural-gas-script'!B24*'Calibration Multiplier'!$B$2</f>
        <v>11837457104737.807</v>
      </c>
      <c r="C24">
        <f>'BIFUbC-natural-gas-script'!C24+'BIFUbC-natural-gas-script'!C24*'Calibration Multiplier'!$B$2</f>
        <v>11792185203556.371</v>
      </c>
      <c r="D24">
        <f>'BIFUbC-natural-gas-script'!D24+'BIFUbC-natural-gas-script'!D24*'Calibration Multiplier'!$B$2</f>
        <v>11746913302374.938</v>
      </c>
      <c r="E24">
        <f>'BIFUbC-natural-gas-script'!E24+'BIFUbC-natural-gas-script'!E24*'Calibration Multiplier'!$B$2</f>
        <v>11615396637404.77</v>
      </c>
      <c r="F24">
        <f>'BIFUbC-natural-gas-script'!F24+'BIFUbC-natural-gas-script'!F24*'Calibration Multiplier'!$B$2</f>
        <v>11668822493188.633</v>
      </c>
      <c r="G24">
        <f>'BIFUbC-natural-gas-script'!G24+'BIFUbC-natural-gas-script'!G24*'Calibration Multiplier'!$B$2</f>
        <v>11723230042668.07</v>
      </c>
      <c r="H24">
        <f>'BIFUbC-natural-gas-script'!H24+'BIFUbC-natural-gas-script'!H24*'Calibration Multiplier'!$B$2</f>
        <v>11752833325136.762</v>
      </c>
      <c r="I24">
        <f>'BIFUbC-natural-gas-script'!I24+'BIFUbC-natural-gas-script'!I24*'Calibration Multiplier'!$B$2</f>
        <v>11673514848343.523</v>
      </c>
      <c r="J24">
        <f>'BIFUbC-natural-gas-script'!J24+'BIFUbC-natural-gas-script'!J24*'Calibration Multiplier'!$B$2</f>
        <v>11590146502400.109</v>
      </c>
      <c r="K24">
        <f>'BIFUbC-natural-gas-script'!K24+'BIFUbC-natural-gas-script'!K24*'Calibration Multiplier'!$B$2</f>
        <v>11576687218136.826</v>
      </c>
      <c r="L24">
        <f>'BIFUbC-natural-gas-script'!L24+'BIFUbC-natural-gas-script'!L24*'Calibration Multiplier'!$B$2</f>
        <v>11583470136713.898</v>
      </c>
      <c r="M24">
        <f>'BIFUbC-natural-gas-script'!M24+'BIFUbC-natural-gas-script'!M24*'Calibration Multiplier'!$B$2</f>
        <v>11406988849980.164</v>
      </c>
      <c r="N24">
        <f>'BIFUbC-natural-gas-script'!N24+'BIFUbC-natural-gas-script'!N24*'Calibration Multiplier'!$B$2</f>
        <v>11267865683478.625</v>
      </c>
      <c r="O24">
        <f>'BIFUbC-natural-gas-script'!O24+'BIFUbC-natural-gas-script'!O24*'Calibration Multiplier'!$B$2</f>
        <v>11145593717030.701</v>
      </c>
      <c r="P24">
        <f>'BIFUbC-natural-gas-script'!P24+'BIFUbC-natural-gas-script'!P24*'Calibration Multiplier'!$B$2</f>
        <v>11033263769031.898</v>
      </c>
      <c r="Q24">
        <f>'BIFUbC-natural-gas-script'!Q24+'BIFUbC-natural-gas-script'!Q24*'Calibration Multiplier'!$B$2</f>
        <v>10942387257415.562</v>
      </c>
      <c r="R24">
        <f>'BIFUbC-natural-gas-script'!R24+'BIFUbC-natural-gas-script'!R24*'Calibration Multiplier'!$B$2</f>
        <v>10869609162478.062</v>
      </c>
      <c r="S24">
        <f>'BIFUbC-natural-gas-script'!S24+'BIFUbC-natural-gas-script'!S24*'Calibration Multiplier'!$B$2</f>
        <v>10834492358674.418</v>
      </c>
      <c r="T24">
        <f>'BIFUbC-natural-gas-script'!T24+'BIFUbC-natural-gas-script'!T24*'Calibration Multiplier'!$B$2</f>
        <v>10822613859587.328</v>
      </c>
      <c r="U24">
        <f>'BIFUbC-natural-gas-script'!U24+'BIFUbC-natural-gas-script'!U24*'Calibration Multiplier'!$B$2</f>
        <v>10813529795992.789</v>
      </c>
      <c r="V24">
        <f>'BIFUbC-natural-gas-script'!V24+'BIFUbC-natural-gas-script'!V24*'Calibration Multiplier'!$B$2</f>
        <v>10804129457209.6</v>
      </c>
      <c r="W24">
        <f>'BIFUbC-natural-gas-script'!W24+'BIFUbC-natural-gas-script'!W24*'Calibration Multiplier'!$B$2</f>
        <v>10799646824352.496</v>
      </c>
      <c r="X24">
        <f>'BIFUbC-natural-gas-script'!X24+'BIFUbC-natural-gas-script'!X24*'Calibration Multiplier'!$B$2</f>
        <v>10799293653077.146</v>
      </c>
      <c r="Y24">
        <f>'BIFUbC-natural-gas-script'!Y24+'BIFUbC-natural-gas-script'!Y24*'Calibration Multiplier'!$B$2</f>
        <v>10820315185050.191</v>
      </c>
      <c r="Z24">
        <f>'BIFUbC-natural-gas-script'!Z24+'BIFUbC-natural-gas-script'!Z24*'Calibration Multiplier'!$B$2</f>
        <v>10854578867547.73</v>
      </c>
      <c r="AA24">
        <f>'BIFUbC-natural-gas-script'!AA24+'BIFUbC-natural-gas-script'!AA24*'Calibration Multiplier'!$B$2</f>
        <v>10898945257128.188</v>
      </c>
      <c r="AB24">
        <f>'BIFUbC-natural-gas-script'!AB24+'BIFUbC-natural-gas-script'!AB24*'Calibration Multiplier'!$B$2</f>
        <v>10952120305452.215</v>
      </c>
      <c r="AC24">
        <f>'BIFUbC-natural-gas-script'!AC24+'BIFUbC-natural-gas-script'!AC24*'Calibration Multiplier'!$B$2</f>
        <v>10992718675464.773</v>
      </c>
      <c r="AD24">
        <f>'BIFUbC-natural-gas-script'!AD24+'BIFUbC-natural-gas-script'!AD24*'Calibration Multiplier'!$B$2</f>
        <v>11033984075167.086</v>
      </c>
      <c r="AE24">
        <f>'BIFUbC-natural-gas-script'!AE24+'BIFUbC-natural-gas-script'!AE24*'Calibration Multiplier'!$B$2</f>
        <v>11090946853195.582</v>
      </c>
      <c r="AF24">
        <f>'BIFUbC-natural-gas-script'!AF24+'BIFUbC-natural-gas-script'!AF24*'Calibration Multiplier'!$B$2</f>
        <v>11175274014038.449</v>
      </c>
    </row>
    <row r="25" spans="1:33" ht="14" customHeight="1" x14ac:dyDescent="0.15">
      <c r="A25" s="48" t="s">
        <v>199</v>
      </c>
      <c r="B25">
        <f>'BIFUbC-natural-gas-script'!B25+'BIFUbC-natural-gas-script'!B25*'Calibration Multiplier'!$B$2</f>
        <v>0</v>
      </c>
      <c r="C25">
        <f>'BIFUbC-natural-gas-script'!C25+'BIFUbC-natural-gas-script'!C25*'Calibration Multiplier'!$B$2</f>
        <v>0</v>
      </c>
      <c r="D25">
        <f>'BIFUbC-natural-gas-script'!D25+'BIFUbC-natural-gas-script'!D25*'Calibration Multiplier'!$B$2</f>
        <v>0</v>
      </c>
      <c r="E25">
        <f>'BIFUbC-natural-gas-script'!E25+'BIFUbC-natural-gas-script'!E25*'Calibration Multiplier'!$B$2</f>
        <v>0</v>
      </c>
      <c r="F25">
        <f>'BIFUbC-natural-gas-script'!F25+'BIFUbC-natural-gas-script'!F25*'Calibration Multiplier'!$B$2</f>
        <v>0</v>
      </c>
      <c r="G25">
        <f>'BIFUbC-natural-gas-script'!G25+'BIFUbC-natural-gas-script'!G25*'Calibration Multiplier'!$B$2</f>
        <v>0</v>
      </c>
      <c r="H25">
        <f>'BIFUbC-natural-gas-script'!H25+'BIFUbC-natural-gas-script'!H25*'Calibration Multiplier'!$B$2</f>
        <v>0</v>
      </c>
      <c r="I25">
        <f>'BIFUbC-natural-gas-script'!I25+'BIFUbC-natural-gas-script'!I25*'Calibration Multiplier'!$B$2</f>
        <v>0</v>
      </c>
      <c r="J25">
        <f>'BIFUbC-natural-gas-script'!J25+'BIFUbC-natural-gas-script'!J25*'Calibration Multiplier'!$B$2</f>
        <v>0</v>
      </c>
      <c r="K25">
        <f>'BIFUbC-natural-gas-script'!K25+'BIFUbC-natural-gas-script'!K25*'Calibration Multiplier'!$B$2</f>
        <v>0</v>
      </c>
      <c r="L25">
        <f>'BIFUbC-natural-gas-script'!L25+'BIFUbC-natural-gas-script'!L25*'Calibration Multiplier'!$B$2</f>
        <v>0</v>
      </c>
      <c r="M25">
        <f>'BIFUbC-natural-gas-script'!M25+'BIFUbC-natural-gas-script'!M25*'Calibration Multiplier'!$B$2</f>
        <v>0</v>
      </c>
      <c r="N25">
        <f>'BIFUbC-natural-gas-script'!N25+'BIFUbC-natural-gas-script'!N25*'Calibration Multiplier'!$B$2</f>
        <v>0</v>
      </c>
      <c r="O25">
        <f>'BIFUbC-natural-gas-script'!O25+'BIFUbC-natural-gas-script'!O25*'Calibration Multiplier'!$B$2</f>
        <v>0</v>
      </c>
      <c r="P25">
        <f>'BIFUbC-natural-gas-script'!P25+'BIFUbC-natural-gas-script'!P25*'Calibration Multiplier'!$B$2</f>
        <v>0</v>
      </c>
      <c r="Q25">
        <f>'BIFUbC-natural-gas-script'!Q25+'BIFUbC-natural-gas-script'!Q25*'Calibration Multiplier'!$B$2</f>
        <v>0</v>
      </c>
      <c r="R25">
        <f>'BIFUbC-natural-gas-script'!R25+'BIFUbC-natural-gas-script'!R25*'Calibration Multiplier'!$B$2</f>
        <v>0</v>
      </c>
      <c r="S25">
        <f>'BIFUbC-natural-gas-script'!S25+'BIFUbC-natural-gas-script'!S25*'Calibration Multiplier'!$B$2</f>
        <v>0</v>
      </c>
      <c r="T25">
        <f>'BIFUbC-natural-gas-script'!T25+'BIFUbC-natural-gas-script'!T25*'Calibration Multiplier'!$B$2</f>
        <v>0</v>
      </c>
      <c r="U25">
        <f>'BIFUbC-natural-gas-script'!U25+'BIFUbC-natural-gas-script'!U25*'Calibration Multiplier'!$B$2</f>
        <v>0</v>
      </c>
      <c r="V25">
        <f>'BIFUbC-natural-gas-script'!V25+'BIFUbC-natural-gas-script'!V25*'Calibration Multiplier'!$B$2</f>
        <v>0</v>
      </c>
      <c r="W25">
        <f>'BIFUbC-natural-gas-script'!W25+'BIFUbC-natural-gas-script'!W25*'Calibration Multiplier'!$B$2</f>
        <v>0</v>
      </c>
      <c r="X25">
        <f>'BIFUbC-natural-gas-script'!X25+'BIFUbC-natural-gas-script'!X25*'Calibration Multiplier'!$B$2</f>
        <v>0</v>
      </c>
      <c r="Y25">
        <f>'BIFUbC-natural-gas-script'!Y25+'BIFUbC-natural-gas-script'!Y25*'Calibration Multiplier'!$B$2</f>
        <v>0</v>
      </c>
      <c r="Z25">
        <f>'BIFUbC-natural-gas-script'!Z25+'BIFUbC-natural-gas-script'!Z25*'Calibration Multiplier'!$B$2</f>
        <v>0</v>
      </c>
      <c r="AA25">
        <f>'BIFUbC-natural-gas-script'!AA25+'BIFUbC-natural-gas-script'!AA25*'Calibration Multiplier'!$B$2</f>
        <v>0</v>
      </c>
      <c r="AB25">
        <f>'BIFUbC-natural-gas-script'!AB25+'BIFUbC-natural-gas-script'!AB25*'Calibration Multiplier'!$B$2</f>
        <v>0</v>
      </c>
      <c r="AC25">
        <f>'BIFUbC-natural-gas-script'!AC25+'BIFUbC-natural-gas-script'!AC25*'Calibration Multiplier'!$B$2</f>
        <v>0</v>
      </c>
      <c r="AD25">
        <f>'BIFUbC-natural-gas-script'!AD25+'BIFUbC-natural-gas-script'!AD25*'Calibration Multiplier'!$B$2</f>
        <v>0</v>
      </c>
      <c r="AE25">
        <f>'BIFUbC-natural-gas-script'!AE25+'BIFUbC-natural-gas-script'!AE25*'Calibration Multiplier'!$B$2</f>
        <v>0</v>
      </c>
      <c r="AF25">
        <f>'BIFUbC-natural-gas-script'!AF25+'BIFUbC-natural-gas-script'!AF25*'Calibration Multiplier'!$B$2</f>
        <v>0</v>
      </c>
    </row>
    <row r="26" spans="1:33" ht="14" customHeight="1" x14ac:dyDescent="0.15">
      <c r="A26" s="48" t="s">
        <v>200</v>
      </c>
      <c r="B26">
        <f>'BIFUbC-natural-gas-script'!B26+'BIFUbC-natural-gas-script'!B26*'Calibration Multiplier'!$B$2</f>
        <v>5885161004.305582</v>
      </c>
      <c r="C26">
        <f>'BIFUbC-natural-gas-script'!C26+'BIFUbC-natural-gas-script'!C26*'Calibration Multiplier'!$B$2</f>
        <v>5862653431.5163956</v>
      </c>
      <c r="D26">
        <f>'BIFUbC-natural-gas-script'!D26+'BIFUbC-natural-gas-script'!D26*'Calibration Multiplier'!$B$2</f>
        <v>5840145858.7272081</v>
      </c>
      <c r="E26">
        <f>'BIFUbC-natural-gas-script'!E26+'BIFUbC-natural-gas-script'!E26*'Calibration Multiplier'!$B$2</f>
        <v>5774760468.8372669</v>
      </c>
      <c r="F26">
        <f>'BIFUbC-natural-gas-script'!F26+'BIFUbC-natural-gas-script'!F26*'Calibration Multiplier'!$B$2</f>
        <v>5801321896.7097282</v>
      </c>
      <c r="G26">
        <f>'BIFUbC-natural-gas-script'!G26+'BIFUbC-natural-gas-script'!G26*'Calibration Multiplier'!$B$2</f>
        <v>5828371387.6352806</v>
      </c>
      <c r="H26">
        <f>'BIFUbC-natural-gas-script'!H26+'BIFUbC-natural-gas-script'!H26*'Calibration Multiplier'!$B$2</f>
        <v>5843089082.6640949</v>
      </c>
      <c r="I26">
        <f>'BIFUbC-natural-gas-script'!I26+'BIFUbC-natural-gas-script'!I26*'Calibration Multiplier'!$B$2</f>
        <v>5803654768.1475353</v>
      </c>
      <c r="J26">
        <f>'BIFUbC-natural-gas-script'!J26+'BIFUbC-natural-gas-script'!J26*'Calibration Multiplier'!$B$2</f>
        <v>5762207003.2941151</v>
      </c>
      <c r="K26">
        <f>'BIFUbC-natural-gas-script'!K26+'BIFUbC-natural-gas-script'!K26*'Calibration Multiplier'!$B$2</f>
        <v>5755515527.7355309</v>
      </c>
      <c r="L26">
        <f>'BIFUbC-natural-gas-script'!L26+'BIFUbC-natural-gas-script'!L26*'Calibration Multiplier'!$B$2</f>
        <v>5758887752.6612015</v>
      </c>
      <c r="M26">
        <f>'BIFUbC-natural-gas-script'!M26+'BIFUbC-natural-gas-script'!M26*'Calibration Multiplier'!$B$2</f>
        <v>5671147558.3369198</v>
      </c>
      <c r="N26">
        <f>'BIFUbC-natural-gas-script'!N26+'BIFUbC-natural-gas-script'!N26*'Calibration Multiplier'!$B$2</f>
        <v>5601980487.4832764</v>
      </c>
      <c r="O26">
        <f>'BIFUbC-natural-gas-script'!O26+'BIFUbC-natural-gas-script'!O26*'Calibration Multiplier'!$B$2</f>
        <v>5541191231.6074467</v>
      </c>
      <c r="P26">
        <f>'BIFUbC-natural-gas-script'!P26+'BIFUbC-natural-gas-script'!P26*'Calibration Multiplier'!$B$2</f>
        <v>5485344792.314868</v>
      </c>
      <c r="Q26">
        <f>'BIFUbC-natural-gas-script'!Q26+'BIFUbC-natural-gas-script'!Q26*'Calibration Multiplier'!$B$2</f>
        <v>5440164235.575388</v>
      </c>
      <c r="R26">
        <f>'BIFUbC-natural-gas-script'!R26+'BIFUbC-natural-gas-script'!R26*'Calibration Multiplier'!$B$2</f>
        <v>5403981565.3866673</v>
      </c>
      <c r="S26">
        <f>'BIFUbC-natural-gas-script'!S26+'BIFUbC-natural-gas-script'!S26*'Calibration Multiplier'!$B$2</f>
        <v>5386522744.4158754</v>
      </c>
      <c r="T26">
        <f>'BIFUbC-natural-gas-script'!T26+'BIFUbC-natural-gas-script'!T26*'Calibration Multiplier'!$B$2</f>
        <v>5380617178.8033905</v>
      </c>
      <c r="U26">
        <f>'BIFUbC-natural-gas-script'!U26+'BIFUbC-natural-gas-script'!U26*'Calibration Multiplier'!$B$2</f>
        <v>5376100906.7397022</v>
      </c>
      <c r="V26">
        <f>'BIFUbC-natural-gas-script'!V26+'BIFUbC-natural-gas-script'!V26*'Calibration Multiplier'!$B$2</f>
        <v>5371427393.9451399</v>
      </c>
      <c r="W26">
        <f>'BIFUbC-natural-gas-script'!W26+'BIFUbC-natural-gas-script'!W26*'Calibration Multiplier'!$B$2</f>
        <v>5369198788.9454479</v>
      </c>
      <c r="X26">
        <f>'BIFUbC-natural-gas-script'!X26+'BIFUbC-natural-gas-script'!X26*'Calibration Multiplier'!$B$2</f>
        <v>5369023204.7976761</v>
      </c>
      <c r="Y26">
        <f>'BIFUbC-natural-gas-script'!Y26+'BIFUbC-natural-gas-script'!Y26*'Calibration Multiplier'!$B$2</f>
        <v>5379474359.8999834</v>
      </c>
      <c r="Z26">
        <f>'BIFUbC-natural-gas-script'!Z26+'BIFUbC-natural-gas-script'!Z26*'Calibration Multiplier'!$B$2</f>
        <v>5396509039.4189262</v>
      </c>
      <c r="AA26">
        <f>'BIFUbC-natural-gas-script'!AA26+'BIFUbC-natural-gas-script'!AA26*'Calibration Multiplier'!$B$2</f>
        <v>5418566424.1722965</v>
      </c>
      <c r="AB26">
        <f>'BIFUbC-natural-gas-script'!AB26+'BIFUbC-natural-gas-script'!AB26*'Calibration Multiplier'!$B$2</f>
        <v>5445003159.5310593</v>
      </c>
      <c r="AC26">
        <f>'BIFUbC-natural-gas-script'!AC26+'BIFUbC-natural-gas-script'!AC26*'Calibration Multiplier'!$B$2</f>
        <v>5465187219.4961529</v>
      </c>
      <c r="AD26">
        <f>'BIFUbC-natural-gas-script'!AD26+'BIFUbC-natural-gas-script'!AD26*'Calibration Multiplier'!$B$2</f>
        <v>5485702902.8060379</v>
      </c>
      <c r="AE26">
        <f>'BIFUbC-natural-gas-script'!AE26+'BIFUbC-natural-gas-script'!AE26*'Calibration Multiplier'!$B$2</f>
        <v>5514022762.1292057</v>
      </c>
      <c r="AF26">
        <f>'BIFUbC-natural-gas-script'!AF26+'BIFUbC-natural-gas-script'!AF26*'Calibration Multiplier'!$B$2</f>
        <v>5555947215.5151958</v>
      </c>
    </row>
    <row r="27" spans="1:33" ht="14" customHeight="1" x14ac:dyDescent="0.15"/>
    <row r="28" spans="1:33" ht="14.5" customHeight="1" x14ac:dyDescent="0.2">
      <c r="A28" s="29"/>
      <c r="C28" s="30"/>
      <c r="D28" s="30"/>
      <c r="E28" s="30"/>
      <c r="F28" s="30"/>
      <c r="G28" s="30"/>
      <c r="H28" s="30"/>
    </row>
    <row r="29" spans="1:33" ht="14" customHeight="1" x14ac:dyDescent="0.15"/>
    <row r="30" spans="1:33" ht="14.5" customHeight="1" x14ac:dyDescent="0.2">
      <c r="A30" s="29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 spans="1:33" ht="14" customHeight="1" x14ac:dyDescent="0.15"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 spans="1:33" ht="14" customHeight="1" x14ac:dyDescent="0.15"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 spans="1:35" ht="14.5" customHeight="1" x14ac:dyDescent="0.2">
      <c r="A33" s="29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 spans="1:35" ht="14" customHeight="1" x14ac:dyDescent="0.15">
      <c r="A34" s="31"/>
      <c r="B34" s="32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</row>
    <row r="35" spans="1:35" ht="14" customHeight="1" x14ac:dyDescent="0.15">
      <c r="A35" s="31"/>
      <c r="B35" s="32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58"/>
    </row>
    <row r="36" spans="1:35" ht="14" customHeight="1" x14ac:dyDescent="0.15">
      <c r="A36" s="31"/>
      <c r="B36" s="32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</row>
    <row r="37" spans="1:35" ht="14" customHeight="1" x14ac:dyDescent="0.15">
      <c r="A37" s="31"/>
      <c r="B37" s="32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</row>
    <row r="38" spans="1:35" ht="14" customHeight="1" x14ac:dyDescent="0.15">
      <c r="A38" s="31"/>
      <c r="B38" s="32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</row>
    <row r="39" spans="1:35" ht="14" customHeight="1" x14ac:dyDescent="0.15">
      <c r="A39" s="31"/>
      <c r="B39" s="32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</row>
    <row r="40" spans="1:35" ht="14" customHeight="1" x14ac:dyDescent="0.15">
      <c r="A40" s="31"/>
      <c r="B40" s="32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</row>
    <row r="41" spans="1:35" ht="14" customHeight="1" x14ac:dyDescent="0.15">
      <c r="A41" s="31"/>
      <c r="B41" s="32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</row>
    <row r="42" spans="1:35" ht="14" customHeight="1" x14ac:dyDescent="0.15">
      <c r="A42" s="31"/>
      <c r="B42" s="32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58"/>
      <c r="AG42" s="58"/>
      <c r="AH42" s="58"/>
      <c r="AI42" s="58"/>
    </row>
    <row r="43" spans="1:35" ht="14" customHeight="1" x14ac:dyDescent="0.15">
      <c r="A43" s="31"/>
      <c r="B43" s="32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  <c r="AD43" s="58"/>
      <c r="AE43" s="58"/>
      <c r="AF43" s="58"/>
      <c r="AG43" s="58"/>
      <c r="AH43" s="58"/>
      <c r="AI43" s="58"/>
    </row>
    <row r="44" spans="1:35" ht="14" customHeight="1" x14ac:dyDescent="0.15">
      <c r="A44" s="31"/>
      <c r="B44" s="32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</row>
    <row r="45" spans="1:35" ht="14" customHeight="1" x14ac:dyDescent="0.15">
      <c r="A45" s="31"/>
      <c r="B45" s="32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</row>
    <row r="46" spans="1:35" ht="14" customHeight="1" x14ac:dyDescent="0.15">
      <c r="A46" s="33"/>
      <c r="B46" s="34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</row>
    <row r="47" spans="1:35" ht="14.5" customHeight="1" x14ac:dyDescent="0.2">
      <c r="A47" s="29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 spans="1:35" ht="14" customHeight="1" x14ac:dyDescent="0.15">
      <c r="A48" s="31"/>
      <c r="B48" s="32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  <c r="AD48" s="58"/>
      <c r="AE48" s="58"/>
      <c r="AF48" s="58"/>
      <c r="AG48" s="58"/>
      <c r="AH48" s="58"/>
      <c r="AI48" s="58"/>
    </row>
    <row r="49" spans="1:35" ht="14" customHeight="1" x14ac:dyDescent="0.15">
      <c r="A49" s="31"/>
      <c r="B49" s="32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  <c r="AC49" s="58"/>
      <c r="AD49" s="58"/>
      <c r="AE49" s="58"/>
      <c r="AF49" s="58"/>
      <c r="AG49" s="58"/>
      <c r="AH49" s="58"/>
      <c r="AI49" s="58"/>
    </row>
    <row r="50" spans="1:35" ht="14.5" customHeight="1" x14ac:dyDescent="0.2">
      <c r="A50" s="35"/>
      <c r="B50" s="32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  <c r="AD50" s="58"/>
      <c r="AE50" s="58"/>
      <c r="AF50" s="58"/>
      <c r="AG50" s="58"/>
      <c r="AH50" s="58"/>
      <c r="AI50" s="58"/>
    </row>
    <row r="51" spans="1:35" ht="14" customHeight="1" x14ac:dyDescent="0.15">
      <c r="A51" s="31"/>
      <c r="B51" s="32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  <c r="AD51" s="58"/>
      <c r="AE51" s="58"/>
      <c r="AF51" s="58"/>
      <c r="AG51" s="58"/>
      <c r="AH51" s="58"/>
      <c r="AI51" s="58"/>
    </row>
    <row r="52" spans="1:35" ht="14" customHeight="1" x14ac:dyDescent="0.15">
      <c r="A52" s="31"/>
      <c r="B52" s="32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</row>
    <row r="53" spans="1:35" ht="14" customHeight="1" x14ac:dyDescent="0.15">
      <c r="A53" s="31"/>
      <c r="B53" s="32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</row>
    <row r="54" spans="1:35" ht="14" customHeight="1" x14ac:dyDescent="0.15">
      <c r="A54" s="31"/>
      <c r="B54" s="32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</row>
    <row r="55" spans="1:35" ht="14" customHeight="1" x14ac:dyDescent="0.15">
      <c r="A55" s="31"/>
      <c r="B55" s="32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  <c r="AB55" s="58"/>
      <c r="AC55" s="58"/>
      <c r="AD55" s="58"/>
      <c r="AE55" s="58"/>
      <c r="AF55" s="58"/>
      <c r="AG55" s="58"/>
      <c r="AH55" s="58"/>
      <c r="AI55" s="58"/>
    </row>
    <row r="56" spans="1:35" ht="14" customHeight="1" x14ac:dyDescent="0.15">
      <c r="A56" s="31"/>
      <c r="B56" s="36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  <c r="AD56" s="58"/>
      <c r="AE56" s="58"/>
      <c r="AF56" s="58"/>
      <c r="AG56" s="58"/>
      <c r="AH56" s="58"/>
      <c r="AI56" s="58"/>
    </row>
    <row r="57" spans="1:35" ht="14" customHeight="1" x14ac:dyDescent="0.15">
      <c r="A57" s="31"/>
      <c r="B57" s="36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  <c r="AI57" s="58"/>
    </row>
    <row r="58" spans="1:35" ht="14" customHeight="1" x14ac:dyDescent="0.15">
      <c r="A58" s="31"/>
      <c r="B58" s="36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</row>
    <row r="59" spans="1:35" ht="14" customHeight="1" x14ac:dyDescent="0.15">
      <c r="A59" s="31"/>
      <c r="B59" s="36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</row>
    <row r="60" spans="1:35" ht="14" customHeight="1" x14ac:dyDescent="0.15">
      <c r="A60" s="31"/>
      <c r="B60" s="36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  <c r="AB60" s="58"/>
      <c r="AC60" s="58"/>
      <c r="AD60" s="58"/>
      <c r="AE60" s="58"/>
      <c r="AF60" s="58"/>
      <c r="AG60" s="58"/>
      <c r="AH60" s="58"/>
      <c r="AI60" s="58"/>
    </row>
    <row r="61" spans="1:35" ht="14" customHeight="1" x14ac:dyDescent="0.15">
      <c r="A61" s="31"/>
      <c r="B61" s="3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</row>
    <row r="62" spans="1:35" ht="14" customHeight="1" x14ac:dyDescent="0.15">
      <c r="A62" s="33"/>
      <c r="B62" s="36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</row>
    <row r="63" spans="1:35" ht="14.5" customHeight="1" x14ac:dyDescent="0.2">
      <c r="A63" s="37"/>
      <c r="B63" s="36"/>
    </row>
    <row r="64" spans="1:35" ht="14" customHeight="1" x14ac:dyDescent="0.15">
      <c r="A64" s="31"/>
      <c r="B64" s="36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</row>
    <row r="65" spans="1:35" ht="14" customHeight="1" x14ac:dyDescent="0.15">
      <c r="A65" s="31"/>
      <c r="B65" s="36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</row>
    <row r="66" spans="1:35" ht="14" customHeight="1" x14ac:dyDescent="0.15">
      <c r="A66" s="31"/>
      <c r="B66" s="36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  <c r="AD66" s="58"/>
      <c r="AE66" s="58"/>
      <c r="AF66" s="58"/>
      <c r="AG66" s="58"/>
      <c r="AH66" s="58"/>
      <c r="AI66" s="58"/>
    </row>
    <row r="67" spans="1:35" ht="14" customHeight="1" x14ac:dyDescent="0.15">
      <c r="A67" s="31"/>
      <c r="B67" s="36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  <c r="AG67" s="58"/>
      <c r="AH67" s="58"/>
      <c r="AI67" s="58"/>
    </row>
    <row r="68" spans="1:35" ht="14" customHeight="1" x14ac:dyDescent="0.15">
      <c r="A68" s="31"/>
      <c r="B68" s="36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</row>
    <row r="69" spans="1:35" ht="14" customHeight="1" x14ac:dyDescent="0.15">
      <c r="A69" s="31"/>
      <c r="B69" s="36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</row>
    <row r="70" spans="1:35" ht="14" customHeight="1" x14ac:dyDescent="0.15">
      <c r="A70" s="31"/>
      <c r="B70" s="36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</row>
    <row r="71" spans="1:35" ht="14" customHeight="1" x14ac:dyDescent="0.15">
      <c r="A71" s="31"/>
      <c r="B71" s="36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</row>
    <row r="72" spans="1:35" ht="14" customHeight="1" x14ac:dyDescent="0.15">
      <c r="A72" s="31"/>
      <c r="B72" s="36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</row>
    <row r="73" spans="1:35" ht="14" customHeight="1" x14ac:dyDescent="0.15">
      <c r="A73" s="31"/>
      <c r="B73" s="36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  <c r="AD73" s="58"/>
      <c r="AE73" s="58"/>
      <c r="AF73" s="58"/>
      <c r="AG73" s="58"/>
      <c r="AH73" s="58"/>
      <c r="AI73" s="58"/>
    </row>
    <row r="74" spans="1:35" ht="14" customHeight="1" x14ac:dyDescent="0.15">
      <c r="A74" s="31"/>
      <c r="B74" s="36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  <c r="AD74" s="58"/>
      <c r="AE74" s="58"/>
      <c r="AF74" s="58"/>
      <c r="AG74" s="58"/>
      <c r="AH74" s="58"/>
      <c r="AI74" s="58"/>
    </row>
    <row r="75" spans="1:35" ht="14" customHeight="1" x14ac:dyDescent="0.15">
      <c r="A75" s="31"/>
      <c r="B75" s="36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</row>
    <row r="76" spans="1:35" ht="14" customHeight="1" x14ac:dyDescent="0.15">
      <c r="A76" s="33"/>
      <c r="B76" s="36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</row>
    <row r="77" spans="1:35" ht="14.5" customHeight="1" x14ac:dyDescent="0.2">
      <c r="A77" s="37"/>
      <c r="B77" s="36"/>
    </row>
    <row r="78" spans="1:35" ht="14.5" customHeight="1" x14ac:dyDescent="0.2">
      <c r="A78" s="37"/>
      <c r="B78" s="36"/>
    </row>
    <row r="79" spans="1:35" ht="14" customHeight="1" x14ac:dyDescent="0.15">
      <c r="A79" s="31"/>
      <c r="B79" s="36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  <c r="AB79" s="58"/>
      <c r="AC79" s="58"/>
      <c r="AD79" s="58"/>
      <c r="AE79" s="58"/>
      <c r="AF79" s="58"/>
      <c r="AG79" s="58"/>
      <c r="AH79" s="58"/>
      <c r="AI79" s="58"/>
    </row>
    <row r="80" spans="1:35" ht="14" customHeight="1" x14ac:dyDescent="0.15">
      <c r="A80" s="31"/>
      <c r="B80" s="36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</row>
    <row r="81" spans="1:35" ht="14" customHeight="1" x14ac:dyDescent="0.15">
      <c r="A81" s="31"/>
      <c r="B81" s="36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</row>
    <row r="82" spans="1:35" ht="14" customHeight="1" x14ac:dyDescent="0.15">
      <c r="A82" s="31"/>
      <c r="B82" s="32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  <c r="AD82" s="58"/>
      <c r="AE82" s="58"/>
      <c r="AF82" s="58"/>
      <c r="AG82" s="58"/>
      <c r="AH82" s="58"/>
      <c r="AI82" s="58"/>
    </row>
    <row r="83" spans="1:35" ht="14" customHeight="1" x14ac:dyDescent="0.15">
      <c r="A83" s="31"/>
      <c r="B83" s="32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  <c r="AB83" s="58"/>
      <c r="AC83" s="58"/>
      <c r="AD83" s="58"/>
      <c r="AE83" s="58"/>
      <c r="AF83" s="58"/>
      <c r="AG83" s="58"/>
      <c r="AH83" s="58"/>
      <c r="AI83" s="58"/>
    </row>
    <row r="84" spans="1:35" ht="14" customHeight="1" x14ac:dyDescent="0.15">
      <c r="A84" s="31"/>
      <c r="B84" s="32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</row>
    <row r="85" spans="1:35" ht="14" customHeight="1" x14ac:dyDescent="0.15">
      <c r="A85" s="31"/>
      <c r="B85" s="32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  <c r="AC85" s="58"/>
      <c r="AD85" s="58"/>
      <c r="AE85" s="58"/>
      <c r="AF85" s="58"/>
      <c r="AG85" s="58"/>
      <c r="AH85" s="58"/>
      <c r="AI85" s="58"/>
    </row>
    <row r="86" spans="1:35" ht="14" customHeight="1" x14ac:dyDescent="0.15">
      <c r="A86" s="31"/>
      <c r="B86" s="32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</row>
    <row r="87" spans="1:35" ht="14" customHeight="1" x14ac:dyDescent="0.15">
      <c r="A87" s="31"/>
      <c r="B87" s="32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  <c r="AC87" s="58"/>
      <c r="AD87" s="58"/>
      <c r="AE87" s="58"/>
      <c r="AF87" s="58"/>
      <c r="AG87" s="58"/>
      <c r="AH87" s="58"/>
      <c r="AI87" s="58"/>
    </row>
    <row r="88" spans="1:35" ht="14" customHeight="1" x14ac:dyDescent="0.15">
      <c r="A88" s="31"/>
      <c r="B88" s="32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  <c r="AB88" s="58"/>
      <c r="AC88" s="58"/>
      <c r="AD88" s="58"/>
      <c r="AE88" s="58"/>
      <c r="AF88" s="58"/>
      <c r="AG88" s="58"/>
      <c r="AH88" s="58"/>
      <c r="AI88" s="58"/>
    </row>
    <row r="89" spans="1:35" ht="14" customHeight="1" x14ac:dyDescent="0.15">
      <c r="A89" s="31"/>
      <c r="B89" s="32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  <c r="AD89" s="58"/>
      <c r="AE89" s="58"/>
      <c r="AF89" s="58"/>
      <c r="AG89" s="58"/>
      <c r="AH89" s="58"/>
      <c r="AI89" s="58"/>
    </row>
    <row r="90" spans="1:35" ht="14.5" customHeight="1" x14ac:dyDescent="0.2">
      <c r="A90" s="38"/>
      <c r="B90" s="32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  <c r="AB90" s="58"/>
      <c r="AC90" s="58"/>
      <c r="AD90" s="58"/>
      <c r="AE90" s="58"/>
      <c r="AF90" s="58"/>
      <c r="AG90" s="58"/>
      <c r="AH90" s="58"/>
      <c r="AI90" s="58"/>
    </row>
    <row r="91" spans="1:35" ht="14.5" customHeight="1" x14ac:dyDescent="0.2">
      <c r="A91" s="35"/>
      <c r="B91" s="32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</row>
    <row r="92" spans="1:35" ht="14" customHeight="1" x14ac:dyDescent="0.15">
      <c r="A92" s="31"/>
      <c r="B92" s="32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</row>
    <row r="93" spans="1:35" ht="14" customHeight="1" x14ac:dyDescent="0.15">
      <c r="A93" s="31"/>
      <c r="B93" s="32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  <c r="AB93" s="58"/>
      <c r="AC93" s="58"/>
      <c r="AD93" s="58"/>
      <c r="AE93" s="58"/>
      <c r="AF93" s="58"/>
      <c r="AG93" s="58"/>
      <c r="AH93" s="58"/>
      <c r="AI93" s="58"/>
    </row>
    <row r="94" spans="1:35" ht="14" customHeight="1" x14ac:dyDescent="0.15">
      <c r="A94" s="31"/>
      <c r="B94" s="32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  <c r="AB94" s="58"/>
      <c r="AC94" s="58"/>
      <c r="AD94" s="58"/>
      <c r="AE94" s="58"/>
      <c r="AF94" s="58"/>
      <c r="AG94" s="58"/>
      <c r="AH94" s="58"/>
      <c r="AI94" s="58"/>
    </row>
    <row r="95" spans="1:35" ht="14.5" customHeight="1" x14ac:dyDescent="0.2">
      <c r="A95" s="37"/>
    </row>
    <row r="96" spans="1:35" ht="14" customHeight="1" x14ac:dyDescent="0.15">
      <c r="A96" s="31"/>
      <c r="B96" s="32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  <c r="AB96" s="58"/>
      <c r="AC96" s="58"/>
      <c r="AD96" s="58"/>
      <c r="AE96" s="58"/>
      <c r="AF96" s="58"/>
      <c r="AG96" s="58"/>
      <c r="AH96" s="58"/>
      <c r="AI96" s="58"/>
    </row>
    <row r="97" spans="1:35" ht="14" customHeight="1" x14ac:dyDescent="0.15">
      <c r="A97" s="31"/>
      <c r="B97" s="32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  <c r="AA97" s="58"/>
      <c r="AB97" s="58"/>
      <c r="AC97" s="58"/>
      <c r="AD97" s="58"/>
      <c r="AE97" s="58"/>
      <c r="AF97" s="58"/>
      <c r="AG97" s="58"/>
      <c r="AH97" s="58"/>
      <c r="AI97" s="58"/>
    </row>
    <row r="98" spans="1:35" ht="14" customHeight="1" x14ac:dyDescent="0.15">
      <c r="A98" s="31"/>
      <c r="B98" s="32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  <c r="AA98" s="58"/>
      <c r="AB98" s="58"/>
      <c r="AC98" s="58"/>
      <c r="AD98" s="58"/>
      <c r="AE98" s="58"/>
      <c r="AF98" s="58"/>
      <c r="AG98" s="58"/>
      <c r="AH98" s="58"/>
      <c r="AI98" s="58"/>
    </row>
    <row r="99" spans="1:35" ht="14" customHeight="1" x14ac:dyDescent="0.15">
      <c r="A99" s="31"/>
      <c r="B99" s="32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  <c r="AA99" s="58"/>
      <c r="AB99" s="58"/>
      <c r="AC99" s="58"/>
      <c r="AD99" s="58"/>
      <c r="AE99" s="58"/>
      <c r="AF99" s="58"/>
      <c r="AG99" s="58"/>
      <c r="AH99" s="58"/>
      <c r="AI99" s="58"/>
    </row>
    <row r="100" spans="1:35" ht="14" customHeight="1" x14ac:dyDescent="0.15">
      <c r="A100" s="31"/>
      <c r="B100" s="32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  <c r="AB100" s="58"/>
      <c r="AC100" s="58"/>
      <c r="AD100" s="58"/>
      <c r="AE100" s="58"/>
      <c r="AF100" s="58"/>
      <c r="AG100" s="58"/>
      <c r="AH100" s="58"/>
      <c r="AI100" s="58"/>
    </row>
    <row r="101" spans="1:35" ht="14" customHeight="1" x14ac:dyDescent="0.15">
      <c r="A101" s="31"/>
      <c r="B101" s="32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  <c r="AA101" s="58"/>
      <c r="AB101" s="58"/>
      <c r="AC101" s="58"/>
      <c r="AD101" s="58"/>
      <c r="AE101" s="58"/>
      <c r="AF101" s="58"/>
      <c r="AG101" s="58"/>
      <c r="AH101" s="58"/>
      <c r="AI101" s="58"/>
    </row>
    <row r="102" spans="1:35" ht="14" customHeight="1" x14ac:dyDescent="0.15">
      <c r="A102" s="31"/>
      <c r="B102" s="32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</row>
    <row r="103" spans="1:35" ht="14" customHeight="1" x14ac:dyDescent="0.15">
      <c r="A103" s="31"/>
      <c r="B103" s="32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  <c r="AA103" s="58"/>
      <c r="AB103" s="58"/>
      <c r="AC103" s="58"/>
      <c r="AD103" s="58"/>
      <c r="AE103" s="58"/>
      <c r="AF103" s="58"/>
      <c r="AG103" s="58"/>
      <c r="AH103" s="58"/>
      <c r="AI103" s="58"/>
    </row>
    <row r="104" spans="1:35" ht="14" customHeight="1" x14ac:dyDescent="0.15">
      <c r="A104" s="31"/>
      <c r="B104" s="32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</row>
    <row r="105" spans="1:35" ht="14" customHeight="1" x14ac:dyDescent="0.15">
      <c r="A105" s="31"/>
      <c r="B105" s="32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  <c r="AH105" s="58"/>
      <c r="AI105" s="58"/>
    </row>
    <row r="106" spans="1:35" ht="14" customHeight="1" x14ac:dyDescent="0.15">
      <c r="A106" s="31"/>
      <c r="B106" s="32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</row>
    <row r="107" spans="1:35" ht="14" customHeight="1" x14ac:dyDescent="0.15">
      <c r="A107" s="33"/>
      <c r="B107" s="34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</row>
    <row r="108" spans="1:35" ht="14.5" customHeight="1" x14ac:dyDescent="0.2">
      <c r="A108" s="29"/>
    </row>
    <row r="109" spans="1:35" ht="14" customHeight="1" x14ac:dyDescent="0.15">
      <c r="A109" s="39"/>
      <c r="B109" s="40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</row>
    <row r="110" spans="1:35" ht="14" customHeight="1" x14ac:dyDescent="0.15">
      <c r="A110" s="39"/>
      <c r="B110" s="40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</row>
    <row r="111" spans="1:35" ht="14" customHeight="1" x14ac:dyDescent="0.15">
      <c r="A111" s="39"/>
      <c r="B111" s="43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</row>
    <row r="112" spans="1:35" ht="14" customHeight="1" x14ac:dyDescent="0.15">
      <c r="A112" s="39"/>
      <c r="B112" s="43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</row>
    <row r="113" spans="1:35" ht="14.5" customHeight="1" x14ac:dyDescent="0.2">
      <c r="A113" s="29"/>
    </row>
    <row r="114" spans="1:35" ht="14" customHeight="1" x14ac:dyDescent="0.15">
      <c r="A114" s="31"/>
      <c r="B114" s="32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</row>
    <row r="115" spans="1:35" ht="14" customHeight="1" x14ac:dyDescent="0.15">
      <c r="A115" s="31"/>
      <c r="B115" s="32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</row>
    <row r="116" spans="1:35" ht="14" customHeight="1" x14ac:dyDescent="0.15">
      <c r="A116" s="31"/>
      <c r="B116" s="32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</row>
    <row r="117" spans="1:35" ht="14" customHeight="1" x14ac:dyDescent="0.15">
      <c r="A117" s="31"/>
      <c r="B117" s="32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</row>
    <row r="118" spans="1:35" ht="14" customHeight="1" x14ac:dyDescent="0.15">
      <c r="A118" s="31"/>
      <c r="B118" s="32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  <c r="AA118" s="58"/>
      <c r="AB118" s="58"/>
      <c r="AC118" s="58"/>
      <c r="AD118" s="58"/>
      <c r="AE118" s="58"/>
      <c r="AF118" s="58"/>
      <c r="AG118" s="58"/>
      <c r="AH118" s="58"/>
      <c r="AI118" s="58"/>
    </row>
    <row r="119" spans="1:35" ht="14" customHeight="1" x14ac:dyDescent="0.15">
      <c r="A119" s="31"/>
      <c r="B119" s="32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  <c r="AA119" s="58"/>
      <c r="AB119" s="58"/>
      <c r="AC119" s="58"/>
      <c r="AD119" s="58"/>
      <c r="AE119" s="58"/>
      <c r="AF119" s="58"/>
      <c r="AG119" s="58"/>
      <c r="AH119" s="58"/>
      <c r="AI119" s="58"/>
    </row>
    <row r="120" spans="1:35" ht="14" customHeight="1" x14ac:dyDescent="0.15">
      <c r="A120" s="31"/>
      <c r="B120" s="32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  <c r="AA120" s="58"/>
      <c r="AB120" s="58"/>
      <c r="AC120" s="58"/>
      <c r="AD120" s="58"/>
      <c r="AE120" s="58"/>
      <c r="AF120" s="58"/>
      <c r="AG120" s="58"/>
      <c r="AH120" s="58"/>
      <c r="AI120" s="58"/>
    </row>
    <row r="121" spans="1:35" ht="14" customHeight="1" x14ac:dyDescent="0.15">
      <c r="A121" s="31"/>
      <c r="B121" s="32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</row>
    <row r="122" spans="1:35" ht="14" customHeight="1" x14ac:dyDescent="0.15">
      <c r="A122" s="31"/>
      <c r="B122" s="32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</row>
    <row r="123" spans="1:35" ht="14" customHeight="1" x14ac:dyDescent="0.15">
      <c r="A123" s="31"/>
      <c r="B123" s="32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</row>
    <row r="124" spans="1:35" ht="14" customHeight="1" x14ac:dyDescent="0.15">
      <c r="A124" s="33"/>
      <c r="B124" s="34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</row>
    <row r="125" spans="1:35" ht="14.5" customHeight="1" x14ac:dyDescent="0.2">
      <c r="A125" s="29"/>
    </row>
    <row r="126" spans="1:35" ht="14.5" customHeight="1" x14ac:dyDescent="0.2">
      <c r="A126" s="35"/>
      <c r="B126" s="32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</row>
    <row r="127" spans="1:35" ht="14" customHeight="1" x14ac:dyDescent="0.15">
      <c r="A127" s="31"/>
      <c r="B127" s="32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</row>
    <row r="128" spans="1:35" ht="14" customHeight="1" x14ac:dyDescent="0.15">
      <c r="A128" s="31"/>
      <c r="B128" s="32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</row>
    <row r="129" spans="1:35" ht="14" customHeight="1" x14ac:dyDescent="0.15">
      <c r="A129" s="31"/>
      <c r="B129" s="32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</row>
    <row r="130" spans="1:35" ht="14" customHeight="1" x14ac:dyDescent="0.15">
      <c r="A130" s="31"/>
      <c r="B130" s="32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</row>
    <row r="131" spans="1:35" ht="14" customHeight="1" x14ac:dyDescent="0.15">
      <c r="A131" s="31"/>
      <c r="B131" s="32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</row>
    <row r="132" spans="1:35" ht="14" customHeight="1" x14ac:dyDescent="0.15">
      <c r="A132" s="31"/>
      <c r="B132" s="32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</row>
    <row r="133" spans="1:35" ht="14" customHeight="1" x14ac:dyDescent="0.15">
      <c r="A133" s="31"/>
      <c r="B133" s="32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</row>
    <row r="134" spans="1:35" ht="14" customHeight="1" x14ac:dyDescent="0.15">
      <c r="A134" s="31"/>
      <c r="B134" s="32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</row>
    <row r="135" spans="1:35" ht="14" customHeight="1" x14ac:dyDescent="0.15">
      <c r="A135" s="31"/>
      <c r="B135" s="32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</row>
    <row r="136" spans="1:35" ht="14" customHeight="1" x14ac:dyDescent="0.15">
      <c r="A136" s="31"/>
      <c r="B136" s="32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</row>
    <row r="137" spans="1:35" ht="14" customHeight="1" x14ac:dyDescent="0.15">
      <c r="A137" s="31"/>
      <c r="B137" s="32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</row>
    <row r="138" spans="1:35" ht="14" customHeight="1" x14ac:dyDescent="0.15">
      <c r="A138" s="31"/>
      <c r="B138" s="32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</row>
    <row r="139" spans="1:35" ht="14" customHeight="1" x14ac:dyDescent="0.15">
      <c r="A139" s="31"/>
      <c r="B139" s="32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</row>
    <row r="140" spans="1:35" ht="14" customHeight="1" x14ac:dyDescent="0.15">
      <c r="A140" s="31"/>
      <c r="B140" s="32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</row>
    <row r="141" spans="1:35" ht="14" customHeight="1" x14ac:dyDescent="0.15">
      <c r="A141" s="31"/>
      <c r="B141" s="32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</row>
    <row r="142" spans="1:35" ht="14" customHeight="1" x14ac:dyDescent="0.15">
      <c r="A142" s="31"/>
      <c r="B142" s="32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</row>
    <row r="143" spans="1:35" ht="14" customHeight="1" x14ac:dyDescent="0.15">
      <c r="A143" s="31"/>
      <c r="B143" s="32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</row>
    <row r="144" spans="1:35" ht="14" customHeight="1" x14ac:dyDescent="0.15">
      <c r="A144" s="31"/>
      <c r="B144" s="32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</row>
    <row r="145" spans="1:35" ht="14" customHeight="1" x14ac:dyDescent="0.15">
      <c r="A145" s="31"/>
      <c r="B145" s="32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</row>
    <row r="146" spans="1:35" ht="14" customHeight="1" x14ac:dyDescent="0.15">
      <c r="A146" s="33"/>
      <c r="B146" s="34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</row>
    <row r="147" spans="1:35" ht="14" customHeight="1" x14ac:dyDescent="0.15">
      <c r="A147" s="31"/>
      <c r="B147" s="32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</row>
    <row r="148" spans="1:35" ht="14" customHeight="1" x14ac:dyDescent="0.15">
      <c r="A148" s="33"/>
      <c r="B148" s="34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</row>
    <row r="149" spans="1:35" ht="14" customHeight="1" x14ac:dyDescent="0.15"/>
    <row r="150" spans="1:35" ht="14" customHeight="1" x14ac:dyDescent="0.15">
      <c r="C150" s="60"/>
      <c r="D150" s="60"/>
      <c r="E150" s="60"/>
      <c r="F150" s="60"/>
      <c r="G150" s="60"/>
      <c r="H150" s="60"/>
      <c r="I150" s="60"/>
      <c r="J150" s="60"/>
      <c r="K150" s="60"/>
      <c r="L150" s="60"/>
    </row>
    <row r="151" spans="1:35" ht="14" customHeight="1" x14ac:dyDescent="0.15">
      <c r="C151" s="60"/>
      <c r="D151" s="60"/>
      <c r="E151" s="60"/>
      <c r="F151" s="60"/>
      <c r="G151" s="60"/>
      <c r="H151" s="60"/>
      <c r="I151" s="60"/>
      <c r="J151" s="60"/>
      <c r="K151" s="60"/>
      <c r="L151" s="60"/>
    </row>
    <row r="152" spans="1:35" ht="14" customHeight="1" x14ac:dyDescent="0.15"/>
    <row r="153" spans="1:35" ht="14" customHeight="1" x14ac:dyDescent="0.15"/>
    <row r="154" spans="1:35" ht="14" customHeight="1" x14ac:dyDescent="0.15"/>
    <row r="155" spans="1:35" ht="14" customHeight="1" x14ac:dyDescent="0.15"/>
    <row r="156" spans="1:35" ht="14" customHeight="1" x14ac:dyDescent="0.15"/>
    <row r="157" spans="1:35" ht="14" customHeight="1" x14ac:dyDescent="0.15"/>
    <row r="158" spans="1:35" ht="14" customHeight="1" x14ac:dyDescent="0.15"/>
    <row r="159" spans="1:35" ht="14" customHeight="1" x14ac:dyDescent="0.15"/>
    <row r="160" spans="1:35" ht="14" customHeight="1" x14ac:dyDescent="0.15"/>
    <row r="161" ht="14" customHeight="1" x14ac:dyDescent="0.15"/>
    <row r="162" ht="14" customHeight="1" x14ac:dyDescent="0.15"/>
    <row r="163" ht="14" customHeight="1" x14ac:dyDescent="0.15"/>
    <row r="164" ht="14" customHeight="1" x14ac:dyDescent="0.15"/>
    <row r="165" ht="14" customHeight="1" x14ac:dyDescent="0.15"/>
    <row r="166" ht="14" customHeight="1" x14ac:dyDescent="0.15"/>
    <row r="167" ht="14" customHeight="1" x14ac:dyDescent="0.15"/>
    <row r="168" ht="14" customHeight="1" x14ac:dyDescent="0.15"/>
    <row r="169" ht="14" customHeight="1" x14ac:dyDescent="0.15"/>
    <row r="170" ht="14" customHeight="1" x14ac:dyDescent="0.15"/>
    <row r="171" ht="14" customHeight="1" x14ac:dyDescent="0.15"/>
    <row r="172" ht="14" customHeight="1" x14ac:dyDescent="0.15"/>
    <row r="173" ht="14" customHeight="1" x14ac:dyDescent="0.15"/>
    <row r="174" ht="14" customHeight="1" x14ac:dyDescent="0.15"/>
    <row r="175" ht="14" customHeight="1" x14ac:dyDescent="0.15"/>
    <row r="176" ht="14" customHeight="1" x14ac:dyDescent="0.15"/>
    <row r="177" ht="14" customHeight="1" x14ac:dyDescent="0.15"/>
    <row r="178" ht="14" customHeight="1" x14ac:dyDescent="0.15"/>
    <row r="179" ht="14" customHeight="1" x14ac:dyDescent="0.15"/>
    <row r="180" ht="14" customHeight="1" x14ac:dyDescent="0.15"/>
    <row r="181" ht="14" customHeight="1" x14ac:dyDescent="0.15"/>
    <row r="182" ht="14" customHeight="1" x14ac:dyDescent="0.15"/>
    <row r="183" ht="14" customHeight="1" x14ac:dyDescent="0.15"/>
    <row r="184" ht="14" customHeight="1" x14ac:dyDescent="0.15"/>
    <row r="185" ht="14" customHeight="1" x14ac:dyDescent="0.15"/>
    <row r="186" ht="14" customHeight="1" x14ac:dyDescent="0.15"/>
    <row r="187" ht="14" customHeight="1" x14ac:dyDescent="0.15"/>
    <row r="188" ht="14" customHeight="1" x14ac:dyDescent="0.15"/>
    <row r="189" ht="14" customHeight="1" x14ac:dyDescent="0.15"/>
    <row r="190" ht="14" customHeight="1" x14ac:dyDescent="0.15"/>
    <row r="191" ht="14" customHeight="1" x14ac:dyDescent="0.15"/>
    <row r="192" ht="14" customHeight="1" x14ac:dyDescent="0.15"/>
    <row r="193" ht="14" customHeight="1" x14ac:dyDescent="0.15"/>
    <row r="194" ht="14" customHeight="1" x14ac:dyDescent="0.15"/>
    <row r="195" ht="14" customHeight="1" x14ac:dyDescent="0.15"/>
    <row r="196" ht="14" customHeight="1" x14ac:dyDescent="0.15"/>
    <row r="197" ht="14" customHeight="1" x14ac:dyDescent="0.15"/>
    <row r="198" ht="14" customHeight="1" x14ac:dyDescent="0.15"/>
    <row r="199" ht="14" customHeight="1" x14ac:dyDescent="0.15"/>
    <row r="200" ht="14" customHeight="1" x14ac:dyDescent="0.15"/>
    <row r="201" ht="14" customHeight="1" x14ac:dyDescent="0.15"/>
    <row r="202" ht="14" customHeight="1" x14ac:dyDescent="0.15"/>
    <row r="203" ht="14" customHeight="1" x14ac:dyDescent="0.15"/>
    <row r="204" ht="14" customHeight="1" x14ac:dyDescent="0.15"/>
    <row r="205" ht="14" customHeight="1" x14ac:dyDescent="0.15"/>
    <row r="206" ht="14" customHeight="1" x14ac:dyDescent="0.15"/>
    <row r="207" ht="14" customHeight="1" x14ac:dyDescent="0.15"/>
    <row r="208" ht="14" customHeight="1" x14ac:dyDescent="0.15"/>
    <row r="209" ht="14" customHeight="1" x14ac:dyDescent="0.15"/>
    <row r="210" ht="14" customHeight="1" x14ac:dyDescent="0.15"/>
    <row r="211" ht="14" customHeight="1" x14ac:dyDescent="0.15"/>
    <row r="212" ht="14" customHeight="1" x14ac:dyDescent="0.15"/>
    <row r="213" ht="14" customHeight="1" x14ac:dyDescent="0.15"/>
    <row r="214" ht="14" customHeight="1" x14ac:dyDescent="0.15"/>
    <row r="215" ht="14" customHeight="1" x14ac:dyDescent="0.15"/>
    <row r="216" ht="14" customHeight="1" x14ac:dyDescent="0.15"/>
    <row r="217" ht="14" customHeight="1" x14ac:dyDescent="0.15"/>
    <row r="218" ht="14" customHeight="1" x14ac:dyDescent="0.15"/>
    <row r="219" ht="14" customHeight="1" x14ac:dyDescent="0.15"/>
    <row r="220" ht="14" customHeight="1" x14ac:dyDescent="0.15"/>
    <row r="221" ht="14" customHeight="1" x14ac:dyDescent="0.15"/>
    <row r="222" ht="14" customHeight="1" x14ac:dyDescent="0.15"/>
    <row r="223" ht="14" customHeight="1" x14ac:dyDescent="0.15"/>
    <row r="224" ht="14" customHeight="1" x14ac:dyDescent="0.15"/>
    <row r="225" ht="14" customHeight="1" x14ac:dyDescent="0.15"/>
    <row r="226" ht="14" customHeight="1" x14ac:dyDescent="0.15"/>
    <row r="227" ht="14" customHeight="1" x14ac:dyDescent="0.15"/>
    <row r="228" ht="14" customHeight="1" x14ac:dyDescent="0.15"/>
    <row r="229" ht="14" customHeight="1" x14ac:dyDescent="0.15"/>
    <row r="230" ht="14" customHeight="1" x14ac:dyDescent="0.15"/>
    <row r="231" ht="14" customHeight="1" x14ac:dyDescent="0.15"/>
    <row r="232" ht="14" customHeight="1" x14ac:dyDescent="0.15"/>
    <row r="233" ht="14" customHeight="1" x14ac:dyDescent="0.15"/>
    <row r="234" ht="14" customHeight="1" x14ac:dyDescent="0.15"/>
    <row r="235" ht="14" customHeight="1" x14ac:dyDescent="0.15"/>
    <row r="236" ht="14" customHeight="1" x14ac:dyDescent="0.15"/>
    <row r="237" ht="14" customHeight="1" x14ac:dyDescent="0.15"/>
    <row r="238" ht="14" customHeight="1" x14ac:dyDescent="0.15"/>
    <row r="239" ht="14" customHeight="1" x14ac:dyDescent="0.15"/>
    <row r="240" ht="14" customHeight="1" x14ac:dyDescent="0.15"/>
    <row r="241" ht="14" customHeight="1" x14ac:dyDescent="0.15"/>
    <row r="242" ht="14" customHeight="1" x14ac:dyDescent="0.15"/>
    <row r="243" ht="14" customHeight="1" x14ac:dyDescent="0.15"/>
    <row r="244" ht="14" customHeight="1" x14ac:dyDescent="0.15"/>
    <row r="245" ht="14" customHeight="1" x14ac:dyDescent="0.15"/>
    <row r="246" ht="14" customHeight="1" x14ac:dyDescent="0.15"/>
    <row r="247" ht="14" customHeight="1" x14ac:dyDescent="0.15"/>
    <row r="248" ht="14" customHeight="1" x14ac:dyDescent="0.15"/>
    <row r="249" ht="14" customHeight="1" x14ac:dyDescent="0.15"/>
    <row r="250" ht="14" customHeight="1" x14ac:dyDescent="0.15"/>
    <row r="251" ht="14" customHeight="1" x14ac:dyDescent="0.15"/>
    <row r="252" ht="14" customHeight="1" x14ac:dyDescent="0.15"/>
    <row r="253" ht="14" customHeight="1" x14ac:dyDescent="0.15"/>
    <row r="254" ht="14" customHeight="1" x14ac:dyDescent="0.15"/>
    <row r="255" ht="14" customHeight="1" x14ac:dyDescent="0.15"/>
    <row r="256" ht="14" customHeight="1" x14ac:dyDescent="0.15"/>
    <row r="257" ht="14" customHeight="1" x14ac:dyDescent="0.15"/>
    <row r="258" ht="14" customHeight="1" x14ac:dyDescent="0.15"/>
    <row r="259" ht="14" customHeight="1" x14ac:dyDescent="0.15"/>
    <row r="260" ht="14" customHeight="1" x14ac:dyDescent="0.15"/>
    <row r="261" ht="14" customHeight="1" x14ac:dyDescent="0.15"/>
    <row r="262" ht="14" customHeight="1" x14ac:dyDescent="0.15"/>
    <row r="263" ht="14" customHeight="1" x14ac:dyDescent="0.15"/>
    <row r="264" ht="14" customHeight="1" x14ac:dyDescent="0.15"/>
    <row r="265" ht="14" customHeight="1" x14ac:dyDescent="0.15"/>
    <row r="266" ht="14" customHeight="1" x14ac:dyDescent="0.15"/>
    <row r="267" ht="14" customHeight="1" x14ac:dyDescent="0.15"/>
    <row r="268" ht="14" customHeight="1" x14ac:dyDescent="0.15"/>
    <row r="269" ht="14" customHeight="1" x14ac:dyDescent="0.15"/>
    <row r="270" ht="14" customHeight="1" x14ac:dyDescent="0.15"/>
    <row r="271" ht="14" customHeight="1" x14ac:dyDescent="0.15"/>
    <row r="272" ht="14" customHeight="1" x14ac:dyDescent="0.15"/>
    <row r="273" ht="14" customHeight="1" x14ac:dyDescent="0.15"/>
    <row r="274" ht="14" customHeight="1" x14ac:dyDescent="0.15"/>
    <row r="275" ht="14" customHeight="1" x14ac:dyDescent="0.15"/>
    <row r="276" ht="14" customHeight="1" x14ac:dyDescent="0.15"/>
    <row r="277" ht="14" customHeight="1" x14ac:dyDescent="0.15"/>
    <row r="278" ht="14" customHeight="1" x14ac:dyDescent="0.15"/>
    <row r="279" ht="14" customHeight="1" x14ac:dyDescent="0.15"/>
    <row r="280" ht="14" customHeight="1" x14ac:dyDescent="0.15"/>
    <row r="281" ht="14" customHeight="1" x14ac:dyDescent="0.15"/>
    <row r="282" ht="14" customHeight="1" x14ac:dyDescent="0.15"/>
    <row r="283" ht="14" customHeight="1" x14ac:dyDescent="0.15"/>
    <row r="284" ht="14" customHeight="1" x14ac:dyDescent="0.15"/>
    <row r="285" ht="14" customHeight="1" x14ac:dyDescent="0.15"/>
    <row r="286" ht="14" customHeight="1" x14ac:dyDescent="0.15"/>
    <row r="287" ht="14" customHeight="1" x14ac:dyDescent="0.15"/>
    <row r="288" ht="14" customHeight="1" x14ac:dyDescent="0.15"/>
    <row r="289" ht="14" customHeight="1" x14ac:dyDescent="0.15"/>
    <row r="290" ht="14" customHeight="1" x14ac:dyDescent="0.15"/>
    <row r="291" ht="14" customHeight="1" x14ac:dyDescent="0.15"/>
    <row r="292" ht="14" customHeight="1" x14ac:dyDescent="0.15"/>
    <row r="293" ht="14" customHeight="1" x14ac:dyDescent="0.15"/>
    <row r="294" ht="14" customHeight="1" x14ac:dyDescent="0.15"/>
    <row r="295" ht="14" customHeight="1" x14ac:dyDescent="0.15"/>
    <row r="296" ht="14" customHeight="1" x14ac:dyDescent="0.15"/>
    <row r="297" ht="14" customHeight="1" x14ac:dyDescent="0.15"/>
    <row r="298" ht="14" customHeight="1" x14ac:dyDescent="0.15"/>
    <row r="299" ht="14" customHeight="1" x14ac:dyDescent="0.15"/>
    <row r="300" ht="14" customHeight="1" x14ac:dyDescent="0.15"/>
    <row r="301" ht="14" customHeight="1" x14ac:dyDescent="0.15"/>
    <row r="302" ht="14" customHeight="1" x14ac:dyDescent="0.15"/>
    <row r="303" ht="14" customHeight="1" x14ac:dyDescent="0.15"/>
    <row r="304" ht="14" customHeight="1" x14ac:dyDescent="0.15"/>
    <row r="305" ht="14" customHeight="1" x14ac:dyDescent="0.15"/>
    <row r="306" ht="14" customHeight="1" x14ac:dyDescent="0.15"/>
    <row r="307" ht="14" customHeight="1" x14ac:dyDescent="0.15"/>
    <row r="308" ht="14" customHeight="1" x14ac:dyDescent="0.15"/>
    <row r="309" ht="14" customHeight="1" x14ac:dyDescent="0.15"/>
    <row r="310" ht="14" customHeight="1" x14ac:dyDescent="0.15"/>
    <row r="311" ht="14" customHeight="1" x14ac:dyDescent="0.15"/>
    <row r="312" ht="14" customHeight="1" x14ac:dyDescent="0.15"/>
    <row r="313" ht="14" customHeight="1" x14ac:dyDescent="0.15"/>
    <row r="314" ht="14" customHeight="1" x14ac:dyDescent="0.15"/>
    <row r="315" ht="14" customHeight="1" x14ac:dyDescent="0.15"/>
    <row r="316" ht="14" customHeight="1" x14ac:dyDescent="0.15"/>
    <row r="317" ht="14" customHeight="1" x14ac:dyDescent="0.15"/>
    <row r="318" ht="14" customHeight="1" x14ac:dyDescent="0.15"/>
    <row r="319" ht="14" customHeight="1" x14ac:dyDescent="0.15"/>
    <row r="320" ht="14" customHeight="1" x14ac:dyDescent="0.15"/>
    <row r="321" ht="14" customHeight="1" x14ac:dyDescent="0.15"/>
    <row r="322" ht="14" customHeight="1" x14ac:dyDescent="0.15"/>
    <row r="323" ht="14" customHeight="1" x14ac:dyDescent="0.15"/>
    <row r="324" ht="14" customHeight="1" x14ac:dyDescent="0.15"/>
    <row r="325" ht="14" customHeight="1" x14ac:dyDescent="0.15"/>
    <row r="326" ht="14" customHeight="1" x14ac:dyDescent="0.15"/>
    <row r="327" ht="14" customHeight="1" x14ac:dyDescent="0.15"/>
    <row r="328" ht="14" customHeight="1" x14ac:dyDescent="0.15"/>
    <row r="329" ht="14" customHeight="1" x14ac:dyDescent="0.15"/>
    <row r="330" ht="14" customHeight="1" x14ac:dyDescent="0.15"/>
    <row r="331" ht="14" customHeight="1" x14ac:dyDescent="0.15"/>
    <row r="332" ht="14" customHeight="1" x14ac:dyDescent="0.15"/>
    <row r="333" ht="14" customHeight="1" x14ac:dyDescent="0.15"/>
    <row r="334" ht="14" customHeight="1" x14ac:dyDescent="0.15"/>
    <row r="335" ht="14" customHeight="1" x14ac:dyDescent="0.15"/>
    <row r="336" ht="14" customHeight="1" x14ac:dyDescent="0.15"/>
    <row r="337" ht="14" customHeight="1" x14ac:dyDescent="0.15"/>
    <row r="338" ht="14" customHeight="1" x14ac:dyDescent="0.15"/>
    <row r="339" ht="14" customHeight="1" x14ac:dyDescent="0.15"/>
    <row r="340" ht="14" customHeight="1" x14ac:dyDescent="0.15"/>
    <row r="341" ht="14" customHeight="1" x14ac:dyDescent="0.15"/>
    <row r="342" ht="14" customHeight="1" x14ac:dyDescent="0.15"/>
    <row r="343" ht="14" customHeight="1" x14ac:dyDescent="0.15"/>
    <row r="344" ht="14" customHeight="1" x14ac:dyDescent="0.15"/>
    <row r="345" ht="14" customHeight="1" x14ac:dyDescent="0.15"/>
    <row r="346" ht="14" customHeight="1" x14ac:dyDescent="0.15"/>
    <row r="347" ht="14" customHeight="1" x14ac:dyDescent="0.15"/>
    <row r="348" ht="14" customHeight="1" x14ac:dyDescent="0.15"/>
    <row r="349" ht="14" customHeight="1" x14ac:dyDescent="0.15"/>
    <row r="350" ht="14" customHeight="1" x14ac:dyDescent="0.15"/>
    <row r="351" ht="14" customHeight="1" x14ac:dyDescent="0.15"/>
    <row r="352" ht="14" customHeight="1" x14ac:dyDescent="0.15"/>
    <row r="353" ht="14" customHeight="1" x14ac:dyDescent="0.15"/>
    <row r="354" ht="14" customHeight="1" x14ac:dyDescent="0.15"/>
    <row r="355" ht="14" customHeight="1" x14ac:dyDescent="0.15"/>
    <row r="356" ht="14" customHeight="1" x14ac:dyDescent="0.15"/>
    <row r="357" ht="14" customHeight="1" x14ac:dyDescent="0.15"/>
    <row r="358" ht="14" customHeight="1" x14ac:dyDescent="0.15"/>
    <row r="359" ht="14" customHeight="1" x14ac:dyDescent="0.15"/>
    <row r="360" ht="14" customHeight="1" x14ac:dyDescent="0.15"/>
    <row r="361" ht="14" customHeight="1" x14ac:dyDescent="0.15"/>
    <row r="362" ht="14" customHeight="1" x14ac:dyDescent="0.15"/>
    <row r="363" ht="14" customHeight="1" x14ac:dyDescent="0.15"/>
    <row r="364" ht="14" customHeight="1" x14ac:dyDescent="0.15"/>
    <row r="365" ht="14" customHeight="1" x14ac:dyDescent="0.15"/>
    <row r="366" ht="14" customHeight="1" x14ac:dyDescent="0.15"/>
    <row r="367" ht="14" customHeight="1" x14ac:dyDescent="0.15"/>
    <row r="368" ht="14" customHeight="1" x14ac:dyDescent="0.15"/>
    <row r="369" ht="14" customHeight="1" x14ac:dyDescent="0.15"/>
    <row r="370" ht="14" customHeight="1" x14ac:dyDescent="0.15"/>
    <row r="371" ht="14" customHeight="1" x14ac:dyDescent="0.15"/>
    <row r="372" ht="14" customHeight="1" x14ac:dyDescent="0.15"/>
    <row r="373" ht="14" customHeight="1" x14ac:dyDescent="0.15"/>
    <row r="374" ht="14" customHeight="1" x14ac:dyDescent="0.15"/>
    <row r="375" ht="14" customHeight="1" x14ac:dyDescent="0.15"/>
    <row r="376" ht="14" customHeight="1" x14ac:dyDescent="0.15"/>
    <row r="377" ht="14" customHeight="1" x14ac:dyDescent="0.15"/>
    <row r="378" ht="14" customHeight="1" x14ac:dyDescent="0.15"/>
    <row r="379" ht="14" customHeight="1" x14ac:dyDescent="0.15"/>
    <row r="380" ht="14" customHeight="1" x14ac:dyDescent="0.15"/>
    <row r="381" ht="14" customHeight="1" x14ac:dyDescent="0.15"/>
    <row r="382" ht="14" customHeight="1" x14ac:dyDescent="0.15"/>
    <row r="383" ht="14" customHeight="1" x14ac:dyDescent="0.15"/>
    <row r="384" ht="14" customHeight="1" x14ac:dyDescent="0.15"/>
    <row r="385" ht="14" customHeight="1" x14ac:dyDescent="0.15"/>
    <row r="386" ht="14" customHeight="1" x14ac:dyDescent="0.15"/>
    <row r="387" ht="14" customHeight="1" x14ac:dyDescent="0.15"/>
    <row r="388" ht="14" customHeight="1" x14ac:dyDescent="0.15"/>
    <row r="389" ht="14" customHeight="1" x14ac:dyDescent="0.15"/>
    <row r="390" ht="14" customHeight="1" x14ac:dyDescent="0.15"/>
    <row r="391" ht="14" customHeight="1" x14ac:dyDescent="0.15"/>
    <row r="392" ht="14" customHeight="1" x14ac:dyDescent="0.15"/>
    <row r="393" ht="14" customHeight="1" x14ac:dyDescent="0.15"/>
    <row r="394" ht="14" customHeight="1" x14ac:dyDescent="0.15"/>
    <row r="395" ht="14" customHeight="1" x14ac:dyDescent="0.15"/>
    <row r="396" ht="14" customHeight="1" x14ac:dyDescent="0.15"/>
    <row r="397" ht="14" customHeight="1" x14ac:dyDescent="0.15"/>
    <row r="398" ht="14" customHeight="1" x14ac:dyDescent="0.15"/>
    <row r="399" ht="14" customHeight="1" x14ac:dyDescent="0.15"/>
    <row r="400" ht="14" customHeight="1" x14ac:dyDescent="0.15"/>
    <row r="401" ht="14" customHeight="1" x14ac:dyDescent="0.15"/>
    <row r="402" ht="14" customHeight="1" x14ac:dyDescent="0.15"/>
    <row r="403" ht="14" customHeight="1" x14ac:dyDescent="0.15"/>
    <row r="404" ht="14" customHeight="1" x14ac:dyDescent="0.15"/>
    <row r="405" ht="14" customHeight="1" x14ac:dyDescent="0.15"/>
    <row r="406" ht="14" customHeight="1" x14ac:dyDescent="0.15"/>
    <row r="407" ht="14" customHeight="1" x14ac:dyDescent="0.15"/>
    <row r="408" ht="14" customHeight="1" x14ac:dyDescent="0.15"/>
    <row r="409" ht="14" customHeight="1" x14ac:dyDescent="0.15"/>
    <row r="410" ht="14" customHeight="1" x14ac:dyDescent="0.15"/>
    <row r="411" ht="14" customHeight="1" x14ac:dyDescent="0.15"/>
    <row r="412" ht="14" customHeight="1" x14ac:dyDescent="0.15"/>
    <row r="413" ht="14" customHeight="1" x14ac:dyDescent="0.15"/>
    <row r="414" ht="14" customHeight="1" x14ac:dyDescent="0.15"/>
    <row r="415" ht="14" customHeight="1" x14ac:dyDescent="0.15"/>
    <row r="416" ht="14" customHeight="1" x14ac:dyDescent="0.15"/>
    <row r="417" ht="14" customHeight="1" x14ac:dyDescent="0.15"/>
    <row r="418" ht="14" customHeight="1" x14ac:dyDescent="0.15"/>
    <row r="419" ht="14" customHeight="1" x14ac:dyDescent="0.15"/>
    <row r="420" ht="14" customHeight="1" x14ac:dyDescent="0.15"/>
    <row r="421" ht="14" customHeight="1" x14ac:dyDescent="0.15"/>
    <row r="422" ht="14" customHeight="1" x14ac:dyDescent="0.15"/>
    <row r="423" ht="14" customHeight="1" x14ac:dyDescent="0.15"/>
    <row r="424" ht="14" customHeight="1" x14ac:dyDescent="0.15"/>
    <row r="425" ht="14" customHeight="1" x14ac:dyDescent="0.15"/>
    <row r="426" ht="14" customHeight="1" x14ac:dyDescent="0.15"/>
    <row r="427" ht="14" customHeight="1" x14ac:dyDescent="0.15"/>
    <row r="428" ht="14" customHeight="1" x14ac:dyDescent="0.15"/>
    <row r="429" ht="14" customHeight="1" x14ac:dyDescent="0.15"/>
    <row r="430" ht="14" customHeight="1" x14ac:dyDescent="0.15"/>
    <row r="431" ht="14" customHeight="1" x14ac:dyDescent="0.15"/>
    <row r="432" ht="14" customHeight="1" x14ac:dyDescent="0.15"/>
    <row r="433" ht="14" customHeight="1" x14ac:dyDescent="0.15"/>
    <row r="434" ht="14" customHeight="1" x14ac:dyDescent="0.15"/>
    <row r="435" ht="14" customHeight="1" x14ac:dyDescent="0.15"/>
    <row r="436" ht="14" customHeight="1" x14ac:dyDescent="0.15"/>
    <row r="437" ht="14" customHeight="1" x14ac:dyDescent="0.15"/>
    <row r="438" ht="14" customHeight="1" x14ac:dyDescent="0.15"/>
    <row r="439" ht="14" customHeight="1" x14ac:dyDescent="0.15"/>
    <row r="440" ht="14" customHeight="1" x14ac:dyDescent="0.15"/>
    <row r="441" ht="14" customHeight="1" x14ac:dyDescent="0.15"/>
    <row r="442" ht="14" customHeight="1" x14ac:dyDescent="0.15"/>
    <row r="443" ht="14" customHeight="1" x14ac:dyDescent="0.15"/>
    <row r="444" ht="14" customHeight="1" x14ac:dyDescent="0.15"/>
    <row r="445" ht="14" customHeight="1" x14ac:dyDescent="0.15"/>
    <row r="446" ht="14" customHeight="1" x14ac:dyDescent="0.15"/>
    <row r="447" ht="14" customHeight="1" x14ac:dyDescent="0.15"/>
    <row r="448" ht="14" customHeight="1" x14ac:dyDescent="0.15"/>
    <row r="449" ht="14" customHeight="1" x14ac:dyDescent="0.15"/>
    <row r="450" ht="14" customHeight="1" x14ac:dyDescent="0.15"/>
    <row r="451" ht="14" customHeight="1" x14ac:dyDescent="0.15"/>
    <row r="452" ht="14" customHeight="1" x14ac:dyDescent="0.15"/>
    <row r="453" ht="14" customHeight="1" x14ac:dyDescent="0.15"/>
    <row r="454" ht="14" customHeight="1" x14ac:dyDescent="0.15"/>
    <row r="455" ht="14" customHeight="1" x14ac:dyDescent="0.15"/>
    <row r="456" ht="14" customHeight="1" x14ac:dyDescent="0.15"/>
    <row r="457" ht="14" customHeight="1" x14ac:dyDescent="0.15"/>
    <row r="458" ht="14" customHeight="1" x14ac:dyDescent="0.15"/>
    <row r="459" ht="14" customHeight="1" x14ac:dyDescent="0.15"/>
    <row r="460" ht="14" customHeight="1" x14ac:dyDescent="0.15"/>
    <row r="461" ht="14" customHeight="1" x14ac:dyDescent="0.15"/>
    <row r="462" ht="14" customHeight="1" x14ac:dyDescent="0.15"/>
    <row r="463" ht="14" customHeight="1" x14ac:dyDescent="0.15"/>
    <row r="464" ht="14" customHeight="1" x14ac:dyDescent="0.15"/>
    <row r="465" ht="14" customHeight="1" x14ac:dyDescent="0.15"/>
    <row r="466" ht="14" customHeight="1" x14ac:dyDescent="0.15"/>
    <row r="467" ht="14" customHeight="1" x14ac:dyDescent="0.15"/>
    <row r="468" ht="14" customHeight="1" x14ac:dyDescent="0.15"/>
    <row r="469" ht="14" customHeight="1" x14ac:dyDescent="0.15"/>
    <row r="470" ht="14" customHeight="1" x14ac:dyDescent="0.15"/>
    <row r="471" ht="14" customHeight="1" x14ac:dyDescent="0.15"/>
    <row r="472" ht="14" customHeight="1" x14ac:dyDescent="0.15"/>
    <row r="473" ht="14" customHeight="1" x14ac:dyDescent="0.15"/>
    <row r="474" ht="14" customHeight="1" x14ac:dyDescent="0.15"/>
    <row r="475" ht="14" customHeight="1" x14ac:dyDescent="0.15"/>
    <row r="476" ht="14" customHeight="1" x14ac:dyDescent="0.15"/>
    <row r="477" ht="14" customHeight="1" x14ac:dyDescent="0.15"/>
    <row r="478" ht="14" customHeight="1" x14ac:dyDescent="0.15"/>
    <row r="479" ht="14" customHeight="1" x14ac:dyDescent="0.15"/>
    <row r="480" ht="14" customHeight="1" x14ac:dyDescent="0.15"/>
    <row r="481" ht="14" customHeight="1" x14ac:dyDescent="0.15"/>
    <row r="482" ht="14" customHeight="1" x14ac:dyDescent="0.15"/>
    <row r="483" ht="14" customHeight="1" x14ac:dyDescent="0.15"/>
    <row r="484" ht="14" customHeight="1" x14ac:dyDescent="0.15"/>
    <row r="485" ht="14" customHeight="1" x14ac:dyDescent="0.15"/>
    <row r="486" ht="14" customHeight="1" x14ac:dyDescent="0.15"/>
    <row r="487" ht="14" customHeight="1" x14ac:dyDescent="0.15"/>
    <row r="488" ht="14" customHeight="1" x14ac:dyDescent="0.15"/>
    <row r="489" ht="14" customHeight="1" x14ac:dyDescent="0.15"/>
    <row r="490" ht="14" customHeight="1" x14ac:dyDescent="0.15"/>
    <row r="491" ht="14" customHeight="1" x14ac:dyDescent="0.15"/>
    <row r="492" ht="14" customHeight="1" x14ac:dyDescent="0.15"/>
    <row r="493" ht="14" customHeight="1" x14ac:dyDescent="0.15"/>
    <row r="494" ht="14" customHeight="1" x14ac:dyDescent="0.15"/>
    <row r="495" ht="14" customHeight="1" x14ac:dyDescent="0.15"/>
    <row r="496" ht="14" customHeight="1" x14ac:dyDescent="0.15"/>
    <row r="497" ht="14" customHeight="1" x14ac:dyDescent="0.15"/>
    <row r="498" ht="14" customHeight="1" x14ac:dyDescent="0.15"/>
    <row r="499" ht="14" customHeight="1" x14ac:dyDescent="0.15"/>
    <row r="500" ht="14" customHeight="1" x14ac:dyDescent="0.15"/>
    <row r="501" ht="14" customHeight="1" x14ac:dyDescent="0.15"/>
    <row r="502" ht="14" customHeight="1" x14ac:dyDescent="0.15"/>
    <row r="503" ht="14" customHeight="1" x14ac:dyDescent="0.15"/>
    <row r="504" ht="14" customHeight="1" x14ac:dyDescent="0.15"/>
    <row r="505" ht="14" customHeight="1" x14ac:dyDescent="0.15"/>
    <row r="506" ht="14" customHeight="1" x14ac:dyDescent="0.15"/>
    <row r="507" ht="14" customHeight="1" x14ac:dyDescent="0.15"/>
    <row r="508" ht="14" customHeight="1" x14ac:dyDescent="0.15"/>
    <row r="509" ht="14" customHeight="1" x14ac:dyDescent="0.15"/>
    <row r="510" ht="14" customHeight="1" x14ac:dyDescent="0.15"/>
    <row r="511" ht="14" customHeight="1" x14ac:dyDescent="0.15"/>
    <row r="512" ht="14" customHeight="1" x14ac:dyDescent="0.15"/>
    <row r="513" ht="14" customHeight="1" x14ac:dyDescent="0.15"/>
    <row r="514" ht="14" customHeight="1" x14ac:dyDescent="0.15"/>
    <row r="515" ht="14" customHeight="1" x14ac:dyDescent="0.15"/>
    <row r="516" ht="14" customHeight="1" x14ac:dyDescent="0.15"/>
    <row r="517" ht="14" customHeight="1" x14ac:dyDescent="0.15"/>
    <row r="518" ht="14" customHeight="1" x14ac:dyDescent="0.15"/>
    <row r="519" ht="14" customHeight="1" x14ac:dyDescent="0.15"/>
    <row r="520" ht="14" customHeight="1" x14ac:dyDescent="0.15"/>
    <row r="521" ht="14" customHeight="1" x14ac:dyDescent="0.15"/>
    <row r="522" ht="14" customHeight="1" x14ac:dyDescent="0.15"/>
    <row r="523" ht="14" customHeight="1" x14ac:dyDescent="0.15"/>
    <row r="524" ht="14" customHeight="1" x14ac:dyDescent="0.15"/>
    <row r="525" ht="14" customHeight="1" x14ac:dyDescent="0.15"/>
    <row r="526" ht="14" customHeight="1" x14ac:dyDescent="0.15"/>
    <row r="527" ht="14" customHeight="1" x14ac:dyDescent="0.15"/>
    <row r="528" ht="14" customHeight="1" x14ac:dyDescent="0.15"/>
    <row r="529" ht="14" customHeight="1" x14ac:dyDescent="0.15"/>
    <row r="530" ht="14" customHeight="1" x14ac:dyDescent="0.15"/>
    <row r="531" ht="14" customHeight="1" x14ac:dyDescent="0.15"/>
    <row r="532" ht="14" customHeight="1" x14ac:dyDescent="0.15"/>
    <row r="533" ht="14" customHeight="1" x14ac:dyDescent="0.15"/>
    <row r="534" ht="14" customHeight="1" x14ac:dyDescent="0.15"/>
    <row r="535" ht="14" customHeight="1" x14ac:dyDescent="0.15"/>
    <row r="536" ht="14" customHeight="1" x14ac:dyDescent="0.15"/>
    <row r="537" ht="14" customHeight="1" x14ac:dyDescent="0.15"/>
    <row r="538" ht="14" customHeight="1" x14ac:dyDescent="0.15"/>
    <row r="539" ht="14" customHeight="1" x14ac:dyDescent="0.15"/>
    <row r="540" ht="14" customHeight="1" x14ac:dyDescent="0.15"/>
    <row r="541" ht="14" customHeight="1" x14ac:dyDescent="0.15"/>
    <row r="542" ht="14" customHeight="1" x14ac:dyDescent="0.15"/>
    <row r="543" ht="14" customHeight="1" x14ac:dyDescent="0.15"/>
    <row r="544" ht="14" customHeight="1" x14ac:dyDescent="0.15"/>
    <row r="545" ht="14" customHeight="1" x14ac:dyDescent="0.15"/>
    <row r="546" ht="14" customHeight="1" x14ac:dyDescent="0.15"/>
    <row r="547" ht="14" customHeight="1" x14ac:dyDescent="0.15"/>
    <row r="548" ht="14" customHeight="1" x14ac:dyDescent="0.15"/>
    <row r="549" ht="14" customHeight="1" x14ac:dyDescent="0.15"/>
    <row r="550" ht="14" customHeight="1" x14ac:dyDescent="0.15"/>
    <row r="551" ht="14" customHeight="1" x14ac:dyDescent="0.15"/>
    <row r="552" ht="14" customHeight="1" x14ac:dyDescent="0.15"/>
    <row r="553" ht="14" customHeight="1" x14ac:dyDescent="0.15"/>
    <row r="554" ht="14" customHeight="1" x14ac:dyDescent="0.15"/>
    <row r="555" ht="14" customHeight="1" x14ac:dyDescent="0.15"/>
    <row r="556" ht="14" customHeight="1" x14ac:dyDescent="0.15"/>
    <row r="557" ht="14" customHeight="1" x14ac:dyDescent="0.15"/>
    <row r="558" ht="14" customHeight="1" x14ac:dyDescent="0.15"/>
    <row r="559" ht="14" customHeight="1" x14ac:dyDescent="0.15"/>
    <row r="560" ht="14" customHeight="1" x14ac:dyDescent="0.15"/>
    <row r="561" ht="14" customHeight="1" x14ac:dyDescent="0.15"/>
    <row r="562" ht="14" customHeight="1" x14ac:dyDescent="0.15"/>
    <row r="563" ht="14" customHeight="1" x14ac:dyDescent="0.15"/>
    <row r="564" ht="14" customHeight="1" x14ac:dyDescent="0.15"/>
    <row r="565" ht="14" customHeight="1" x14ac:dyDescent="0.15"/>
    <row r="566" ht="14" customHeight="1" x14ac:dyDescent="0.15"/>
    <row r="567" ht="14" customHeight="1" x14ac:dyDescent="0.15"/>
    <row r="568" ht="14" customHeight="1" x14ac:dyDescent="0.15"/>
    <row r="569" ht="14" customHeight="1" x14ac:dyDescent="0.15"/>
    <row r="570" ht="14" customHeight="1" x14ac:dyDescent="0.15"/>
    <row r="571" ht="14" customHeight="1" x14ac:dyDescent="0.15"/>
    <row r="572" ht="14" customHeight="1" x14ac:dyDescent="0.15"/>
    <row r="573" ht="14" customHeight="1" x14ac:dyDescent="0.15"/>
    <row r="574" ht="14" customHeight="1" x14ac:dyDescent="0.15"/>
    <row r="575" ht="14" customHeight="1" x14ac:dyDescent="0.15"/>
    <row r="576" ht="14" customHeight="1" x14ac:dyDescent="0.15"/>
    <row r="577" ht="14" customHeight="1" x14ac:dyDescent="0.15"/>
    <row r="578" ht="14" customHeight="1" x14ac:dyDescent="0.15"/>
    <row r="579" ht="14" customHeight="1" x14ac:dyDescent="0.15"/>
    <row r="580" ht="14" customHeight="1" x14ac:dyDescent="0.15"/>
    <row r="581" ht="14" customHeight="1" x14ac:dyDescent="0.15"/>
    <row r="582" ht="14" customHeight="1" x14ac:dyDescent="0.15"/>
    <row r="583" ht="14" customHeight="1" x14ac:dyDescent="0.15"/>
    <row r="584" ht="14" customHeight="1" x14ac:dyDescent="0.15"/>
    <row r="585" ht="14" customHeight="1" x14ac:dyDescent="0.15"/>
    <row r="586" ht="14" customHeight="1" x14ac:dyDescent="0.15"/>
    <row r="587" ht="14" customHeight="1" x14ac:dyDescent="0.15"/>
    <row r="588" ht="14" customHeight="1" x14ac:dyDescent="0.15"/>
    <row r="589" ht="14" customHeight="1" x14ac:dyDescent="0.15"/>
    <row r="590" ht="14" customHeight="1" x14ac:dyDescent="0.15"/>
    <row r="591" ht="14" customHeight="1" x14ac:dyDescent="0.15"/>
    <row r="592" ht="14" customHeight="1" x14ac:dyDescent="0.15"/>
    <row r="593" ht="14" customHeight="1" x14ac:dyDescent="0.15"/>
    <row r="594" ht="14" customHeight="1" x14ac:dyDescent="0.15"/>
    <row r="595" ht="14" customHeight="1" x14ac:dyDescent="0.15"/>
    <row r="596" ht="14" customHeight="1" x14ac:dyDescent="0.15"/>
    <row r="597" ht="14" customHeight="1" x14ac:dyDescent="0.15"/>
    <row r="598" ht="14" customHeight="1" x14ac:dyDescent="0.15"/>
    <row r="599" ht="14" customHeight="1" x14ac:dyDescent="0.15"/>
    <row r="600" ht="14" customHeight="1" x14ac:dyDescent="0.15"/>
    <row r="601" ht="14" customHeight="1" x14ac:dyDescent="0.15"/>
    <row r="602" ht="14" customHeight="1" x14ac:dyDescent="0.15"/>
    <row r="603" ht="14" customHeight="1" x14ac:dyDescent="0.15"/>
    <row r="604" ht="14" customHeight="1" x14ac:dyDescent="0.15"/>
    <row r="605" ht="14" customHeight="1" x14ac:dyDescent="0.15"/>
    <row r="606" ht="14" customHeight="1" x14ac:dyDescent="0.15"/>
    <row r="607" ht="14" customHeight="1" x14ac:dyDescent="0.15"/>
    <row r="608" ht="14" customHeight="1" x14ac:dyDescent="0.15"/>
    <row r="609" ht="14" customHeight="1" x14ac:dyDescent="0.15"/>
    <row r="610" ht="14" customHeight="1" x14ac:dyDescent="0.15"/>
    <row r="611" ht="14" customHeight="1" x14ac:dyDescent="0.15"/>
    <row r="612" ht="14" customHeight="1" x14ac:dyDescent="0.15"/>
    <row r="613" ht="14" customHeight="1" x14ac:dyDescent="0.15"/>
    <row r="614" ht="14" customHeight="1" x14ac:dyDescent="0.15"/>
    <row r="615" ht="14" customHeight="1" x14ac:dyDescent="0.15"/>
    <row r="616" ht="14" customHeight="1" x14ac:dyDescent="0.15"/>
    <row r="617" ht="14" customHeight="1" x14ac:dyDescent="0.15"/>
    <row r="618" ht="14" customHeight="1" x14ac:dyDescent="0.15"/>
    <row r="619" ht="14" customHeight="1" x14ac:dyDescent="0.15"/>
    <row r="620" ht="14" customHeight="1" x14ac:dyDescent="0.15"/>
    <row r="621" ht="14" customHeight="1" x14ac:dyDescent="0.15"/>
    <row r="622" ht="14" customHeight="1" x14ac:dyDescent="0.15"/>
    <row r="623" ht="14" customHeight="1" x14ac:dyDescent="0.15"/>
    <row r="624" ht="14" customHeight="1" x14ac:dyDescent="0.15"/>
    <row r="625" ht="14" customHeight="1" x14ac:dyDescent="0.15"/>
    <row r="626" ht="14" customHeight="1" x14ac:dyDescent="0.15"/>
    <row r="627" ht="14" customHeight="1" x14ac:dyDescent="0.15"/>
    <row r="628" ht="14" customHeight="1" x14ac:dyDescent="0.15"/>
    <row r="629" ht="14" customHeight="1" x14ac:dyDescent="0.15"/>
    <row r="630" ht="14" customHeight="1" x14ac:dyDescent="0.15"/>
    <row r="631" ht="14" customHeight="1" x14ac:dyDescent="0.15"/>
    <row r="632" ht="14" customHeight="1" x14ac:dyDescent="0.15"/>
    <row r="633" ht="14" customHeight="1" x14ac:dyDescent="0.15"/>
    <row r="634" ht="14" customHeight="1" x14ac:dyDescent="0.15"/>
    <row r="635" ht="14" customHeight="1" x14ac:dyDescent="0.15"/>
    <row r="636" ht="14" customHeight="1" x14ac:dyDescent="0.15"/>
    <row r="637" ht="14" customHeight="1" x14ac:dyDescent="0.15"/>
    <row r="638" ht="14" customHeight="1" x14ac:dyDescent="0.15"/>
    <row r="639" ht="14" customHeight="1" x14ac:dyDescent="0.15"/>
    <row r="640" ht="14" customHeight="1" x14ac:dyDescent="0.15"/>
    <row r="641" ht="14" customHeight="1" x14ac:dyDescent="0.15"/>
    <row r="642" ht="14" customHeight="1" x14ac:dyDescent="0.15"/>
    <row r="643" ht="14" customHeight="1" x14ac:dyDescent="0.15"/>
    <row r="644" ht="14" customHeight="1" x14ac:dyDescent="0.15"/>
    <row r="645" ht="14" customHeight="1" x14ac:dyDescent="0.15"/>
    <row r="646" ht="14" customHeight="1" x14ac:dyDescent="0.15"/>
    <row r="647" ht="14" customHeight="1" x14ac:dyDescent="0.15"/>
    <row r="648" ht="14" customHeight="1" x14ac:dyDescent="0.15"/>
    <row r="649" ht="14" customHeight="1" x14ac:dyDescent="0.15"/>
    <row r="650" ht="14" customHeight="1" x14ac:dyDescent="0.15"/>
    <row r="651" ht="14" customHeight="1" x14ac:dyDescent="0.15"/>
    <row r="652" ht="14" customHeight="1" x14ac:dyDescent="0.15"/>
    <row r="653" ht="14" customHeight="1" x14ac:dyDescent="0.15"/>
    <row r="654" ht="14" customHeight="1" x14ac:dyDescent="0.15"/>
    <row r="655" ht="14" customHeight="1" x14ac:dyDescent="0.15"/>
    <row r="656" ht="14" customHeight="1" x14ac:dyDescent="0.15"/>
    <row r="657" ht="14" customHeight="1" x14ac:dyDescent="0.15"/>
    <row r="658" ht="14" customHeight="1" x14ac:dyDescent="0.15"/>
    <row r="659" ht="14" customHeight="1" x14ac:dyDescent="0.15"/>
    <row r="660" ht="14" customHeight="1" x14ac:dyDescent="0.15"/>
    <row r="661" ht="14" customHeight="1" x14ac:dyDescent="0.15"/>
    <row r="662" ht="14" customHeight="1" x14ac:dyDescent="0.15"/>
    <row r="663" ht="14" customHeight="1" x14ac:dyDescent="0.15"/>
    <row r="664" ht="14" customHeight="1" x14ac:dyDescent="0.15"/>
    <row r="665" ht="14" customHeight="1" x14ac:dyDescent="0.15"/>
    <row r="666" ht="14" customHeight="1" x14ac:dyDescent="0.15"/>
    <row r="667" ht="14" customHeight="1" x14ac:dyDescent="0.15"/>
    <row r="668" ht="14" customHeight="1" x14ac:dyDescent="0.15"/>
    <row r="669" ht="14" customHeight="1" x14ac:dyDescent="0.15"/>
    <row r="670" ht="14" customHeight="1" x14ac:dyDescent="0.15"/>
    <row r="671" ht="14" customHeight="1" x14ac:dyDescent="0.15"/>
    <row r="672" ht="14" customHeight="1" x14ac:dyDescent="0.15"/>
    <row r="673" ht="14" customHeight="1" x14ac:dyDescent="0.15"/>
    <row r="674" ht="14" customHeight="1" x14ac:dyDescent="0.15"/>
    <row r="675" ht="14" customHeight="1" x14ac:dyDescent="0.15"/>
    <row r="676" ht="14" customHeight="1" x14ac:dyDescent="0.15"/>
    <row r="677" ht="14" customHeight="1" x14ac:dyDescent="0.15"/>
    <row r="678" ht="14" customHeight="1" x14ac:dyDescent="0.15"/>
    <row r="679" ht="14" customHeight="1" x14ac:dyDescent="0.15"/>
    <row r="680" ht="14" customHeight="1" x14ac:dyDescent="0.15"/>
    <row r="681" ht="14" customHeight="1" x14ac:dyDescent="0.15"/>
    <row r="682" ht="14" customHeight="1" x14ac:dyDescent="0.15"/>
    <row r="683" ht="14" customHeight="1" x14ac:dyDescent="0.15"/>
    <row r="684" ht="14" customHeight="1" x14ac:dyDescent="0.15"/>
    <row r="685" ht="14" customHeight="1" x14ac:dyDescent="0.15"/>
    <row r="686" ht="14" customHeight="1" x14ac:dyDescent="0.15"/>
    <row r="687" ht="14" customHeight="1" x14ac:dyDescent="0.15"/>
    <row r="688" ht="14" customHeight="1" x14ac:dyDescent="0.15"/>
    <row r="689" ht="14" customHeight="1" x14ac:dyDescent="0.15"/>
    <row r="690" ht="14" customHeight="1" x14ac:dyDescent="0.15"/>
    <row r="691" ht="14" customHeight="1" x14ac:dyDescent="0.15"/>
    <row r="692" ht="14" customHeight="1" x14ac:dyDescent="0.15"/>
    <row r="693" ht="14" customHeight="1" x14ac:dyDescent="0.15"/>
    <row r="694" ht="14" customHeight="1" x14ac:dyDescent="0.15"/>
    <row r="695" ht="14" customHeight="1" x14ac:dyDescent="0.15"/>
    <row r="696" ht="14" customHeight="1" x14ac:dyDescent="0.15"/>
    <row r="697" ht="14" customHeight="1" x14ac:dyDescent="0.15"/>
    <row r="698" ht="14" customHeight="1" x14ac:dyDescent="0.15"/>
    <row r="699" ht="14" customHeight="1" x14ac:dyDescent="0.15"/>
    <row r="700" ht="14" customHeight="1" x14ac:dyDescent="0.15"/>
    <row r="701" ht="14" customHeight="1" x14ac:dyDescent="0.15"/>
    <row r="702" ht="14" customHeight="1" x14ac:dyDescent="0.15"/>
    <row r="703" ht="14" customHeight="1" x14ac:dyDescent="0.15"/>
    <row r="704" ht="14" customHeight="1" x14ac:dyDescent="0.15"/>
    <row r="705" ht="14" customHeight="1" x14ac:dyDescent="0.15"/>
    <row r="706" ht="14" customHeight="1" x14ac:dyDescent="0.15"/>
    <row r="707" ht="14" customHeight="1" x14ac:dyDescent="0.15"/>
    <row r="708" ht="14" customHeight="1" x14ac:dyDescent="0.15"/>
    <row r="709" ht="14" customHeight="1" x14ac:dyDescent="0.15"/>
    <row r="710" ht="14" customHeight="1" x14ac:dyDescent="0.15"/>
    <row r="711" ht="14" customHeight="1" x14ac:dyDescent="0.15"/>
    <row r="712" ht="14" customHeight="1" x14ac:dyDescent="0.15"/>
    <row r="713" ht="14" customHeight="1" x14ac:dyDescent="0.15"/>
    <row r="714" ht="14" customHeight="1" x14ac:dyDescent="0.15"/>
    <row r="715" ht="14" customHeight="1" x14ac:dyDescent="0.15"/>
    <row r="716" ht="14" customHeight="1" x14ac:dyDescent="0.15"/>
    <row r="717" ht="14" customHeight="1" x14ac:dyDescent="0.15"/>
    <row r="718" ht="14" customHeight="1" x14ac:dyDescent="0.15"/>
    <row r="719" ht="14" customHeight="1" x14ac:dyDescent="0.15"/>
    <row r="720" ht="14" customHeight="1" x14ac:dyDescent="0.15"/>
    <row r="721" ht="14" customHeight="1" x14ac:dyDescent="0.15"/>
    <row r="722" ht="14" customHeight="1" x14ac:dyDescent="0.15"/>
    <row r="723" ht="14" customHeight="1" x14ac:dyDescent="0.15"/>
    <row r="724" ht="14" customHeight="1" x14ac:dyDescent="0.15"/>
    <row r="725" ht="14" customHeight="1" x14ac:dyDescent="0.15"/>
    <row r="726" ht="14" customHeight="1" x14ac:dyDescent="0.15"/>
    <row r="727" ht="14" customHeight="1" x14ac:dyDescent="0.15"/>
    <row r="728" ht="14" customHeight="1" x14ac:dyDescent="0.15"/>
    <row r="729" ht="14" customHeight="1" x14ac:dyDescent="0.15"/>
    <row r="730" ht="14" customHeight="1" x14ac:dyDescent="0.15"/>
    <row r="731" ht="14" customHeight="1" x14ac:dyDescent="0.15"/>
    <row r="732" ht="14" customHeight="1" x14ac:dyDescent="0.15"/>
    <row r="733" ht="14" customHeight="1" x14ac:dyDescent="0.15"/>
    <row r="734" ht="14" customHeight="1" x14ac:dyDescent="0.15"/>
    <row r="735" ht="14" customHeight="1" x14ac:dyDescent="0.15"/>
    <row r="736" ht="14" customHeight="1" x14ac:dyDescent="0.15"/>
    <row r="737" ht="14" customHeight="1" x14ac:dyDescent="0.15"/>
    <row r="738" ht="14" customHeight="1" x14ac:dyDescent="0.15"/>
    <row r="739" ht="14" customHeight="1" x14ac:dyDescent="0.15"/>
    <row r="740" ht="14" customHeight="1" x14ac:dyDescent="0.15"/>
    <row r="741" ht="14" customHeight="1" x14ac:dyDescent="0.15"/>
    <row r="742" ht="14" customHeight="1" x14ac:dyDescent="0.15"/>
    <row r="743" ht="14" customHeight="1" x14ac:dyDescent="0.15"/>
    <row r="744" ht="14" customHeight="1" x14ac:dyDescent="0.15"/>
    <row r="745" ht="14" customHeight="1" x14ac:dyDescent="0.15"/>
    <row r="746" ht="14" customHeight="1" x14ac:dyDescent="0.15"/>
    <row r="747" ht="14" customHeight="1" x14ac:dyDescent="0.15"/>
    <row r="748" ht="14" customHeight="1" x14ac:dyDescent="0.15"/>
    <row r="749" ht="14" customHeight="1" x14ac:dyDescent="0.15"/>
    <row r="750" ht="14" customHeight="1" x14ac:dyDescent="0.15"/>
    <row r="751" ht="14" customHeight="1" x14ac:dyDescent="0.15"/>
    <row r="752" ht="14" customHeight="1" x14ac:dyDescent="0.15"/>
    <row r="753" ht="14" customHeight="1" x14ac:dyDescent="0.15"/>
    <row r="754" ht="14" customHeight="1" x14ac:dyDescent="0.15"/>
    <row r="755" ht="14" customHeight="1" x14ac:dyDescent="0.15"/>
    <row r="756" ht="14" customHeight="1" x14ac:dyDescent="0.15"/>
    <row r="757" ht="14" customHeight="1" x14ac:dyDescent="0.15"/>
    <row r="758" ht="14" customHeight="1" x14ac:dyDescent="0.15"/>
    <row r="759" ht="14" customHeight="1" x14ac:dyDescent="0.15"/>
    <row r="760" ht="14" customHeight="1" x14ac:dyDescent="0.15"/>
    <row r="761" ht="14" customHeight="1" x14ac:dyDescent="0.15"/>
    <row r="762" ht="14" customHeight="1" x14ac:dyDescent="0.15"/>
    <row r="763" ht="14" customHeight="1" x14ac:dyDescent="0.15"/>
    <row r="764" ht="14" customHeight="1" x14ac:dyDescent="0.15"/>
    <row r="765" ht="14" customHeight="1" x14ac:dyDescent="0.15"/>
    <row r="766" ht="14" customHeight="1" x14ac:dyDescent="0.15"/>
    <row r="767" ht="14" customHeight="1" x14ac:dyDescent="0.15"/>
    <row r="768" ht="14" customHeight="1" x14ac:dyDescent="0.15"/>
    <row r="769" ht="14" customHeight="1" x14ac:dyDescent="0.15"/>
    <row r="770" ht="14" customHeight="1" x14ac:dyDescent="0.15"/>
    <row r="771" ht="14" customHeight="1" x14ac:dyDescent="0.15"/>
    <row r="772" ht="14" customHeight="1" x14ac:dyDescent="0.15"/>
    <row r="773" ht="14" customHeight="1" x14ac:dyDescent="0.15"/>
    <row r="774" ht="14" customHeight="1" x14ac:dyDescent="0.15"/>
    <row r="775" ht="14" customHeight="1" x14ac:dyDescent="0.15"/>
    <row r="776" ht="14" customHeight="1" x14ac:dyDescent="0.15"/>
    <row r="777" ht="14" customHeight="1" x14ac:dyDescent="0.15"/>
    <row r="778" ht="14" customHeight="1" x14ac:dyDescent="0.15"/>
    <row r="779" ht="14" customHeight="1" x14ac:dyDescent="0.15"/>
    <row r="780" ht="14" customHeight="1" x14ac:dyDescent="0.15"/>
    <row r="781" ht="14" customHeight="1" x14ac:dyDescent="0.15"/>
    <row r="782" ht="14" customHeight="1" x14ac:dyDescent="0.15"/>
    <row r="783" ht="14" customHeight="1" x14ac:dyDescent="0.15"/>
    <row r="784" ht="14" customHeight="1" x14ac:dyDescent="0.15"/>
    <row r="785" ht="14" customHeight="1" x14ac:dyDescent="0.15"/>
    <row r="786" ht="14" customHeight="1" x14ac:dyDescent="0.15"/>
    <row r="787" ht="14" customHeight="1" x14ac:dyDescent="0.15"/>
    <row r="788" ht="14" customHeight="1" x14ac:dyDescent="0.15"/>
    <row r="789" ht="14" customHeight="1" x14ac:dyDescent="0.15"/>
    <row r="790" ht="14" customHeight="1" x14ac:dyDescent="0.15"/>
    <row r="791" ht="14" customHeight="1" x14ac:dyDescent="0.15"/>
    <row r="792" ht="14" customHeight="1" x14ac:dyDescent="0.15"/>
    <row r="793" ht="14" customHeight="1" x14ac:dyDescent="0.15"/>
    <row r="794" ht="14" customHeight="1" x14ac:dyDescent="0.15"/>
    <row r="795" ht="14" customHeight="1" x14ac:dyDescent="0.15"/>
    <row r="796" ht="14" customHeight="1" x14ac:dyDescent="0.15"/>
    <row r="797" ht="14" customHeight="1" x14ac:dyDescent="0.15"/>
    <row r="798" ht="14" customHeight="1" x14ac:dyDescent="0.15"/>
    <row r="799" ht="14" customHeight="1" x14ac:dyDescent="0.15"/>
    <row r="800" ht="14" customHeight="1" x14ac:dyDescent="0.15"/>
    <row r="801" ht="14" customHeight="1" x14ac:dyDescent="0.15"/>
    <row r="802" ht="14" customHeight="1" x14ac:dyDescent="0.15"/>
    <row r="803" ht="14" customHeight="1" x14ac:dyDescent="0.15"/>
    <row r="804" ht="14" customHeight="1" x14ac:dyDescent="0.15"/>
    <row r="805" ht="14" customHeight="1" x14ac:dyDescent="0.15"/>
    <row r="806" ht="14" customHeight="1" x14ac:dyDescent="0.15"/>
    <row r="807" ht="14" customHeight="1" x14ac:dyDescent="0.15"/>
    <row r="808" ht="14" customHeight="1" x14ac:dyDescent="0.15"/>
    <row r="809" ht="14" customHeight="1" x14ac:dyDescent="0.15"/>
    <row r="810" ht="14" customHeight="1" x14ac:dyDescent="0.15"/>
    <row r="811" ht="14" customHeight="1" x14ac:dyDescent="0.15"/>
    <row r="812" ht="14" customHeight="1" x14ac:dyDescent="0.15"/>
    <row r="813" ht="14" customHeight="1" x14ac:dyDescent="0.15"/>
    <row r="814" ht="14" customHeight="1" x14ac:dyDescent="0.15"/>
    <row r="815" ht="14" customHeight="1" x14ac:dyDescent="0.15"/>
    <row r="816" ht="14" customHeight="1" x14ac:dyDescent="0.15"/>
    <row r="817" ht="14" customHeight="1" x14ac:dyDescent="0.15"/>
    <row r="818" ht="14" customHeight="1" x14ac:dyDescent="0.15"/>
    <row r="819" ht="14" customHeight="1" x14ac:dyDescent="0.15"/>
    <row r="820" ht="14" customHeight="1" x14ac:dyDescent="0.15"/>
    <row r="821" ht="14" customHeight="1" x14ac:dyDescent="0.15"/>
    <row r="822" ht="14" customHeight="1" x14ac:dyDescent="0.15"/>
    <row r="823" ht="14" customHeight="1" x14ac:dyDescent="0.15"/>
    <row r="824" ht="14" customHeight="1" x14ac:dyDescent="0.15"/>
    <row r="825" ht="14" customHeight="1" x14ac:dyDescent="0.15"/>
    <row r="826" ht="14" customHeight="1" x14ac:dyDescent="0.15"/>
    <row r="827" ht="14" customHeight="1" x14ac:dyDescent="0.15"/>
    <row r="828" ht="14" customHeight="1" x14ac:dyDescent="0.15"/>
    <row r="829" ht="14" customHeight="1" x14ac:dyDescent="0.15"/>
    <row r="830" ht="14" customHeight="1" x14ac:dyDescent="0.15"/>
    <row r="831" ht="14" customHeight="1" x14ac:dyDescent="0.15"/>
    <row r="832" ht="14" customHeight="1" x14ac:dyDescent="0.15"/>
    <row r="833" ht="14" customHeight="1" x14ac:dyDescent="0.15"/>
    <row r="834" ht="14" customHeight="1" x14ac:dyDescent="0.15"/>
    <row r="835" ht="14" customHeight="1" x14ac:dyDescent="0.15"/>
    <row r="836" ht="14" customHeight="1" x14ac:dyDescent="0.15"/>
    <row r="837" ht="14" customHeight="1" x14ac:dyDescent="0.15"/>
    <row r="838" ht="14" customHeight="1" x14ac:dyDescent="0.15"/>
    <row r="839" ht="14" customHeight="1" x14ac:dyDescent="0.15"/>
    <row r="840" ht="14" customHeight="1" x14ac:dyDescent="0.15"/>
    <row r="841" ht="14" customHeight="1" x14ac:dyDescent="0.15"/>
    <row r="842" ht="14" customHeight="1" x14ac:dyDescent="0.15"/>
    <row r="843" ht="14" customHeight="1" x14ac:dyDescent="0.15"/>
    <row r="844" ht="14" customHeight="1" x14ac:dyDescent="0.15"/>
    <row r="845" ht="14" customHeight="1" x14ac:dyDescent="0.15"/>
    <row r="846" ht="14" customHeight="1" x14ac:dyDescent="0.15"/>
    <row r="847" ht="14" customHeight="1" x14ac:dyDescent="0.15"/>
    <row r="848" ht="14" customHeight="1" x14ac:dyDescent="0.15"/>
    <row r="849" ht="14" customHeight="1" x14ac:dyDescent="0.15"/>
    <row r="850" ht="14" customHeight="1" x14ac:dyDescent="0.15"/>
    <row r="851" ht="14" customHeight="1" x14ac:dyDescent="0.15"/>
    <row r="852" ht="14" customHeight="1" x14ac:dyDescent="0.15"/>
    <row r="853" ht="14" customHeight="1" x14ac:dyDescent="0.15"/>
    <row r="854" ht="14" customHeight="1" x14ac:dyDescent="0.15"/>
    <row r="855" ht="14" customHeight="1" x14ac:dyDescent="0.15"/>
    <row r="856" ht="14" customHeight="1" x14ac:dyDescent="0.15"/>
    <row r="857" ht="14" customHeight="1" x14ac:dyDescent="0.15"/>
    <row r="858" ht="14" customHeight="1" x14ac:dyDescent="0.15"/>
    <row r="859" ht="14" customHeight="1" x14ac:dyDescent="0.15"/>
    <row r="860" ht="14" customHeight="1" x14ac:dyDescent="0.15"/>
    <row r="861" ht="14" customHeight="1" x14ac:dyDescent="0.15"/>
    <row r="862" ht="14" customHeight="1" x14ac:dyDescent="0.15"/>
    <row r="863" ht="14" customHeight="1" x14ac:dyDescent="0.15"/>
    <row r="864" ht="14" customHeight="1" x14ac:dyDescent="0.15"/>
    <row r="865" ht="14" customHeight="1" x14ac:dyDescent="0.15"/>
    <row r="866" ht="14" customHeight="1" x14ac:dyDescent="0.15"/>
    <row r="867" ht="14" customHeight="1" x14ac:dyDescent="0.15"/>
    <row r="868" ht="14" customHeight="1" x14ac:dyDescent="0.15"/>
    <row r="869" ht="14" customHeight="1" x14ac:dyDescent="0.15"/>
    <row r="870" ht="14" customHeight="1" x14ac:dyDescent="0.15"/>
    <row r="871" ht="14" customHeight="1" x14ac:dyDescent="0.15"/>
    <row r="872" ht="14" customHeight="1" x14ac:dyDescent="0.15"/>
    <row r="873" ht="14" customHeight="1" x14ac:dyDescent="0.15"/>
    <row r="874" ht="14" customHeight="1" x14ac:dyDescent="0.15"/>
    <row r="875" ht="14" customHeight="1" x14ac:dyDescent="0.15"/>
    <row r="876" ht="14" customHeight="1" x14ac:dyDescent="0.15"/>
    <row r="877" ht="14" customHeight="1" x14ac:dyDescent="0.15"/>
    <row r="878" ht="14" customHeight="1" x14ac:dyDescent="0.15"/>
    <row r="879" ht="14" customHeight="1" x14ac:dyDescent="0.15"/>
    <row r="880" ht="14" customHeight="1" x14ac:dyDescent="0.15"/>
    <row r="881" ht="14" customHeight="1" x14ac:dyDescent="0.15"/>
    <row r="882" ht="14" customHeight="1" x14ac:dyDescent="0.15"/>
    <row r="883" ht="14" customHeight="1" x14ac:dyDescent="0.15"/>
    <row r="884" ht="14" customHeight="1" x14ac:dyDescent="0.15"/>
    <row r="885" ht="14" customHeight="1" x14ac:dyDescent="0.15"/>
    <row r="886" ht="14" customHeight="1" x14ac:dyDescent="0.15"/>
    <row r="887" ht="14" customHeight="1" x14ac:dyDescent="0.15"/>
    <row r="888" ht="14" customHeight="1" x14ac:dyDescent="0.15"/>
    <row r="889" ht="14" customHeight="1" x14ac:dyDescent="0.15"/>
    <row r="890" ht="14" customHeight="1" x14ac:dyDescent="0.15"/>
    <row r="891" ht="14" customHeight="1" x14ac:dyDescent="0.15"/>
    <row r="892" ht="14" customHeight="1" x14ac:dyDescent="0.15"/>
    <row r="893" ht="14" customHeight="1" x14ac:dyDescent="0.15"/>
    <row r="894" ht="14" customHeight="1" x14ac:dyDescent="0.15"/>
    <row r="895" ht="14" customHeight="1" x14ac:dyDescent="0.15"/>
    <row r="896" ht="14" customHeight="1" x14ac:dyDescent="0.15"/>
    <row r="897" ht="14" customHeight="1" x14ac:dyDescent="0.15"/>
    <row r="898" ht="14" customHeight="1" x14ac:dyDescent="0.15"/>
    <row r="899" ht="14" customHeight="1" x14ac:dyDescent="0.15"/>
    <row r="900" ht="14" customHeight="1" x14ac:dyDescent="0.15"/>
    <row r="901" ht="14" customHeight="1" x14ac:dyDescent="0.15"/>
    <row r="902" ht="14" customHeight="1" x14ac:dyDescent="0.15"/>
    <row r="903" ht="14" customHeight="1" x14ac:dyDescent="0.15"/>
    <row r="904" ht="14" customHeight="1" x14ac:dyDescent="0.15"/>
    <row r="905" ht="14" customHeight="1" x14ac:dyDescent="0.15"/>
    <row r="906" ht="14" customHeight="1" x14ac:dyDescent="0.15"/>
    <row r="907" ht="14" customHeight="1" x14ac:dyDescent="0.15"/>
    <row r="908" ht="14" customHeight="1" x14ac:dyDescent="0.15"/>
    <row r="909" ht="14" customHeight="1" x14ac:dyDescent="0.15"/>
    <row r="910" ht="14" customHeight="1" x14ac:dyDescent="0.15"/>
    <row r="911" ht="14" customHeight="1" x14ac:dyDescent="0.15"/>
    <row r="912" ht="14" customHeight="1" x14ac:dyDescent="0.15"/>
    <row r="913" ht="14" customHeight="1" x14ac:dyDescent="0.15"/>
    <row r="914" ht="14" customHeight="1" x14ac:dyDescent="0.15"/>
    <row r="915" ht="14" customHeight="1" x14ac:dyDescent="0.15"/>
    <row r="916" ht="14" customHeight="1" x14ac:dyDescent="0.15"/>
    <row r="917" ht="14" customHeight="1" x14ac:dyDescent="0.15"/>
    <row r="918" ht="14" customHeight="1" x14ac:dyDescent="0.15"/>
    <row r="919" ht="14" customHeight="1" x14ac:dyDescent="0.15"/>
    <row r="920" ht="14" customHeight="1" x14ac:dyDescent="0.15"/>
    <row r="921" ht="14" customHeight="1" x14ac:dyDescent="0.15"/>
    <row r="922" ht="14" customHeight="1" x14ac:dyDescent="0.15"/>
    <row r="923" ht="14" customHeight="1" x14ac:dyDescent="0.15"/>
    <row r="924" ht="14" customHeight="1" x14ac:dyDescent="0.15"/>
    <row r="925" ht="14" customHeight="1" x14ac:dyDescent="0.15"/>
    <row r="926" ht="14" customHeight="1" x14ac:dyDescent="0.15"/>
    <row r="927" ht="14" customHeight="1" x14ac:dyDescent="0.15"/>
    <row r="928" ht="14" customHeight="1" x14ac:dyDescent="0.15"/>
    <row r="929" ht="14" customHeight="1" x14ac:dyDescent="0.15"/>
    <row r="930" ht="14" customHeight="1" x14ac:dyDescent="0.15"/>
    <row r="931" ht="14" customHeight="1" x14ac:dyDescent="0.15"/>
    <row r="932" ht="14" customHeight="1" x14ac:dyDescent="0.15"/>
    <row r="933" ht="14" customHeight="1" x14ac:dyDescent="0.15"/>
    <row r="934" ht="14" customHeight="1" x14ac:dyDescent="0.15"/>
    <row r="935" ht="14" customHeight="1" x14ac:dyDescent="0.15"/>
    <row r="936" ht="14" customHeight="1" x14ac:dyDescent="0.15"/>
    <row r="937" ht="14" customHeight="1" x14ac:dyDescent="0.15"/>
    <row r="938" ht="14" customHeight="1" x14ac:dyDescent="0.15"/>
    <row r="939" ht="14" customHeight="1" x14ac:dyDescent="0.15"/>
    <row r="940" ht="14" customHeight="1" x14ac:dyDescent="0.15"/>
    <row r="941" ht="14" customHeight="1" x14ac:dyDescent="0.15"/>
    <row r="942" ht="14" customHeight="1" x14ac:dyDescent="0.15"/>
    <row r="943" ht="14" customHeight="1" x14ac:dyDescent="0.15"/>
    <row r="944" ht="14" customHeight="1" x14ac:dyDescent="0.15"/>
    <row r="945" ht="14" customHeight="1" x14ac:dyDescent="0.15"/>
    <row r="946" ht="14" customHeight="1" x14ac:dyDescent="0.15"/>
    <row r="947" ht="14" customHeight="1" x14ac:dyDescent="0.15"/>
    <row r="948" ht="14" customHeight="1" x14ac:dyDescent="0.15"/>
    <row r="949" ht="14" customHeight="1" x14ac:dyDescent="0.15"/>
    <row r="950" ht="14" customHeight="1" x14ac:dyDescent="0.15"/>
    <row r="951" ht="14" customHeight="1" x14ac:dyDescent="0.15"/>
    <row r="952" ht="14" customHeight="1" x14ac:dyDescent="0.15"/>
    <row r="953" ht="14" customHeight="1" x14ac:dyDescent="0.15"/>
    <row r="954" ht="14" customHeight="1" x14ac:dyDescent="0.15"/>
    <row r="955" ht="14" customHeight="1" x14ac:dyDescent="0.15"/>
    <row r="956" ht="14" customHeight="1" x14ac:dyDescent="0.15"/>
    <row r="957" ht="14" customHeight="1" x14ac:dyDescent="0.15"/>
    <row r="958" ht="14" customHeight="1" x14ac:dyDescent="0.15"/>
    <row r="959" ht="14" customHeight="1" x14ac:dyDescent="0.15"/>
    <row r="960" ht="14" customHeight="1" x14ac:dyDescent="0.15"/>
    <row r="961" ht="14" customHeight="1" x14ac:dyDescent="0.15"/>
    <row r="962" ht="14" customHeight="1" x14ac:dyDescent="0.15"/>
    <row r="963" ht="14" customHeight="1" x14ac:dyDescent="0.15"/>
    <row r="964" ht="14" customHeight="1" x14ac:dyDescent="0.15"/>
    <row r="965" ht="14" customHeight="1" x14ac:dyDescent="0.15"/>
    <row r="966" ht="14" customHeight="1" x14ac:dyDescent="0.15"/>
    <row r="967" ht="14" customHeight="1" x14ac:dyDescent="0.15"/>
    <row r="968" ht="14" customHeight="1" x14ac:dyDescent="0.15"/>
    <row r="969" ht="14" customHeight="1" x14ac:dyDescent="0.15"/>
    <row r="970" ht="14" customHeight="1" x14ac:dyDescent="0.15"/>
    <row r="971" ht="14" customHeight="1" x14ac:dyDescent="0.15"/>
    <row r="972" ht="14" customHeight="1" x14ac:dyDescent="0.15"/>
    <row r="973" ht="14" customHeight="1" x14ac:dyDescent="0.15"/>
    <row r="974" ht="14" customHeight="1" x14ac:dyDescent="0.15"/>
    <row r="975" ht="14" customHeight="1" x14ac:dyDescent="0.15"/>
    <row r="976" ht="14" customHeight="1" x14ac:dyDescent="0.15"/>
    <row r="977" ht="14" customHeight="1" x14ac:dyDescent="0.15"/>
    <row r="978" ht="14" customHeight="1" x14ac:dyDescent="0.15"/>
    <row r="979" ht="14" customHeight="1" x14ac:dyDescent="0.15"/>
    <row r="980" ht="14" customHeight="1" x14ac:dyDescent="0.15"/>
    <row r="981" ht="14" customHeight="1" x14ac:dyDescent="0.15"/>
    <row r="982" ht="14" customHeight="1" x14ac:dyDescent="0.15"/>
    <row r="983" ht="14" customHeight="1" x14ac:dyDescent="0.15"/>
    <row r="984" ht="14" customHeight="1" x14ac:dyDescent="0.15"/>
    <row r="985" ht="14" customHeight="1" x14ac:dyDescent="0.15"/>
    <row r="986" ht="14" customHeight="1" x14ac:dyDescent="0.15"/>
    <row r="987" ht="14" customHeight="1" x14ac:dyDescent="0.15"/>
    <row r="988" ht="14" customHeight="1" x14ac:dyDescent="0.15"/>
    <row r="989" ht="14" customHeight="1" x14ac:dyDescent="0.15"/>
    <row r="990" ht="14" customHeight="1" x14ac:dyDescent="0.15"/>
    <row r="991" ht="14" customHeight="1" x14ac:dyDescent="0.15"/>
    <row r="992" ht="14" customHeight="1" x14ac:dyDescent="0.15"/>
    <row r="993" ht="14" customHeight="1" x14ac:dyDescent="0.15"/>
    <row r="994" ht="14" customHeight="1" x14ac:dyDescent="0.15"/>
    <row r="995" ht="14" customHeight="1" x14ac:dyDescent="0.15"/>
    <row r="996" ht="14" customHeight="1" x14ac:dyDescent="0.15"/>
    <row r="997" ht="14" customHeight="1" x14ac:dyDescent="0.15"/>
    <row r="998" ht="14" customHeight="1" x14ac:dyDescent="0.15"/>
    <row r="999" ht="14" customHeight="1" x14ac:dyDescent="0.15"/>
    <row r="1000" ht="14" customHeight="1" x14ac:dyDescent="0.15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F497D"/>
  </sheetPr>
  <dimension ref="A1:AI1000"/>
  <sheetViews>
    <sheetView workbookViewId="0">
      <selection activeCell="B1" sqref="B1:B1048576"/>
    </sheetView>
  </sheetViews>
  <sheetFormatPr baseColWidth="10" defaultColWidth="8.83203125" defaultRowHeight="15" customHeight="1" x14ac:dyDescent="0.15"/>
  <cols>
    <col min="1" max="1" width="39.83203125" style="48" customWidth="1"/>
    <col min="2" max="2" width="17.83203125" style="30" customWidth="1"/>
    <col min="3" max="3" width="9.5" style="48" customWidth="1"/>
    <col min="4" max="35" width="9.5" style="48" bestFit="1" customWidth="1"/>
    <col min="36" max="43" width="8.83203125" style="48" customWidth="1"/>
    <col min="44" max="16384" width="8.83203125" style="48"/>
  </cols>
  <sheetData>
    <row r="1" spans="1:35" ht="14.5" customHeight="1" x14ac:dyDescent="0.2">
      <c r="A1" s="28" t="s">
        <v>177</v>
      </c>
      <c r="B1" s="29">
        <v>2020</v>
      </c>
      <c r="C1" s="29">
        <v>2021</v>
      </c>
      <c r="D1" s="29">
        <v>2022</v>
      </c>
      <c r="E1" s="29">
        <v>2023</v>
      </c>
      <c r="F1" s="29">
        <v>2024</v>
      </c>
      <c r="G1" s="29">
        <v>2025</v>
      </c>
      <c r="H1" s="29">
        <v>2026</v>
      </c>
      <c r="I1" s="29">
        <v>2027</v>
      </c>
      <c r="J1" s="29">
        <v>2028</v>
      </c>
      <c r="K1" s="29">
        <v>2029</v>
      </c>
      <c r="L1" s="29">
        <v>2030</v>
      </c>
      <c r="M1" s="29">
        <v>2031</v>
      </c>
      <c r="N1" s="29">
        <v>2032</v>
      </c>
      <c r="O1" s="29">
        <v>2033</v>
      </c>
      <c r="P1" s="29">
        <v>2034</v>
      </c>
      <c r="Q1" s="29">
        <v>2035</v>
      </c>
      <c r="R1" s="29">
        <v>2036</v>
      </c>
      <c r="S1" s="29">
        <v>2037</v>
      </c>
      <c r="T1" s="29">
        <v>2038</v>
      </c>
      <c r="U1" s="29">
        <v>2039</v>
      </c>
      <c r="V1" s="29">
        <v>2040</v>
      </c>
      <c r="W1" s="29">
        <v>2041</v>
      </c>
      <c r="X1" s="29">
        <v>2042</v>
      </c>
      <c r="Y1" s="29">
        <v>2043</v>
      </c>
      <c r="Z1" s="29">
        <v>2044</v>
      </c>
      <c r="AA1" s="29">
        <v>2045</v>
      </c>
      <c r="AB1" s="29">
        <v>2046</v>
      </c>
      <c r="AC1" s="29">
        <v>2047</v>
      </c>
      <c r="AD1" s="29">
        <v>2048</v>
      </c>
      <c r="AE1" s="29">
        <v>2049</v>
      </c>
      <c r="AF1" s="29">
        <v>2050</v>
      </c>
      <c r="AH1" s="29"/>
      <c r="AI1" s="29"/>
    </row>
    <row r="2" spans="1:35" ht="14" customHeight="1" x14ac:dyDescent="0.15">
      <c r="A2" s="48" t="s">
        <v>178</v>
      </c>
      <c r="B2">
        <v>1077135763.4472129</v>
      </c>
      <c r="C2" s="57">
        <v>1071973503.5936</v>
      </c>
      <c r="D2" s="57">
        <v>1066811243.7399859</v>
      </c>
      <c r="E2" s="57">
        <v>1089704576.612668</v>
      </c>
      <c r="F2" s="57">
        <v>1109312729.0905111</v>
      </c>
      <c r="G2" s="57">
        <v>1128054438.720969</v>
      </c>
      <c r="H2" s="57">
        <v>1147671356.0787189</v>
      </c>
      <c r="I2" s="57">
        <v>1164954427.197773</v>
      </c>
      <c r="J2" s="57">
        <v>1180961576.3655701</v>
      </c>
      <c r="K2" s="57">
        <v>1196404457.66553</v>
      </c>
      <c r="L2" s="57">
        <v>1211251138.375072</v>
      </c>
      <c r="M2" s="57">
        <v>1225647256.6578851</v>
      </c>
      <c r="N2" s="57">
        <v>1239221511.519954</v>
      </c>
      <c r="O2" s="57">
        <v>1252825196.025604</v>
      </c>
      <c r="P2" s="57">
        <v>1265174870.779763</v>
      </c>
      <c r="Q2" s="57">
        <v>1276760285.7574329</v>
      </c>
      <c r="R2" s="57">
        <v>1288321777.86532</v>
      </c>
      <c r="S2" s="57">
        <v>1299857484.1561041</v>
      </c>
      <c r="T2" s="57">
        <v>1311263949.5023489</v>
      </c>
      <c r="U2" s="57">
        <v>1323135257.1358449</v>
      </c>
      <c r="V2" s="57">
        <v>1335086835.6404691</v>
      </c>
      <c r="W2" s="57">
        <v>1346752020.873467</v>
      </c>
      <c r="X2" s="57">
        <v>1358761071.713284</v>
      </c>
      <c r="Y2" s="57">
        <v>1371033979.906914</v>
      </c>
      <c r="Z2" s="57">
        <v>1383212222.473465</v>
      </c>
      <c r="AA2" s="57">
        <v>1395548241.085149</v>
      </c>
      <c r="AB2" s="57">
        <v>1407867107.450573</v>
      </c>
      <c r="AC2" s="57">
        <v>1420053105.4586141</v>
      </c>
      <c r="AD2" s="57">
        <v>1432374351.800792</v>
      </c>
      <c r="AE2" s="57">
        <v>1445073152.7310779</v>
      </c>
      <c r="AF2" s="57">
        <v>1457756549.466995</v>
      </c>
      <c r="AG2" s="57"/>
    </row>
    <row r="3" spans="1:35" ht="14" customHeight="1" x14ac:dyDescent="0.15">
      <c r="A3" s="48" t="s">
        <v>179</v>
      </c>
      <c r="B3">
        <v>12951598.604527511</v>
      </c>
      <c r="C3">
        <v>12938224.87781705</v>
      </c>
      <c r="D3">
        <v>12924851.15110659</v>
      </c>
      <c r="E3">
        <v>13316095.08728778</v>
      </c>
      <c r="F3">
        <v>13669397.333260991</v>
      </c>
      <c r="G3">
        <v>13979041.79427813</v>
      </c>
      <c r="H3">
        <v>14127011.771224329</v>
      </c>
      <c r="I3">
        <v>14191316.529707771</v>
      </c>
      <c r="J3">
        <v>14412934.177550441</v>
      </c>
      <c r="K3">
        <v>14489989.017457331</v>
      </c>
      <c r="L3">
        <v>14506402.524654809</v>
      </c>
      <c r="M3">
        <v>14554000.911068041</v>
      </c>
      <c r="N3">
        <v>14569182.8168811</v>
      </c>
      <c r="O3">
        <v>14623422.960229419</v>
      </c>
      <c r="P3">
        <v>14562441.69507847</v>
      </c>
      <c r="Q3">
        <v>14491586.699932661</v>
      </c>
      <c r="R3">
        <v>14438023.806602521</v>
      </c>
      <c r="S3">
        <v>14389369.014755519</v>
      </c>
      <c r="T3">
        <v>14386877.04847239</v>
      </c>
      <c r="U3">
        <v>14420658.48856866</v>
      </c>
      <c r="V3">
        <v>14499645.71366257</v>
      </c>
      <c r="W3">
        <v>14542864.201309539</v>
      </c>
      <c r="X3">
        <v>14585928.41192534</v>
      </c>
      <c r="Y3">
        <v>14578452.51307595</v>
      </c>
      <c r="Z3">
        <v>14653653.413743859</v>
      </c>
      <c r="AA3">
        <v>14723433.69940136</v>
      </c>
      <c r="AB3">
        <v>14757617.828697629</v>
      </c>
      <c r="AC3">
        <v>14720180.80742212</v>
      </c>
      <c r="AD3">
        <v>14708586.49629998</v>
      </c>
      <c r="AE3">
        <v>14790034.309297791</v>
      </c>
      <c r="AF3">
        <v>14897316.987854181</v>
      </c>
    </row>
    <row r="4" spans="1:35" ht="14" customHeight="1" x14ac:dyDescent="0.15">
      <c r="A4" s="48" t="s">
        <v>135</v>
      </c>
      <c r="B4">
        <v>67287316.709099501</v>
      </c>
      <c r="C4">
        <v>67217836.314267561</v>
      </c>
      <c r="D4">
        <v>67148355.919435605</v>
      </c>
      <c r="E4">
        <v>69180981.80973579</v>
      </c>
      <c r="F4">
        <v>71016489.59875305</v>
      </c>
      <c r="G4">
        <v>72625182.513957784</v>
      </c>
      <c r="H4">
        <v>73393929.523978353</v>
      </c>
      <c r="I4">
        <v>73728011.42244491</v>
      </c>
      <c r="J4">
        <v>74879379.474686965</v>
      </c>
      <c r="K4">
        <v>75279701.749573618</v>
      </c>
      <c r="L4">
        <v>75364974.686979055</v>
      </c>
      <c r="M4">
        <v>75612262.129959986</v>
      </c>
      <c r="N4">
        <v>75691136.540438861</v>
      </c>
      <c r="O4">
        <v>75972929.839881435</v>
      </c>
      <c r="P4">
        <v>75656114.454628572</v>
      </c>
      <c r="Q4">
        <v>75288002.174100414</v>
      </c>
      <c r="R4">
        <v>75009727.385218307</v>
      </c>
      <c r="S4">
        <v>74756951.609162375</v>
      </c>
      <c r="T4">
        <v>74744005.120497823</v>
      </c>
      <c r="U4">
        <v>74919509.514052212</v>
      </c>
      <c r="V4">
        <v>75329871.091271609</v>
      </c>
      <c r="W4">
        <v>75554403.687963843</v>
      </c>
      <c r="X4">
        <v>75778134.770667404</v>
      </c>
      <c r="Y4">
        <v>75739295.304673746</v>
      </c>
      <c r="Z4">
        <v>76129985.826713413</v>
      </c>
      <c r="AA4">
        <v>76492514.679286569</v>
      </c>
      <c r="AB4">
        <v>76670111.160201222</v>
      </c>
      <c r="AC4">
        <v>76475614.960610062</v>
      </c>
      <c r="AD4">
        <v>76415379.146613613</v>
      </c>
      <c r="AE4">
        <v>76838524.192703247</v>
      </c>
      <c r="AF4">
        <v>77395888.869439021</v>
      </c>
    </row>
    <row r="5" spans="1:35" ht="14" customHeight="1" x14ac:dyDescent="0.15">
      <c r="A5" s="48" t="s">
        <v>180</v>
      </c>
      <c r="B5">
        <v>34039027.409800559</v>
      </c>
      <c r="C5">
        <v>34003878.957167901</v>
      </c>
      <c r="D5">
        <v>33968730.504535243</v>
      </c>
      <c r="E5">
        <v>34996986.820549726</v>
      </c>
      <c r="F5">
        <v>35925525.852821939</v>
      </c>
      <c r="G5">
        <v>36739324.721802562</v>
      </c>
      <c r="H5">
        <v>37128215.2560829</v>
      </c>
      <c r="I5">
        <v>37297219.214855462</v>
      </c>
      <c r="J5">
        <v>37879668.487702392</v>
      </c>
      <c r="K5">
        <v>38082181.852093659</v>
      </c>
      <c r="L5">
        <v>38125319.370360382</v>
      </c>
      <c r="M5">
        <v>38250416.111639537</v>
      </c>
      <c r="N5">
        <v>38290316.769765504</v>
      </c>
      <c r="O5">
        <v>38432869.189935453</v>
      </c>
      <c r="P5">
        <v>38272599.942922808</v>
      </c>
      <c r="Q5">
        <v>38086380.836267777</v>
      </c>
      <c r="R5">
        <v>37945608.345559537</v>
      </c>
      <c r="S5">
        <v>37817735.189212702</v>
      </c>
      <c r="T5">
        <v>37811185.873471387</v>
      </c>
      <c r="U5">
        <v>37899969.304806083</v>
      </c>
      <c r="V5">
        <v>38107561.30963055</v>
      </c>
      <c r="W5">
        <v>38221146.924082123</v>
      </c>
      <c r="X5">
        <v>38334327.071976781</v>
      </c>
      <c r="Y5">
        <v>38314679.124752849</v>
      </c>
      <c r="Z5">
        <v>38512320.018146649</v>
      </c>
      <c r="AA5">
        <v>38695714.603532337</v>
      </c>
      <c r="AB5">
        <v>38785556.371303707</v>
      </c>
      <c r="AC5">
        <v>38687165.444264561</v>
      </c>
      <c r="AD5">
        <v>38656693.601665437</v>
      </c>
      <c r="AE5">
        <v>38870752.454456918</v>
      </c>
      <c r="AF5">
        <v>39152709.774744853</v>
      </c>
    </row>
    <row r="6" spans="1:35" ht="14" customHeight="1" x14ac:dyDescent="0.15">
      <c r="A6" s="48" t="s">
        <v>181</v>
      </c>
      <c r="B6">
        <v>755285525.8495729</v>
      </c>
      <c r="C6">
        <v>769365111.60301459</v>
      </c>
      <c r="D6">
        <v>783444697.35645616</v>
      </c>
      <c r="E6">
        <v>799042444.55331779</v>
      </c>
      <c r="F6">
        <v>812954214.02035546</v>
      </c>
      <c r="G6">
        <v>829322132.15287089</v>
      </c>
      <c r="H6">
        <v>845976636.61908722</v>
      </c>
      <c r="I6">
        <v>862774443.09249985</v>
      </c>
      <c r="J6">
        <v>880713661.98769832</v>
      </c>
      <c r="K6">
        <v>897311234.62625599</v>
      </c>
      <c r="L6">
        <v>912450132.50902021</v>
      </c>
      <c r="M6">
        <v>929079265.18247557</v>
      </c>
      <c r="N6">
        <v>945034073.95063031</v>
      </c>
      <c r="O6">
        <v>958025952.38368738</v>
      </c>
      <c r="P6">
        <v>969514918.97001886</v>
      </c>
      <c r="Q6">
        <v>980800875.85287976</v>
      </c>
      <c r="R6">
        <v>992412670.20528066</v>
      </c>
      <c r="S6">
        <v>1002993202.84593</v>
      </c>
      <c r="T6">
        <v>1014183719.35435</v>
      </c>
      <c r="U6">
        <v>1025931743.43722</v>
      </c>
      <c r="V6">
        <v>1037553580.422574</v>
      </c>
      <c r="W6">
        <v>1049179201.075978</v>
      </c>
      <c r="X6">
        <v>1061456355.222927</v>
      </c>
      <c r="Y6">
        <v>1073608595.282172</v>
      </c>
      <c r="Z6">
        <v>1085963031.733063</v>
      </c>
      <c r="AA6">
        <v>1098336085.952441</v>
      </c>
      <c r="AB6">
        <v>1110275609.608407</v>
      </c>
      <c r="AC6">
        <v>1122639151.6155851</v>
      </c>
      <c r="AD6">
        <v>1135233762.584152</v>
      </c>
      <c r="AE6">
        <v>1147499052.9868901</v>
      </c>
      <c r="AF6">
        <v>1159784021.999624</v>
      </c>
    </row>
    <row r="7" spans="1:35" ht="14" customHeight="1" x14ac:dyDescent="0.15">
      <c r="A7" s="48" t="s">
        <v>182</v>
      </c>
      <c r="B7">
        <v>5350070.5852768933</v>
      </c>
      <c r="C7">
        <v>5336945.0905660167</v>
      </c>
      <c r="D7">
        <v>5323819.5958551392</v>
      </c>
      <c r="E7">
        <v>5403319.3290608786</v>
      </c>
      <c r="F7">
        <v>5512821.9950732859</v>
      </c>
      <c r="G7">
        <v>5620223.3526137443</v>
      </c>
      <c r="H7">
        <v>5728714.8126609894</v>
      </c>
      <c r="I7">
        <v>5838935.8041628236</v>
      </c>
      <c r="J7">
        <v>5945613.5611543851</v>
      </c>
      <c r="K7">
        <v>6060230.9706979953</v>
      </c>
      <c r="L7">
        <v>6169809.0929958494</v>
      </c>
      <c r="M7">
        <v>6269567.5774169937</v>
      </c>
      <c r="N7">
        <v>6373779.8174828384</v>
      </c>
      <c r="O7">
        <v>6471253.0544018578</v>
      </c>
      <c r="P7">
        <v>6564435.6038188916</v>
      </c>
      <c r="Q7">
        <v>6654987.0453129616</v>
      </c>
      <c r="R7">
        <v>6746639.1394327572</v>
      </c>
      <c r="S7">
        <v>6845014.8702217964</v>
      </c>
      <c r="T7">
        <v>6949836.035630689</v>
      </c>
      <c r="U7">
        <v>7059285.4923475813</v>
      </c>
      <c r="V7">
        <v>7170262.4228063636</v>
      </c>
      <c r="W7">
        <v>7285303.4425603729</v>
      </c>
      <c r="X7">
        <v>7412996.3484251099</v>
      </c>
      <c r="Y7">
        <v>7541979.5797060411</v>
      </c>
      <c r="Z7">
        <v>7675731.2353965193</v>
      </c>
      <c r="AA7">
        <v>7812558.0214069989</v>
      </c>
      <c r="AB7">
        <v>7958931.9770050943</v>
      </c>
      <c r="AC7">
        <v>8102520.9305539783</v>
      </c>
      <c r="AD7">
        <v>8233787.803884157</v>
      </c>
      <c r="AE7">
        <v>8363635.4568667654</v>
      </c>
      <c r="AF7">
        <v>8499314.5734171253</v>
      </c>
    </row>
    <row r="8" spans="1:35" ht="14" customHeight="1" x14ac:dyDescent="0.15">
      <c r="A8" s="48" t="s">
        <v>183</v>
      </c>
      <c r="B8">
        <v>922692127.26432168</v>
      </c>
      <c r="C8">
        <v>910096820.15734982</v>
      </c>
      <c r="D8">
        <v>897501513.05037796</v>
      </c>
      <c r="E8">
        <v>854556755.93213689</v>
      </c>
      <c r="F8">
        <v>874478258.03046167</v>
      </c>
      <c r="G8">
        <v>903880369.75216568</v>
      </c>
      <c r="H8">
        <v>902125232.56613004</v>
      </c>
      <c r="I8">
        <v>893290553.48308659</v>
      </c>
      <c r="J8">
        <v>890716570.40880549</v>
      </c>
      <c r="K8">
        <v>905741945.25814879</v>
      </c>
      <c r="L8">
        <v>921999741.72205245</v>
      </c>
      <c r="M8">
        <v>928905463.82179081</v>
      </c>
      <c r="N8">
        <v>936034706.0978471</v>
      </c>
      <c r="O8">
        <v>942253185.60265744</v>
      </c>
      <c r="P8">
        <v>948937373.76780975</v>
      </c>
      <c r="Q8">
        <v>956473331.55134237</v>
      </c>
      <c r="R8">
        <v>964742537.66277301</v>
      </c>
      <c r="S8">
        <v>973142265.27514935</v>
      </c>
      <c r="T8">
        <v>982996128.73540092</v>
      </c>
      <c r="U8">
        <v>991305834.0792861</v>
      </c>
      <c r="V8">
        <v>999253833.57208204</v>
      </c>
      <c r="W8">
        <v>1010865990.923979</v>
      </c>
      <c r="X8">
        <v>1024065241.135392</v>
      </c>
      <c r="Y8">
        <v>1037311123.69175</v>
      </c>
      <c r="Z8">
        <v>1049528443.3812931</v>
      </c>
      <c r="AA8">
        <v>1058147630.015018</v>
      </c>
      <c r="AB8">
        <v>1069074167.4605449</v>
      </c>
      <c r="AC8">
        <v>1077937797.7902601</v>
      </c>
      <c r="AD8">
        <v>1082993492.3697979</v>
      </c>
      <c r="AE8">
        <v>1093482101.937777</v>
      </c>
      <c r="AF8">
        <v>1112463165.867553</v>
      </c>
    </row>
    <row r="9" spans="1:35" ht="14" customHeight="1" x14ac:dyDescent="0.15">
      <c r="A9" s="48" t="s">
        <v>184</v>
      </c>
      <c r="B9">
        <v>2651488435.0538821</v>
      </c>
      <c r="C9" s="57">
        <v>2687485452.665648</v>
      </c>
      <c r="D9" s="57">
        <v>2723482470.2774129</v>
      </c>
      <c r="E9" s="57">
        <v>2769517616.0194421</v>
      </c>
      <c r="F9" s="57">
        <v>2800933765.3232679</v>
      </c>
      <c r="G9" s="57">
        <v>2817873715.37253</v>
      </c>
      <c r="H9" s="57">
        <v>2842360233.6174102</v>
      </c>
      <c r="I9" s="57">
        <v>2857599007.4842501</v>
      </c>
      <c r="J9" s="57">
        <v>2882453619.9064422</v>
      </c>
      <c r="K9" s="57">
        <v>2904733920.8432369</v>
      </c>
      <c r="L9" s="57">
        <v>2917718041.94138</v>
      </c>
      <c r="M9" s="57">
        <v>2936929010.6420541</v>
      </c>
      <c r="N9" s="57">
        <v>2948756079.4292698</v>
      </c>
      <c r="O9" s="57">
        <v>2953812510.5725389</v>
      </c>
      <c r="P9" s="57">
        <v>2955934890.0139651</v>
      </c>
      <c r="Q9" s="57">
        <v>2956355425.6128149</v>
      </c>
      <c r="R9" s="57">
        <v>2958657506.8792701</v>
      </c>
      <c r="S9" s="57">
        <v>2964759430.8888488</v>
      </c>
      <c r="T9" s="57">
        <v>2973866219.6212988</v>
      </c>
      <c r="U9" s="57">
        <v>2981842342.3004732</v>
      </c>
      <c r="V9" s="57">
        <v>2989203528.0871272</v>
      </c>
      <c r="W9" s="57">
        <v>3007625869.7479501</v>
      </c>
      <c r="X9" s="57">
        <v>3028406075.1338491</v>
      </c>
      <c r="Y9" s="57">
        <v>3047321100.734859</v>
      </c>
      <c r="Z9" s="57">
        <v>3055577134.46106</v>
      </c>
      <c r="AA9" s="57">
        <v>3063012140.4757471</v>
      </c>
      <c r="AB9" s="57">
        <v>3080690612.9538598</v>
      </c>
      <c r="AC9" s="57">
        <v>3091938486.557302</v>
      </c>
      <c r="AD9" s="57">
        <v>3098417854.7226629</v>
      </c>
      <c r="AE9" s="57">
        <v>3111732659.1389871</v>
      </c>
      <c r="AF9" s="57">
        <v>3134347983.1849642</v>
      </c>
      <c r="AG9" s="57"/>
    </row>
    <row r="10" spans="1:35" ht="14" customHeight="1" x14ac:dyDescent="0.15">
      <c r="A10" s="48" t="s">
        <v>136</v>
      </c>
      <c r="B10">
        <v>33798449612.403099</v>
      </c>
      <c r="C10">
        <v>34060457506.757801</v>
      </c>
      <c r="D10">
        <v>34322465401.112499</v>
      </c>
      <c r="E10">
        <v>32902376377.721958</v>
      </c>
      <c r="F10">
        <v>32976948039.098179</v>
      </c>
      <c r="G10">
        <v>33385693384.188511</v>
      </c>
      <c r="H10">
        <v>33513277235.04472</v>
      </c>
      <c r="I10">
        <v>33600792049.6591</v>
      </c>
      <c r="J10">
        <v>33663756799.868389</v>
      </c>
      <c r="K10">
        <v>33667313473.566761</v>
      </c>
      <c r="L10">
        <v>33899875134.40662</v>
      </c>
      <c r="M10">
        <v>34057518482.38678</v>
      </c>
      <c r="N10">
        <v>34217259389.986351</v>
      </c>
      <c r="O10">
        <v>34430795841.050842</v>
      </c>
      <c r="P10">
        <v>34625184138.435219</v>
      </c>
      <c r="Q10">
        <v>34839940502.192047</v>
      </c>
      <c r="R10">
        <v>35063668643.475441</v>
      </c>
      <c r="S10">
        <v>35328163581.582909</v>
      </c>
      <c r="T10">
        <v>35600774578.881042</v>
      </c>
      <c r="U10">
        <v>35908818476.85952</v>
      </c>
      <c r="V10">
        <v>36498541671.412483</v>
      </c>
      <c r="W10">
        <v>36805385392.43071</v>
      </c>
      <c r="X10">
        <v>37131761161.269073</v>
      </c>
      <c r="Y10">
        <v>37475891791.430733</v>
      </c>
      <c r="Z10">
        <v>37842257653.582611</v>
      </c>
      <c r="AA10">
        <v>38232934414.701477</v>
      </c>
      <c r="AB10">
        <v>38658409944.781441</v>
      </c>
      <c r="AC10">
        <v>39089717473.561943</v>
      </c>
      <c r="AD10">
        <v>39828281196.566254</v>
      </c>
      <c r="AE10">
        <v>40307683913.555359</v>
      </c>
      <c r="AF10">
        <v>40822003885.795036</v>
      </c>
    </row>
    <row r="11" spans="1:35" ht="14" customHeight="1" x14ac:dyDescent="0.15">
      <c r="A11" s="48" t="s">
        <v>185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5" ht="14" customHeight="1" x14ac:dyDescent="0.15">
      <c r="A12" s="48" t="s">
        <v>186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5" ht="14" customHeight="1" x14ac:dyDescent="0.15">
      <c r="A13" s="48" t="s">
        <v>187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5" ht="14" customHeight="1" x14ac:dyDescent="0.15">
      <c r="A14" s="48" t="s">
        <v>188</v>
      </c>
      <c r="B14">
        <v>617537411.56263375</v>
      </c>
      <c r="C14">
        <v>622795365.13954854</v>
      </c>
      <c r="D14">
        <v>628053318.71646333</v>
      </c>
      <c r="E14">
        <v>632005268.91645873</v>
      </c>
      <c r="F14">
        <v>645220481.45225263</v>
      </c>
      <c r="G14">
        <v>652606620.30261803</v>
      </c>
      <c r="H14">
        <v>654081748.9136616</v>
      </c>
      <c r="I14">
        <v>655303413.7980727</v>
      </c>
      <c r="J14">
        <v>650357703.78362417</v>
      </c>
      <c r="K14">
        <v>646311223.767066</v>
      </c>
      <c r="L14">
        <v>645665905.74491632</v>
      </c>
      <c r="M14">
        <v>645132142.54789555</v>
      </c>
      <c r="N14">
        <v>640383687.51346827</v>
      </c>
      <c r="O14">
        <v>636952594.31920123</v>
      </c>
      <c r="P14">
        <v>634128100.57320666</v>
      </c>
      <c r="Q14">
        <v>630092852.15693426</v>
      </c>
      <c r="R14">
        <v>624609767.58001161</v>
      </c>
      <c r="S14">
        <v>618417028.54767513</v>
      </c>
      <c r="T14">
        <v>614564581.19208014</v>
      </c>
      <c r="U14">
        <v>609957434.57450283</v>
      </c>
      <c r="V14">
        <v>612553887.93005407</v>
      </c>
      <c r="W14">
        <v>614641620.83590865</v>
      </c>
      <c r="X14">
        <v>615827476.53687799</v>
      </c>
      <c r="Y14">
        <v>620534895.63411617</v>
      </c>
      <c r="Z14">
        <v>624911227.79129982</v>
      </c>
      <c r="AA14">
        <v>628758000.14403963</v>
      </c>
      <c r="AB14">
        <v>633596925.38046861</v>
      </c>
      <c r="AC14">
        <v>637977714.65613937</v>
      </c>
      <c r="AD14">
        <v>642705905.44788206</v>
      </c>
      <c r="AE14">
        <v>647376356.68002248</v>
      </c>
      <c r="AF14">
        <v>653865591.35334003</v>
      </c>
    </row>
    <row r="15" spans="1:35" ht="14" customHeight="1" x14ac:dyDescent="0.15">
      <c r="A15" s="48" t="s">
        <v>189</v>
      </c>
      <c r="B15">
        <v>0</v>
      </c>
      <c r="C15" s="57">
        <v>0</v>
      </c>
      <c r="D15" s="57">
        <v>0</v>
      </c>
      <c r="E15" s="57">
        <v>0</v>
      </c>
      <c r="F15" s="57">
        <v>0</v>
      </c>
      <c r="G15" s="57">
        <v>0</v>
      </c>
      <c r="H15" s="57">
        <v>0</v>
      </c>
      <c r="I15" s="57">
        <v>0</v>
      </c>
      <c r="J15" s="57">
        <v>0</v>
      </c>
      <c r="K15" s="57">
        <v>0</v>
      </c>
      <c r="L15" s="57">
        <v>0</v>
      </c>
      <c r="M15" s="57">
        <v>0</v>
      </c>
      <c r="N15" s="57">
        <v>0</v>
      </c>
      <c r="O15" s="57">
        <v>0</v>
      </c>
      <c r="P15" s="57">
        <v>0</v>
      </c>
      <c r="Q15" s="57">
        <v>0</v>
      </c>
      <c r="R15" s="57">
        <v>0</v>
      </c>
      <c r="S15" s="57">
        <v>0</v>
      </c>
      <c r="T15" s="57">
        <v>0</v>
      </c>
      <c r="U15" s="57">
        <v>0</v>
      </c>
      <c r="V15" s="57">
        <v>0</v>
      </c>
      <c r="W15" s="57">
        <v>0</v>
      </c>
      <c r="X15" s="57">
        <v>0</v>
      </c>
      <c r="Y15" s="57">
        <v>0</v>
      </c>
      <c r="Z15" s="57">
        <v>0</v>
      </c>
      <c r="AA15" s="57">
        <v>0</v>
      </c>
      <c r="AB15" s="57">
        <v>0</v>
      </c>
      <c r="AC15" s="57">
        <v>0</v>
      </c>
      <c r="AD15" s="57">
        <v>0</v>
      </c>
      <c r="AE15" s="57">
        <v>0</v>
      </c>
      <c r="AF15" s="57">
        <v>0</v>
      </c>
      <c r="AG15" s="57"/>
    </row>
    <row r="16" spans="1:35" ht="14" customHeight="1" x14ac:dyDescent="0.15">
      <c r="A16" s="48" t="s">
        <v>190</v>
      </c>
      <c r="B16">
        <v>11520602.6967154</v>
      </c>
      <c r="C16">
        <v>11520602.6967154</v>
      </c>
      <c r="D16">
        <v>11520602.6967154</v>
      </c>
      <c r="E16">
        <v>11520602.6967154</v>
      </c>
      <c r="F16">
        <v>11520602.6967154</v>
      </c>
      <c r="G16">
        <v>11520602.6967154</v>
      </c>
      <c r="H16">
        <v>11520602.6967154</v>
      </c>
      <c r="I16">
        <v>11520602.6967154</v>
      </c>
      <c r="J16">
        <v>11520602.6967154</v>
      </c>
      <c r="K16">
        <v>11520602.6967154</v>
      </c>
      <c r="L16">
        <v>11520602.6967154</v>
      </c>
      <c r="M16">
        <v>11520602.6967154</v>
      </c>
      <c r="N16">
        <v>11520602.6967154</v>
      </c>
      <c r="O16">
        <v>11520602.6967154</v>
      </c>
      <c r="P16">
        <v>11520602.6967154</v>
      </c>
      <c r="Q16">
        <v>11520602.6967154</v>
      </c>
      <c r="R16">
        <v>11520602.6967154</v>
      </c>
      <c r="S16">
        <v>11520602.6967154</v>
      </c>
      <c r="T16">
        <v>11520602.6967154</v>
      </c>
      <c r="U16">
        <v>11520602.6967154</v>
      </c>
      <c r="V16">
        <v>11520602.6967154</v>
      </c>
      <c r="W16">
        <v>11520602.6967154</v>
      </c>
      <c r="X16">
        <v>11520602.6967154</v>
      </c>
      <c r="Y16">
        <v>11520602.6967154</v>
      </c>
      <c r="Z16">
        <v>11520602.6967154</v>
      </c>
      <c r="AA16">
        <v>11520602.6967154</v>
      </c>
      <c r="AB16">
        <v>11520602.6967154</v>
      </c>
      <c r="AC16">
        <v>11520602.6967154</v>
      </c>
      <c r="AD16">
        <v>11520602.6967154</v>
      </c>
      <c r="AE16">
        <v>11520602.6967154</v>
      </c>
      <c r="AF16">
        <v>17873387.502493281</v>
      </c>
    </row>
    <row r="17" spans="1:33" ht="14" customHeight="1" x14ac:dyDescent="0.15">
      <c r="A17" s="48" t="s">
        <v>191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3" ht="14" customHeight="1" x14ac:dyDescent="0.15">
      <c r="A18" s="48" t="s">
        <v>192</v>
      </c>
      <c r="B18">
        <v>0</v>
      </c>
      <c r="C18" s="30">
        <v>0</v>
      </c>
      <c r="D18" s="30">
        <v>0</v>
      </c>
      <c r="E18" s="30">
        <v>0</v>
      </c>
      <c r="F18" s="30">
        <v>0</v>
      </c>
      <c r="G18" s="30">
        <v>0</v>
      </c>
      <c r="H18" s="30">
        <v>0</v>
      </c>
      <c r="I18" s="30">
        <v>0</v>
      </c>
      <c r="J18" s="30">
        <v>0</v>
      </c>
      <c r="K18" s="30">
        <v>0</v>
      </c>
      <c r="L18" s="30">
        <v>0</v>
      </c>
      <c r="M18" s="30">
        <v>0</v>
      </c>
      <c r="N18" s="30">
        <v>0</v>
      </c>
      <c r="O18" s="30">
        <v>0</v>
      </c>
      <c r="P18" s="30">
        <v>0</v>
      </c>
      <c r="Q18" s="30">
        <v>0</v>
      </c>
      <c r="R18" s="30">
        <v>0</v>
      </c>
      <c r="S18" s="30">
        <v>0</v>
      </c>
      <c r="T18" s="30">
        <v>0</v>
      </c>
      <c r="U18" s="30">
        <v>0</v>
      </c>
      <c r="V18" s="30">
        <v>0</v>
      </c>
      <c r="W18" s="30">
        <v>0</v>
      </c>
      <c r="X18" s="30">
        <v>0</v>
      </c>
      <c r="Y18" s="30">
        <v>0</v>
      </c>
      <c r="Z18" s="30">
        <v>0</v>
      </c>
      <c r="AA18" s="30">
        <v>0</v>
      </c>
      <c r="AB18" s="30">
        <v>0</v>
      </c>
      <c r="AC18" s="30">
        <v>0</v>
      </c>
      <c r="AD18" s="30">
        <v>0</v>
      </c>
      <c r="AE18" s="30">
        <v>0</v>
      </c>
      <c r="AF18" s="30">
        <v>0</v>
      </c>
      <c r="AG18" s="30"/>
    </row>
    <row r="19" spans="1:33" ht="14" customHeight="1" x14ac:dyDescent="0.15">
      <c r="A19" s="48" t="s">
        <v>193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3" ht="14" customHeight="1" x14ac:dyDescent="0.15">
      <c r="A20" s="48" t="s">
        <v>194</v>
      </c>
      <c r="B20">
        <v>0</v>
      </c>
      <c r="C20" s="57">
        <v>0</v>
      </c>
      <c r="D20" s="57">
        <v>0</v>
      </c>
      <c r="E20" s="57">
        <v>0</v>
      </c>
      <c r="F20" s="57">
        <v>0</v>
      </c>
      <c r="G20" s="57">
        <v>0</v>
      </c>
      <c r="H20" s="57">
        <v>0</v>
      </c>
      <c r="I20" s="57">
        <v>0</v>
      </c>
      <c r="J20" s="57">
        <v>0</v>
      </c>
      <c r="K20" s="57">
        <v>0</v>
      </c>
      <c r="L20" s="57">
        <v>0</v>
      </c>
      <c r="M20" s="57">
        <v>0</v>
      </c>
      <c r="N20" s="57">
        <v>0</v>
      </c>
      <c r="O20" s="57">
        <v>0</v>
      </c>
      <c r="P20" s="57">
        <v>0</v>
      </c>
      <c r="Q20" s="57">
        <v>0</v>
      </c>
      <c r="R20" s="57">
        <v>0</v>
      </c>
      <c r="S20" s="57">
        <v>0</v>
      </c>
      <c r="T20" s="57">
        <v>0</v>
      </c>
      <c r="U20" s="57">
        <v>0</v>
      </c>
      <c r="V20" s="57">
        <v>0</v>
      </c>
      <c r="W20" s="57">
        <v>0</v>
      </c>
      <c r="X20" s="57">
        <v>0</v>
      </c>
      <c r="Y20" s="57">
        <v>0</v>
      </c>
      <c r="Z20" s="57">
        <v>0</v>
      </c>
      <c r="AA20" s="57">
        <v>0</v>
      </c>
      <c r="AB20" s="57">
        <v>0</v>
      </c>
      <c r="AC20" s="57">
        <v>0</v>
      </c>
      <c r="AD20" s="57">
        <v>0</v>
      </c>
      <c r="AE20" s="57">
        <v>0</v>
      </c>
      <c r="AF20" s="57">
        <v>0</v>
      </c>
      <c r="AG20" s="57"/>
    </row>
    <row r="21" spans="1:33" ht="14" customHeight="1" x14ac:dyDescent="0.15">
      <c r="A21" s="48" t="s">
        <v>195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3" ht="14" customHeight="1" x14ac:dyDescent="0.15">
      <c r="A22" s="48" t="s">
        <v>196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3" ht="14" customHeight="1" x14ac:dyDescent="0.15">
      <c r="A23" s="48" t="s">
        <v>197</v>
      </c>
      <c r="B23">
        <v>46262508.413857117</v>
      </c>
      <c r="C23">
        <v>46149011.161845349</v>
      </c>
      <c r="D23">
        <v>46035513.909833573</v>
      </c>
      <c r="E23">
        <v>46722954.760885358</v>
      </c>
      <c r="F23">
        <v>47669833.484631501</v>
      </c>
      <c r="G23">
        <v>48598542.018038273</v>
      </c>
      <c r="H23">
        <v>49536676.759116173</v>
      </c>
      <c r="I23">
        <v>50489766.903528422</v>
      </c>
      <c r="J23">
        <v>51412218.402388059</v>
      </c>
      <c r="K23">
        <v>52403324.741803087</v>
      </c>
      <c r="L23">
        <v>53350855.942368872</v>
      </c>
      <c r="M23">
        <v>54213475.911830083</v>
      </c>
      <c r="N23">
        <v>55114607.879348502</v>
      </c>
      <c r="O23">
        <v>55957467.122271679</v>
      </c>
      <c r="P23">
        <v>56763224.431024469</v>
      </c>
      <c r="Q23">
        <v>57546230.329214789</v>
      </c>
      <c r="R23">
        <v>58338753.662838288</v>
      </c>
      <c r="S23">
        <v>59189416.845838457</v>
      </c>
      <c r="T23">
        <v>60095814.241795108</v>
      </c>
      <c r="U23">
        <v>61042232.86030671</v>
      </c>
      <c r="V23">
        <v>62001859.672188804</v>
      </c>
      <c r="W23">
        <v>62996629.004570067</v>
      </c>
      <c r="X23">
        <v>64100800.255733393</v>
      </c>
      <c r="Y23">
        <v>65216129.058833987</v>
      </c>
      <c r="Z23">
        <v>66372690.827154621</v>
      </c>
      <c r="AA23">
        <v>67555843.504891351</v>
      </c>
      <c r="AB23">
        <v>68821551.357617915</v>
      </c>
      <c r="AC23">
        <v>70063177.064383879</v>
      </c>
      <c r="AD23">
        <v>71198252.711537018</v>
      </c>
      <c r="AE23">
        <v>72321056.241486445</v>
      </c>
      <c r="AF23">
        <v>73494284.925285369</v>
      </c>
    </row>
    <row r="24" spans="1:33" ht="14" customHeight="1" x14ac:dyDescent="0.15">
      <c r="A24" s="48" t="s">
        <v>198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3" ht="14" customHeight="1" x14ac:dyDescent="0.15">
      <c r="A25" s="48" t="s">
        <v>199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3" ht="14" customHeight="1" x14ac:dyDescent="0.15">
      <c r="A26" s="48" t="s">
        <v>200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3" ht="14" customHeight="1" x14ac:dyDescent="0.15"/>
    <row r="28" spans="1:33" ht="14.5" customHeight="1" x14ac:dyDescent="0.2">
      <c r="A28" s="29"/>
    </row>
    <row r="29" spans="1:33" ht="14" customHeight="1" x14ac:dyDescent="0.15"/>
    <row r="30" spans="1:33" ht="14.5" customHeight="1" x14ac:dyDescent="0.2">
      <c r="A30" s="29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 spans="1:33" ht="14" customHeight="1" x14ac:dyDescent="0.15"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 spans="1:33" ht="14" customHeight="1" x14ac:dyDescent="0.15"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 spans="1:35" ht="14.5" customHeight="1" x14ac:dyDescent="0.2">
      <c r="A33" s="29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 spans="1:35" ht="14" customHeight="1" x14ac:dyDescent="0.15">
      <c r="A34" s="31"/>
      <c r="B34" s="32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</row>
    <row r="35" spans="1:35" ht="14" customHeight="1" x14ac:dyDescent="0.15">
      <c r="A35" s="31"/>
      <c r="B35" s="32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58"/>
    </row>
    <row r="36" spans="1:35" ht="14" customHeight="1" x14ac:dyDescent="0.15">
      <c r="A36" s="31"/>
      <c r="B36" s="32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</row>
    <row r="37" spans="1:35" ht="14" customHeight="1" x14ac:dyDescent="0.15">
      <c r="A37" s="31"/>
      <c r="B37" s="32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</row>
    <row r="38" spans="1:35" ht="14" customHeight="1" x14ac:dyDescent="0.15">
      <c r="A38" s="31"/>
      <c r="B38" s="32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</row>
    <row r="39" spans="1:35" ht="14" customHeight="1" x14ac:dyDescent="0.15">
      <c r="A39" s="31"/>
      <c r="B39" s="32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</row>
    <row r="40" spans="1:35" ht="14" customHeight="1" x14ac:dyDescent="0.15">
      <c r="A40" s="31"/>
      <c r="B40" s="32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</row>
    <row r="41" spans="1:35" ht="14" customHeight="1" x14ac:dyDescent="0.15">
      <c r="A41" s="31"/>
      <c r="B41" s="32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</row>
    <row r="42" spans="1:35" ht="14" customHeight="1" x14ac:dyDescent="0.15">
      <c r="A42" s="31"/>
      <c r="B42" s="32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58"/>
      <c r="AG42" s="58"/>
      <c r="AH42" s="58"/>
      <c r="AI42" s="58"/>
    </row>
    <row r="43" spans="1:35" ht="14" customHeight="1" x14ac:dyDescent="0.15">
      <c r="A43" s="31"/>
      <c r="B43" s="32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  <c r="AD43" s="58"/>
      <c r="AE43" s="58"/>
      <c r="AF43" s="58"/>
      <c r="AG43" s="58"/>
      <c r="AH43" s="58"/>
      <c r="AI43" s="58"/>
    </row>
    <row r="44" spans="1:35" ht="14" customHeight="1" x14ac:dyDescent="0.15">
      <c r="A44" s="31"/>
      <c r="B44" s="32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</row>
    <row r="45" spans="1:35" ht="14" customHeight="1" x14ac:dyDescent="0.15">
      <c r="A45" s="31"/>
      <c r="B45" s="32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</row>
    <row r="46" spans="1:35" ht="14" customHeight="1" x14ac:dyDescent="0.15">
      <c r="A46" s="33"/>
      <c r="B46" s="34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</row>
    <row r="47" spans="1:35" ht="14.5" customHeight="1" x14ac:dyDescent="0.2">
      <c r="A47" s="29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 spans="1:35" ht="14" customHeight="1" x14ac:dyDescent="0.15">
      <c r="A48" s="31"/>
      <c r="B48" s="32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  <c r="AD48" s="58"/>
      <c r="AE48" s="58"/>
      <c r="AF48" s="58"/>
      <c r="AG48" s="58"/>
      <c r="AH48" s="58"/>
      <c r="AI48" s="58"/>
    </row>
    <row r="49" spans="1:35" ht="14" customHeight="1" x14ac:dyDescent="0.15">
      <c r="A49" s="31"/>
      <c r="B49" s="32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  <c r="AC49" s="58"/>
      <c r="AD49" s="58"/>
      <c r="AE49" s="58"/>
      <c r="AF49" s="58"/>
      <c r="AG49" s="58"/>
      <c r="AH49" s="58"/>
      <c r="AI49" s="58"/>
    </row>
    <row r="50" spans="1:35" ht="14.5" customHeight="1" x14ac:dyDescent="0.2">
      <c r="A50" s="35"/>
      <c r="B50" s="32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  <c r="AD50" s="58"/>
      <c r="AE50" s="58"/>
      <c r="AF50" s="58"/>
      <c r="AG50" s="58"/>
      <c r="AH50" s="58"/>
      <c r="AI50" s="58"/>
    </row>
    <row r="51" spans="1:35" ht="14" customHeight="1" x14ac:dyDescent="0.15">
      <c r="A51" s="31"/>
      <c r="B51" s="32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  <c r="AD51" s="58"/>
      <c r="AE51" s="58"/>
      <c r="AF51" s="58"/>
      <c r="AG51" s="58"/>
      <c r="AH51" s="58"/>
      <c r="AI51" s="58"/>
    </row>
    <row r="52" spans="1:35" ht="14" customHeight="1" x14ac:dyDescent="0.15">
      <c r="A52" s="31"/>
      <c r="B52" s="32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</row>
    <row r="53" spans="1:35" ht="14" customHeight="1" x14ac:dyDescent="0.15">
      <c r="A53" s="31"/>
      <c r="B53" s="32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</row>
    <row r="54" spans="1:35" ht="14" customHeight="1" x14ac:dyDescent="0.15">
      <c r="A54" s="31"/>
      <c r="B54" s="32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</row>
    <row r="55" spans="1:35" ht="14" customHeight="1" x14ac:dyDescent="0.15">
      <c r="A55" s="31"/>
      <c r="B55" s="32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  <c r="AB55" s="58"/>
      <c r="AC55" s="58"/>
      <c r="AD55" s="58"/>
      <c r="AE55" s="58"/>
      <c r="AF55" s="58"/>
      <c r="AG55" s="58"/>
      <c r="AH55" s="58"/>
      <c r="AI55" s="58"/>
    </row>
    <row r="56" spans="1:35" ht="14" customHeight="1" x14ac:dyDescent="0.15">
      <c r="A56" s="31"/>
      <c r="B56" s="36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  <c r="AD56" s="58"/>
      <c r="AE56" s="58"/>
      <c r="AF56" s="58"/>
      <c r="AG56" s="58"/>
      <c r="AH56" s="58"/>
      <c r="AI56" s="58"/>
    </row>
    <row r="57" spans="1:35" ht="14" customHeight="1" x14ac:dyDescent="0.15">
      <c r="A57" s="31"/>
      <c r="B57" s="36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  <c r="AI57" s="58"/>
    </row>
    <row r="58" spans="1:35" ht="14" customHeight="1" x14ac:dyDescent="0.15">
      <c r="A58" s="31"/>
      <c r="B58" s="36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</row>
    <row r="59" spans="1:35" ht="14" customHeight="1" x14ac:dyDescent="0.15">
      <c r="A59" s="31"/>
      <c r="B59" s="36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</row>
    <row r="60" spans="1:35" ht="14" customHeight="1" x14ac:dyDescent="0.15">
      <c r="A60" s="31"/>
      <c r="B60" s="36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  <c r="AB60" s="58"/>
      <c r="AC60" s="58"/>
      <c r="AD60" s="58"/>
      <c r="AE60" s="58"/>
      <c r="AF60" s="58"/>
      <c r="AG60" s="58"/>
      <c r="AH60" s="58"/>
      <c r="AI60" s="58"/>
    </row>
    <row r="61" spans="1:35" ht="14" customHeight="1" x14ac:dyDescent="0.15">
      <c r="A61" s="31"/>
      <c r="B61" s="3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</row>
    <row r="62" spans="1:35" ht="14" customHeight="1" x14ac:dyDescent="0.15">
      <c r="A62" s="33"/>
      <c r="B62" s="36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</row>
    <row r="63" spans="1:35" ht="14.5" customHeight="1" x14ac:dyDescent="0.2">
      <c r="A63" s="37"/>
      <c r="B63" s="36"/>
    </row>
    <row r="64" spans="1:35" ht="14" customHeight="1" x14ac:dyDescent="0.15">
      <c r="A64" s="31"/>
      <c r="B64" s="36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</row>
    <row r="65" spans="1:35" ht="14" customHeight="1" x14ac:dyDescent="0.15">
      <c r="A65" s="31"/>
      <c r="B65" s="36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</row>
    <row r="66" spans="1:35" ht="14" customHeight="1" x14ac:dyDescent="0.15">
      <c r="A66" s="31"/>
      <c r="B66" s="36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  <c r="AD66" s="58"/>
      <c r="AE66" s="58"/>
      <c r="AF66" s="58"/>
      <c r="AG66" s="58"/>
      <c r="AH66" s="58"/>
      <c r="AI66" s="58"/>
    </row>
    <row r="67" spans="1:35" ht="14" customHeight="1" x14ac:dyDescent="0.15">
      <c r="A67" s="31"/>
      <c r="B67" s="36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  <c r="AG67" s="58"/>
      <c r="AH67" s="58"/>
      <c r="AI67" s="58"/>
    </row>
    <row r="68" spans="1:35" ht="14" customHeight="1" x14ac:dyDescent="0.15">
      <c r="A68" s="31"/>
      <c r="B68" s="36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</row>
    <row r="69" spans="1:35" ht="14" customHeight="1" x14ac:dyDescent="0.15">
      <c r="A69" s="31"/>
      <c r="B69" s="36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</row>
    <row r="70" spans="1:35" ht="14" customHeight="1" x14ac:dyDescent="0.15">
      <c r="A70" s="31"/>
      <c r="B70" s="36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</row>
    <row r="71" spans="1:35" ht="14" customHeight="1" x14ac:dyDescent="0.15">
      <c r="A71" s="31"/>
      <c r="B71" s="36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</row>
    <row r="72" spans="1:35" ht="14" customHeight="1" x14ac:dyDescent="0.15">
      <c r="A72" s="31"/>
      <c r="B72" s="36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</row>
    <row r="73" spans="1:35" ht="14" customHeight="1" x14ac:dyDescent="0.15">
      <c r="A73" s="31"/>
      <c r="B73" s="36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  <c r="AD73" s="58"/>
      <c r="AE73" s="58"/>
      <c r="AF73" s="58"/>
      <c r="AG73" s="58"/>
      <c r="AH73" s="58"/>
      <c r="AI73" s="58"/>
    </row>
    <row r="74" spans="1:35" ht="14" customHeight="1" x14ac:dyDescent="0.15">
      <c r="A74" s="31"/>
      <c r="B74" s="36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  <c r="AD74" s="58"/>
      <c r="AE74" s="58"/>
      <c r="AF74" s="58"/>
      <c r="AG74" s="58"/>
      <c r="AH74" s="58"/>
      <c r="AI74" s="58"/>
    </row>
    <row r="75" spans="1:35" ht="14" customHeight="1" x14ac:dyDescent="0.15">
      <c r="A75" s="31"/>
      <c r="B75" s="36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</row>
    <row r="76" spans="1:35" ht="14" customHeight="1" x14ac:dyDescent="0.15">
      <c r="A76" s="33"/>
      <c r="B76" s="36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</row>
    <row r="77" spans="1:35" ht="14.5" customHeight="1" x14ac:dyDescent="0.2">
      <c r="A77" s="37"/>
      <c r="B77" s="36"/>
    </row>
    <row r="78" spans="1:35" ht="14.5" customHeight="1" x14ac:dyDescent="0.2">
      <c r="A78" s="37"/>
      <c r="B78" s="36"/>
    </row>
    <row r="79" spans="1:35" ht="14" customHeight="1" x14ac:dyDescent="0.15">
      <c r="A79" s="31"/>
      <c r="B79" s="36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  <c r="AB79" s="58"/>
      <c r="AC79" s="58"/>
      <c r="AD79" s="58"/>
      <c r="AE79" s="58"/>
      <c r="AF79" s="58"/>
      <c r="AG79" s="58"/>
      <c r="AH79" s="58"/>
      <c r="AI79" s="58"/>
    </row>
    <row r="80" spans="1:35" ht="14" customHeight="1" x14ac:dyDescent="0.15">
      <c r="A80" s="31"/>
      <c r="B80" s="36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</row>
    <row r="81" spans="1:35" ht="14" customHeight="1" x14ac:dyDescent="0.15">
      <c r="A81" s="31"/>
      <c r="B81" s="36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</row>
    <row r="82" spans="1:35" ht="14" customHeight="1" x14ac:dyDescent="0.15">
      <c r="A82" s="31"/>
      <c r="B82" s="32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  <c r="AD82" s="58"/>
      <c r="AE82" s="58"/>
      <c r="AF82" s="58"/>
      <c r="AG82" s="58"/>
      <c r="AH82" s="58"/>
      <c r="AI82" s="58"/>
    </row>
    <row r="83" spans="1:35" ht="14" customHeight="1" x14ac:dyDescent="0.15">
      <c r="A83" s="31"/>
      <c r="B83" s="32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  <c r="AB83" s="58"/>
      <c r="AC83" s="58"/>
      <c r="AD83" s="58"/>
      <c r="AE83" s="58"/>
      <c r="AF83" s="58"/>
      <c r="AG83" s="58"/>
      <c r="AH83" s="58"/>
      <c r="AI83" s="58"/>
    </row>
    <row r="84" spans="1:35" ht="14" customHeight="1" x14ac:dyDescent="0.15">
      <c r="A84" s="31"/>
      <c r="B84" s="32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</row>
    <row r="85" spans="1:35" ht="14" customHeight="1" x14ac:dyDescent="0.15">
      <c r="A85" s="31"/>
      <c r="B85" s="32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  <c r="AC85" s="58"/>
      <c r="AD85" s="58"/>
      <c r="AE85" s="58"/>
      <c r="AF85" s="58"/>
      <c r="AG85" s="58"/>
      <c r="AH85" s="58"/>
      <c r="AI85" s="58"/>
    </row>
    <row r="86" spans="1:35" ht="14" customHeight="1" x14ac:dyDescent="0.15">
      <c r="A86" s="31"/>
      <c r="B86" s="32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</row>
    <row r="87" spans="1:35" ht="14" customHeight="1" x14ac:dyDescent="0.15">
      <c r="A87" s="31"/>
      <c r="B87" s="32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  <c r="AC87" s="58"/>
      <c r="AD87" s="58"/>
      <c r="AE87" s="58"/>
      <c r="AF87" s="58"/>
      <c r="AG87" s="58"/>
      <c r="AH87" s="58"/>
      <c r="AI87" s="58"/>
    </row>
    <row r="88" spans="1:35" ht="14" customHeight="1" x14ac:dyDescent="0.15">
      <c r="A88" s="31"/>
      <c r="B88" s="32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  <c r="AB88" s="58"/>
      <c r="AC88" s="58"/>
      <c r="AD88" s="58"/>
      <c r="AE88" s="58"/>
      <c r="AF88" s="58"/>
      <c r="AG88" s="58"/>
      <c r="AH88" s="58"/>
      <c r="AI88" s="58"/>
    </row>
    <row r="89" spans="1:35" ht="14" customHeight="1" x14ac:dyDescent="0.15">
      <c r="A89" s="31"/>
      <c r="B89" s="32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  <c r="AD89" s="58"/>
      <c r="AE89" s="58"/>
      <c r="AF89" s="58"/>
      <c r="AG89" s="58"/>
      <c r="AH89" s="58"/>
      <c r="AI89" s="58"/>
    </row>
    <row r="90" spans="1:35" ht="14.5" customHeight="1" x14ac:dyDescent="0.2">
      <c r="A90" s="38"/>
      <c r="B90" s="32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  <c r="AB90" s="58"/>
      <c r="AC90" s="58"/>
      <c r="AD90" s="58"/>
      <c r="AE90" s="58"/>
      <c r="AF90" s="58"/>
      <c r="AG90" s="58"/>
      <c r="AH90" s="58"/>
      <c r="AI90" s="58"/>
    </row>
    <row r="91" spans="1:35" ht="14.5" customHeight="1" x14ac:dyDescent="0.2">
      <c r="A91" s="35"/>
      <c r="B91" s="32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</row>
    <row r="92" spans="1:35" ht="14" customHeight="1" x14ac:dyDescent="0.15">
      <c r="A92" s="31"/>
      <c r="B92" s="32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</row>
    <row r="93" spans="1:35" ht="14" customHeight="1" x14ac:dyDescent="0.15">
      <c r="A93" s="31"/>
      <c r="B93" s="32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  <c r="AB93" s="58"/>
      <c r="AC93" s="58"/>
      <c r="AD93" s="58"/>
      <c r="AE93" s="58"/>
      <c r="AF93" s="58"/>
      <c r="AG93" s="58"/>
      <c r="AH93" s="58"/>
      <c r="AI93" s="58"/>
    </row>
    <row r="94" spans="1:35" ht="14" customHeight="1" x14ac:dyDescent="0.15">
      <c r="A94" s="31"/>
      <c r="B94" s="32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  <c r="AB94" s="58"/>
      <c r="AC94" s="58"/>
      <c r="AD94" s="58"/>
      <c r="AE94" s="58"/>
      <c r="AF94" s="58"/>
      <c r="AG94" s="58"/>
      <c r="AH94" s="58"/>
      <c r="AI94" s="58"/>
    </row>
    <row r="95" spans="1:35" ht="14.5" customHeight="1" x14ac:dyDescent="0.2">
      <c r="A95" s="37"/>
    </row>
    <row r="96" spans="1:35" ht="14" customHeight="1" x14ac:dyDescent="0.15">
      <c r="A96" s="31"/>
      <c r="B96" s="32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  <c r="AB96" s="58"/>
      <c r="AC96" s="58"/>
      <c r="AD96" s="58"/>
      <c r="AE96" s="58"/>
      <c r="AF96" s="58"/>
      <c r="AG96" s="58"/>
      <c r="AH96" s="58"/>
      <c r="AI96" s="58"/>
    </row>
    <row r="97" spans="1:35" ht="14" customHeight="1" x14ac:dyDescent="0.15">
      <c r="A97" s="31"/>
      <c r="B97" s="32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  <c r="AA97" s="58"/>
      <c r="AB97" s="58"/>
      <c r="AC97" s="58"/>
      <c r="AD97" s="58"/>
      <c r="AE97" s="58"/>
      <c r="AF97" s="58"/>
      <c r="AG97" s="58"/>
      <c r="AH97" s="58"/>
      <c r="AI97" s="58"/>
    </row>
    <row r="98" spans="1:35" ht="14" customHeight="1" x14ac:dyDescent="0.15">
      <c r="A98" s="31"/>
      <c r="B98" s="32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  <c r="AA98" s="58"/>
      <c r="AB98" s="58"/>
      <c r="AC98" s="58"/>
      <c r="AD98" s="58"/>
      <c r="AE98" s="58"/>
      <c r="AF98" s="58"/>
      <c r="AG98" s="58"/>
      <c r="AH98" s="58"/>
      <c r="AI98" s="58"/>
    </row>
    <row r="99" spans="1:35" ht="14" customHeight="1" x14ac:dyDescent="0.15">
      <c r="A99" s="31"/>
      <c r="B99" s="32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  <c r="AA99" s="58"/>
      <c r="AB99" s="58"/>
      <c r="AC99" s="58"/>
      <c r="AD99" s="58"/>
      <c r="AE99" s="58"/>
      <c r="AF99" s="58"/>
      <c r="AG99" s="58"/>
      <c r="AH99" s="58"/>
      <c r="AI99" s="58"/>
    </row>
    <row r="100" spans="1:35" ht="14" customHeight="1" x14ac:dyDescent="0.15">
      <c r="A100" s="31"/>
      <c r="B100" s="32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  <c r="AB100" s="58"/>
      <c r="AC100" s="58"/>
      <c r="AD100" s="58"/>
      <c r="AE100" s="58"/>
      <c r="AF100" s="58"/>
      <c r="AG100" s="58"/>
      <c r="AH100" s="58"/>
      <c r="AI100" s="58"/>
    </row>
    <row r="101" spans="1:35" ht="14" customHeight="1" x14ac:dyDescent="0.15">
      <c r="A101" s="31"/>
      <c r="B101" s="32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  <c r="AA101" s="58"/>
      <c r="AB101" s="58"/>
      <c r="AC101" s="58"/>
      <c r="AD101" s="58"/>
      <c r="AE101" s="58"/>
      <c r="AF101" s="58"/>
      <c r="AG101" s="58"/>
      <c r="AH101" s="58"/>
      <c r="AI101" s="58"/>
    </row>
    <row r="102" spans="1:35" ht="14" customHeight="1" x14ac:dyDescent="0.15">
      <c r="A102" s="31"/>
      <c r="B102" s="32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</row>
    <row r="103" spans="1:35" ht="14" customHeight="1" x14ac:dyDescent="0.15">
      <c r="A103" s="31"/>
      <c r="B103" s="32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  <c r="AA103" s="58"/>
      <c r="AB103" s="58"/>
      <c r="AC103" s="58"/>
      <c r="AD103" s="58"/>
      <c r="AE103" s="58"/>
      <c r="AF103" s="58"/>
      <c r="AG103" s="58"/>
      <c r="AH103" s="58"/>
      <c r="AI103" s="58"/>
    </row>
    <row r="104" spans="1:35" ht="14" customHeight="1" x14ac:dyDescent="0.15">
      <c r="A104" s="31"/>
      <c r="B104" s="32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</row>
    <row r="105" spans="1:35" ht="14" customHeight="1" x14ac:dyDescent="0.15">
      <c r="A105" s="31"/>
      <c r="B105" s="32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  <c r="AH105" s="58"/>
      <c r="AI105" s="58"/>
    </row>
    <row r="106" spans="1:35" ht="14" customHeight="1" x14ac:dyDescent="0.15">
      <c r="A106" s="31"/>
      <c r="B106" s="32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</row>
    <row r="107" spans="1:35" ht="14" customHeight="1" x14ac:dyDescent="0.15">
      <c r="A107" s="33"/>
      <c r="B107" s="34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</row>
    <row r="108" spans="1:35" ht="14.5" customHeight="1" x14ac:dyDescent="0.2">
      <c r="A108" s="29"/>
    </row>
    <row r="109" spans="1:35" ht="14" customHeight="1" x14ac:dyDescent="0.15">
      <c r="A109" s="39"/>
      <c r="B109" s="40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</row>
    <row r="110" spans="1:35" ht="14" customHeight="1" x14ac:dyDescent="0.15">
      <c r="A110" s="39"/>
      <c r="B110" s="40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</row>
    <row r="111" spans="1:35" ht="14" customHeight="1" x14ac:dyDescent="0.15">
      <c r="A111" s="39"/>
      <c r="B111" s="43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</row>
    <row r="112" spans="1:35" ht="14" customHeight="1" x14ac:dyDescent="0.15">
      <c r="A112" s="39"/>
      <c r="B112" s="43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</row>
    <row r="113" spans="1:35" ht="14.5" customHeight="1" x14ac:dyDescent="0.2">
      <c r="A113" s="29"/>
    </row>
    <row r="114" spans="1:35" ht="14" customHeight="1" x14ac:dyDescent="0.15">
      <c r="A114" s="31"/>
      <c r="B114" s="32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</row>
    <row r="115" spans="1:35" ht="14" customHeight="1" x14ac:dyDescent="0.15">
      <c r="A115" s="31"/>
      <c r="B115" s="32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</row>
    <row r="116" spans="1:35" ht="14" customHeight="1" x14ac:dyDescent="0.15">
      <c r="A116" s="31"/>
      <c r="B116" s="32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</row>
    <row r="117" spans="1:35" ht="14" customHeight="1" x14ac:dyDescent="0.15">
      <c r="A117" s="31"/>
      <c r="B117" s="32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</row>
    <row r="118" spans="1:35" ht="14" customHeight="1" x14ac:dyDescent="0.15">
      <c r="A118" s="31"/>
      <c r="B118" s="32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  <c r="AA118" s="58"/>
      <c r="AB118" s="58"/>
      <c r="AC118" s="58"/>
      <c r="AD118" s="58"/>
      <c r="AE118" s="58"/>
      <c r="AF118" s="58"/>
      <c r="AG118" s="58"/>
      <c r="AH118" s="58"/>
      <c r="AI118" s="58"/>
    </row>
    <row r="119" spans="1:35" ht="14" customHeight="1" x14ac:dyDescent="0.15">
      <c r="A119" s="31"/>
      <c r="B119" s="32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  <c r="AA119" s="58"/>
      <c r="AB119" s="58"/>
      <c r="AC119" s="58"/>
      <c r="AD119" s="58"/>
      <c r="AE119" s="58"/>
      <c r="AF119" s="58"/>
      <c r="AG119" s="58"/>
      <c r="AH119" s="58"/>
      <c r="AI119" s="58"/>
    </row>
    <row r="120" spans="1:35" ht="14" customHeight="1" x14ac:dyDescent="0.15">
      <c r="A120" s="31"/>
      <c r="B120" s="32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  <c r="AA120" s="58"/>
      <c r="AB120" s="58"/>
      <c r="AC120" s="58"/>
      <c r="AD120" s="58"/>
      <c r="AE120" s="58"/>
      <c r="AF120" s="58"/>
      <c r="AG120" s="58"/>
      <c r="AH120" s="58"/>
      <c r="AI120" s="58"/>
    </row>
    <row r="121" spans="1:35" ht="14" customHeight="1" x14ac:dyDescent="0.15">
      <c r="A121" s="31"/>
      <c r="B121" s="32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</row>
    <row r="122" spans="1:35" ht="14" customHeight="1" x14ac:dyDescent="0.15">
      <c r="A122" s="31"/>
      <c r="B122" s="32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</row>
    <row r="123" spans="1:35" ht="14" customHeight="1" x14ac:dyDescent="0.15">
      <c r="A123" s="31"/>
      <c r="B123" s="32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</row>
    <row r="124" spans="1:35" ht="14" customHeight="1" x14ac:dyDescent="0.15">
      <c r="A124" s="33"/>
      <c r="B124" s="34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</row>
    <row r="125" spans="1:35" ht="14.5" customHeight="1" x14ac:dyDescent="0.2">
      <c r="A125" s="29"/>
    </row>
    <row r="126" spans="1:35" ht="14.5" customHeight="1" x14ac:dyDescent="0.2">
      <c r="A126" s="35"/>
      <c r="B126" s="32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</row>
    <row r="127" spans="1:35" ht="14" customHeight="1" x14ac:dyDescent="0.15">
      <c r="A127" s="31"/>
      <c r="B127" s="32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</row>
    <row r="128" spans="1:35" ht="14" customHeight="1" x14ac:dyDescent="0.15">
      <c r="A128" s="31"/>
      <c r="B128" s="32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</row>
    <row r="129" spans="1:35" ht="14" customHeight="1" x14ac:dyDescent="0.15">
      <c r="A129" s="31"/>
      <c r="B129" s="32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</row>
    <row r="130" spans="1:35" ht="14" customHeight="1" x14ac:dyDescent="0.15">
      <c r="A130" s="31"/>
      <c r="B130" s="32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</row>
    <row r="131" spans="1:35" ht="14" customHeight="1" x14ac:dyDescent="0.15">
      <c r="A131" s="31"/>
      <c r="B131" s="32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</row>
    <row r="132" spans="1:35" ht="14" customHeight="1" x14ac:dyDescent="0.15">
      <c r="A132" s="31"/>
      <c r="B132" s="32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</row>
    <row r="133" spans="1:35" ht="14" customHeight="1" x14ac:dyDescent="0.15">
      <c r="A133" s="31"/>
      <c r="B133" s="32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</row>
    <row r="134" spans="1:35" ht="14" customHeight="1" x14ac:dyDescent="0.15">
      <c r="A134" s="31"/>
      <c r="B134" s="32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</row>
    <row r="135" spans="1:35" ht="14" customHeight="1" x14ac:dyDescent="0.15">
      <c r="A135" s="31"/>
      <c r="B135" s="32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</row>
    <row r="136" spans="1:35" ht="14" customHeight="1" x14ac:dyDescent="0.15">
      <c r="A136" s="31"/>
      <c r="B136" s="32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</row>
    <row r="137" spans="1:35" ht="14" customHeight="1" x14ac:dyDescent="0.15">
      <c r="A137" s="31"/>
      <c r="B137" s="32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</row>
    <row r="138" spans="1:35" ht="14" customHeight="1" x14ac:dyDescent="0.15">
      <c r="A138" s="31"/>
      <c r="B138" s="32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</row>
    <row r="139" spans="1:35" ht="14" customHeight="1" x14ac:dyDescent="0.15">
      <c r="A139" s="31"/>
      <c r="B139" s="32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</row>
    <row r="140" spans="1:35" ht="14" customHeight="1" x14ac:dyDescent="0.15">
      <c r="A140" s="31"/>
      <c r="B140" s="32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</row>
    <row r="141" spans="1:35" ht="14" customHeight="1" x14ac:dyDescent="0.15">
      <c r="A141" s="31"/>
      <c r="B141" s="32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</row>
    <row r="142" spans="1:35" ht="14" customHeight="1" x14ac:dyDescent="0.15">
      <c r="A142" s="31"/>
      <c r="B142" s="32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</row>
    <row r="143" spans="1:35" ht="14" customHeight="1" x14ac:dyDescent="0.15">
      <c r="A143" s="31"/>
      <c r="B143" s="32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</row>
    <row r="144" spans="1:35" ht="14" customHeight="1" x14ac:dyDescent="0.15">
      <c r="A144" s="31"/>
      <c r="B144" s="32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</row>
    <row r="145" spans="1:35" ht="14" customHeight="1" x14ac:dyDescent="0.15">
      <c r="A145" s="31"/>
      <c r="B145" s="32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</row>
    <row r="146" spans="1:35" ht="14" customHeight="1" x14ac:dyDescent="0.15">
      <c r="A146" s="33"/>
      <c r="B146" s="34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</row>
    <row r="147" spans="1:35" ht="14" customHeight="1" x14ac:dyDescent="0.15">
      <c r="A147" s="31"/>
      <c r="B147" s="32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</row>
    <row r="148" spans="1:35" ht="14" customHeight="1" x14ac:dyDescent="0.15">
      <c r="A148" s="33"/>
      <c r="B148" s="34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</row>
    <row r="149" spans="1:35" ht="14" customHeight="1" x14ac:dyDescent="0.15"/>
    <row r="150" spans="1:35" ht="14" customHeight="1" x14ac:dyDescent="0.15">
      <c r="C150" s="60"/>
      <c r="D150" s="60"/>
      <c r="E150" s="60"/>
      <c r="F150" s="60"/>
      <c r="G150" s="60"/>
      <c r="H150" s="60"/>
      <c r="I150" s="60"/>
      <c r="J150" s="60"/>
      <c r="K150" s="60"/>
      <c r="L150" s="60"/>
    </row>
    <row r="151" spans="1:35" ht="14" customHeight="1" x14ac:dyDescent="0.15">
      <c r="C151" s="60"/>
      <c r="D151" s="60"/>
      <c r="E151" s="60"/>
      <c r="F151" s="60"/>
      <c r="G151" s="60"/>
      <c r="H151" s="60"/>
      <c r="I151" s="60"/>
      <c r="J151" s="60"/>
      <c r="K151" s="60"/>
      <c r="L151" s="60"/>
    </row>
    <row r="152" spans="1:35" ht="14" customHeight="1" x14ac:dyDescent="0.15"/>
    <row r="153" spans="1:35" ht="14" customHeight="1" x14ac:dyDescent="0.15"/>
    <row r="154" spans="1:35" ht="14" customHeight="1" x14ac:dyDescent="0.15"/>
    <row r="155" spans="1:35" ht="14" customHeight="1" x14ac:dyDescent="0.15"/>
    <row r="156" spans="1:35" ht="14" customHeight="1" x14ac:dyDescent="0.15"/>
    <row r="157" spans="1:35" ht="14" customHeight="1" x14ac:dyDescent="0.15"/>
    <row r="158" spans="1:35" ht="14" customHeight="1" x14ac:dyDescent="0.15"/>
    <row r="159" spans="1:35" ht="14" customHeight="1" x14ac:dyDescent="0.15"/>
    <row r="160" spans="1:35" ht="14" customHeight="1" x14ac:dyDescent="0.15"/>
    <row r="161" ht="14" customHeight="1" x14ac:dyDescent="0.15"/>
    <row r="162" ht="14" customHeight="1" x14ac:dyDescent="0.15"/>
    <row r="163" ht="14" customHeight="1" x14ac:dyDescent="0.15"/>
    <row r="164" ht="14" customHeight="1" x14ac:dyDescent="0.15"/>
    <row r="165" ht="14" customHeight="1" x14ac:dyDescent="0.15"/>
    <row r="166" ht="14" customHeight="1" x14ac:dyDescent="0.15"/>
    <row r="167" ht="14" customHeight="1" x14ac:dyDescent="0.15"/>
    <row r="168" ht="14" customHeight="1" x14ac:dyDescent="0.15"/>
    <row r="169" ht="14" customHeight="1" x14ac:dyDescent="0.15"/>
    <row r="170" ht="14" customHeight="1" x14ac:dyDescent="0.15"/>
    <row r="171" ht="14" customHeight="1" x14ac:dyDescent="0.15"/>
    <row r="172" ht="14" customHeight="1" x14ac:dyDescent="0.15"/>
    <row r="173" ht="14" customHeight="1" x14ac:dyDescent="0.15"/>
    <row r="174" ht="14" customHeight="1" x14ac:dyDescent="0.15"/>
    <row r="175" ht="14" customHeight="1" x14ac:dyDescent="0.15"/>
    <row r="176" ht="14" customHeight="1" x14ac:dyDescent="0.15"/>
    <row r="177" ht="14" customHeight="1" x14ac:dyDescent="0.15"/>
    <row r="178" ht="14" customHeight="1" x14ac:dyDescent="0.15"/>
    <row r="179" ht="14" customHeight="1" x14ac:dyDescent="0.15"/>
    <row r="180" ht="14" customHeight="1" x14ac:dyDescent="0.15"/>
    <row r="181" ht="14" customHeight="1" x14ac:dyDescent="0.15"/>
    <row r="182" ht="14" customHeight="1" x14ac:dyDescent="0.15"/>
    <row r="183" ht="14" customHeight="1" x14ac:dyDescent="0.15"/>
    <row r="184" ht="14" customHeight="1" x14ac:dyDescent="0.15"/>
    <row r="185" ht="14" customHeight="1" x14ac:dyDescent="0.15"/>
    <row r="186" ht="14" customHeight="1" x14ac:dyDescent="0.15"/>
    <row r="187" ht="14" customHeight="1" x14ac:dyDescent="0.15"/>
    <row r="188" ht="14" customHeight="1" x14ac:dyDescent="0.15"/>
    <row r="189" ht="14" customHeight="1" x14ac:dyDescent="0.15"/>
    <row r="190" ht="14" customHeight="1" x14ac:dyDescent="0.15"/>
    <row r="191" ht="14" customHeight="1" x14ac:dyDescent="0.15"/>
    <row r="192" ht="14" customHeight="1" x14ac:dyDescent="0.15"/>
    <row r="193" ht="14" customHeight="1" x14ac:dyDescent="0.15"/>
    <row r="194" ht="14" customHeight="1" x14ac:dyDescent="0.15"/>
    <row r="195" ht="14" customHeight="1" x14ac:dyDescent="0.15"/>
    <row r="196" ht="14" customHeight="1" x14ac:dyDescent="0.15"/>
    <row r="197" ht="14" customHeight="1" x14ac:dyDescent="0.15"/>
    <row r="198" ht="14" customHeight="1" x14ac:dyDescent="0.15"/>
    <row r="199" ht="14" customHeight="1" x14ac:dyDescent="0.15"/>
    <row r="200" ht="14" customHeight="1" x14ac:dyDescent="0.15"/>
    <row r="201" ht="14" customHeight="1" x14ac:dyDescent="0.15"/>
    <row r="202" ht="14" customHeight="1" x14ac:dyDescent="0.15"/>
    <row r="203" ht="14" customHeight="1" x14ac:dyDescent="0.15"/>
    <row r="204" ht="14" customHeight="1" x14ac:dyDescent="0.15"/>
    <row r="205" ht="14" customHeight="1" x14ac:dyDescent="0.15"/>
    <row r="206" ht="14" customHeight="1" x14ac:dyDescent="0.15"/>
    <row r="207" ht="14" customHeight="1" x14ac:dyDescent="0.15"/>
    <row r="208" ht="14" customHeight="1" x14ac:dyDescent="0.15"/>
    <row r="209" ht="14" customHeight="1" x14ac:dyDescent="0.15"/>
    <row r="210" ht="14" customHeight="1" x14ac:dyDescent="0.15"/>
    <row r="211" ht="14" customHeight="1" x14ac:dyDescent="0.15"/>
    <row r="212" ht="14" customHeight="1" x14ac:dyDescent="0.15"/>
    <row r="213" ht="14" customHeight="1" x14ac:dyDescent="0.15"/>
    <row r="214" ht="14" customHeight="1" x14ac:dyDescent="0.15"/>
    <row r="215" ht="14" customHeight="1" x14ac:dyDescent="0.15"/>
    <row r="216" ht="14" customHeight="1" x14ac:dyDescent="0.15"/>
    <row r="217" ht="14" customHeight="1" x14ac:dyDescent="0.15"/>
    <row r="218" ht="14" customHeight="1" x14ac:dyDescent="0.15"/>
    <row r="219" ht="14" customHeight="1" x14ac:dyDescent="0.15"/>
    <row r="220" ht="14" customHeight="1" x14ac:dyDescent="0.15"/>
    <row r="221" ht="14" customHeight="1" x14ac:dyDescent="0.15"/>
    <row r="222" ht="14" customHeight="1" x14ac:dyDescent="0.15"/>
    <row r="223" ht="14" customHeight="1" x14ac:dyDescent="0.15"/>
    <row r="224" ht="14" customHeight="1" x14ac:dyDescent="0.15"/>
    <row r="225" ht="14" customHeight="1" x14ac:dyDescent="0.15"/>
    <row r="226" ht="14" customHeight="1" x14ac:dyDescent="0.15"/>
    <row r="227" ht="14" customHeight="1" x14ac:dyDescent="0.15"/>
    <row r="228" ht="14" customHeight="1" x14ac:dyDescent="0.15"/>
    <row r="229" ht="14" customHeight="1" x14ac:dyDescent="0.15"/>
    <row r="230" ht="14" customHeight="1" x14ac:dyDescent="0.15"/>
    <row r="231" ht="14" customHeight="1" x14ac:dyDescent="0.15"/>
    <row r="232" ht="14" customHeight="1" x14ac:dyDescent="0.15"/>
    <row r="233" ht="14" customHeight="1" x14ac:dyDescent="0.15"/>
    <row r="234" ht="14" customHeight="1" x14ac:dyDescent="0.15"/>
    <row r="235" ht="14" customHeight="1" x14ac:dyDescent="0.15"/>
    <row r="236" ht="14" customHeight="1" x14ac:dyDescent="0.15"/>
    <row r="237" ht="14" customHeight="1" x14ac:dyDescent="0.15"/>
    <row r="238" ht="14" customHeight="1" x14ac:dyDescent="0.15"/>
    <row r="239" ht="14" customHeight="1" x14ac:dyDescent="0.15"/>
    <row r="240" ht="14" customHeight="1" x14ac:dyDescent="0.15"/>
    <row r="241" ht="14" customHeight="1" x14ac:dyDescent="0.15"/>
    <row r="242" ht="14" customHeight="1" x14ac:dyDescent="0.15"/>
    <row r="243" ht="14" customHeight="1" x14ac:dyDescent="0.15"/>
    <row r="244" ht="14" customHeight="1" x14ac:dyDescent="0.15"/>
    <row r="245" ht="14" customHeight="1" x14ac:dyDescent="0.15"/>
    <row r="246" ht="14" customHeight="1" x14ac:dyDescent="0.15"/>
    <row r="247" ht="14" customHeight="1" x14ac:dyDescent="0.15"/>
    <row r="248" ht="14" customHeight="1" x14ac:dyDescent="0.15"/>
    <row r="249" ht="14" customHeight="1" x14ac:dyDescent="0.15"/>
    <row r="250" ht="14" customHeight="1" x14ac:dyDescent="0.15"/>
    <row r="251" ht="14" customHeight="1" x14ac:dyDescent="0.15"/>
    <row r="252" ht="14" customHeight="1" x14ac:dyDescent="0.15"/>
    <row r="253" ht="14" customHeight="1" x14ac:dyDescent="0.15"/>
    <row r="254" ht="14" customHeight="1" x14ac:dyDescent="0.15"/>
    <row r="255" ht="14" customHeight="1" x14ac:dyDescent="0.15"/>
    <row r="256" ht="14" customHeight="1" x14ac:dyDescent="0.15"/>
    <row r="257" ht="14" customHeight="1" x14ac:dyDescent="0.15"/>
    <row r="258" ht="14" customHeight="1" x14ac:dyDescent="0.15"/>
    <row r="259" ht="14" customHeight="1" x14ac:dyDescent="0.15"/>
    <row r="260" ht="14" customHeight="1" x14ac:dyDescent="0.15"/>
    <row r="261" ht="14" customHeight="1" x14ac:dyDescent="0.15"/>
    <row r="262" ht="14" customHeight="1" x14ac:dyDescent="0.15"/>
    <row r="263" ht="14" customHeight="1" x14ac:dyDescent="0.15"/>
    <row r="264" ht="14" customHeight="1" x14ac:dyDescent="0.15"/>
    <row r="265" ht="14" customHeight="1" x14ac:dyDescent="0.15"/>
    <row r="266" ht="14" customHeight="1" x14ac:dyDescent="0.15"/>
    <row r="267" ht="14" customHeight="1" x14ac:dyDescent="0.15"/>
    <row r="268" ht="14" customHeight="1" x14ac:dyDescent="0.15"/>
    <row r="269" ht="14" customHeight="1" x14ac:dyDescent="0.15"/>
    <row r="270" ht="14" customHeight="1" x14ac:dyDescent="0.15"/>
    <row r="271" ht="14" customHeight="1" x14ac:dyDescent="0.15"/>
    <row r="272" ht="14" customHeight="1" x14ac:dyDescent="0.15"/>
    <row r="273" ht="14" customHeight="1" x14ac:dyDescent="0.15"/>
    <row r="274" ht="14" customHeight="1" x14ac:dyDescent="0.15"/>
    <row r="275" ht="14" customHeight="1" x14ac:dyDescent="0.15"/>
    <row r="276" ht="14" customHeight="1" x14ac:dyDescent="0.15"/>
    <row r="277" ht="14" customHeight="1" x14ac:dyDescent="0.15"/>
    <row r="278" ht="14" customHeight="1" x14ac:dyDescent="0.15"/>
    <row r="279" ht="14" customHeight="1" x14ac:dyDescent="0.15"/>
    <row r="280" ht="14" customHeight="1" x14ac:dyDescent="0.15"/>
    <row r="281" ht="14" customHeight="1" x14ac:dyDescent="0.15"/>
    <row r="282" ht="14" customHeight="1" x14ac:dyDescent="0.15"/>
    <row r="283" ht="14" customHeight="1" x14ac:dyDescent="0.15"/>
    <row r="284" ht="14" customHeight="1" x14ac:dyDescent="0.15"/>
    <row r="285" ht="14" customHeight="1" x14ac:dyDescent="0.15"/>
    <row r="286" ht="14" customHeight="1" x14ac:dyDescent="0.15"/>
    <row r="287" ht="14" customHeight="1" x14ac:dyDescent="0.15"/>
    <row r="288" ht="14" customHeight="1" x14ac:dyDescent="0.15"/>
    <row r="289" ht="14" customHeight="1" x14ac:dyDescent="0.15"/>
    <row r="290" ht="14" customHeight="1" x14ac:dyDescent="0.15"/>
    <row r="291" ht="14" customHeight="1" x14ac:dyDescent="0.15"/>
    <row r="292" ht="14" customHeight="1" x14ac:dyDescent="0.15"/>
    <row r="293" ht="14" customHeight="1" x14ac:dyDescent="0.15"/>
    <row r="294" ht="14" customHeight="1" x14ac:dyDescent="0.15"/>
    <row r="295" ht="14" customHeight="1" x14ac:dyDescent="0.15"/>
    <row r="296" ht="14" customHeight="1" x14ac:dyDescent="0.15"/>
    <row r="297" ht="14" customHeight="1" x14ac:dyDescent="0.15"/>
    <row r="298" ht="14" customHeight="1" x14ac:dyDescent="0.15"/>
    <row r="299" ht="14" customHeight="1" x14ac:dyDescent="0.15"/>
    <row r="300" ht="14" customHeight="1" x14ac:dyDescent="0.15"/>
    <row r="301" ht="14" customHeight="1" x14ac:dyDescent="0.15"/>
    <row r="302" ht="14" customHeight="1" x14ac:dyDescent="0.15"/>
    <row r="303" ht="14" customHeight="1" x14ac:dyDescent="0.15"/>
    <row r="304" ht="14" customHeight="1" x14ac:dyDescent="0.15"/>
    <row r="305" ht="14" customHeight="1" x14ac:dyDescent="0.15"/>
    <row r="306" ht="14" customHeight="1" x14ac:dyDescent="0.15"/>
    <row r="307" ht="14" customHeight="1" x14ac:dyDescent="0.15"/>
    <row r="308" ht="14" customHeight="1" x14ac:dyDescent="0.15"/>
    <row r="309" ht="14" customHeight="1" x14ac:dyDescent="0.15"/>
    <row r="310" ht="14" customHeight="1" x14ac:dyDescent="0.15"/>
    <row r="311" ht="14" customHeight="1" x14ac:dyDescent="0.15"/>
    <row r="312" ht="14" customHeight="1" x14ac:dyDescent="0.15"/>
    <row r="313" ht="14" customHeight="1" x14ac:dyDescent="0.15"/>
    <row r="314" ht="14" customHeight="1" x14ac:dyDescent="0.15"/>
    <row r="315" ht="14" customHeight="1" x14ac:dyDescent="0.15"/>
    <row r="316" ht="14" customHeight="1" x14ac:dyDescent="0.15"/>
    <row r="317" ht="14" customHeight="1" x14ac:dyDescent="0.15"/>
    <row r="318" ht="14" customHeight="1" x14ac:dyDescent="0.15"/>
    <row r="319" ht="14" customHeight="1" x14ac:dyDescent="0.15"/>
    <row r="320" ht="14" customHeight="1" x14ac:dyDescent="0.15"/>
    <row r="321" ht="14" customHeight="1" x14ac:dyDescent="0.15"/>
    <row r="322" ht="14" customHeight="1" x14ac:dyDescent="0.15"/>
    <row r="323" ht="14" customHeight="1" x14ac:dyDescent="0.15"/>
    <row r="324" ht="14" customHeight="1" x14ac:dyDescent="0.15"/>
    <row r="325" ht="14" customHeight="1" x14ac:dyDescent="0.15"/>
    <row r="326" ht="14" customHeight="1" x14ac:dyDescent="0.15"/>
    <row r="327" ht="14" customHeight="1" x14ac:dyDescent="0.15"/>
    <row r="328" ht="14" customHeight="1" x14ac:dyDescent="0.15"/>
    <row r="329" ht="14" customHeight="1" x14ac:dyDescent="0.15"/>
    <row r="330" ht="14" customHeight="1" x14ac:dyDescent="0.15"/>
    <row r="331" ht="14" customHeight="1" x14ac:dyDescent="0.15"/>
    <row r="332" ht="14" customHeight="1" x14ac:dyDescent="0.15"/>
    <row r="333" ht="14" customHeight="1" x14ac:dyDescent="0.15"/>
    <row r="334" ht="14" customHeight="1" x14ac:dyDescent="0.15"/>
    <row r="335" ht="14" customHeight="1" x14ac:dyDescent="0.15"/>
    <row r="336" ht="14" customHeight="1" x14ac:dyDescent="0.15"/>
    <row r="337" ht="14" customHeight="1" x14ac:dyDescent="0.15"/>
    <row r="338" ht="14" customHeight="1" x14ac:dyDescent="0.15"/>
    <row r="339" ht="14" customHeight="1" x14ac:dyDescent="0.15"/>
    <row r="340" ht="14" customHeight="1" x14ac:dyDescent="0.15"/>
    <row r="341" ht="14" customHeight="1" x14ac:dyDescent="0.15"/>
    <row r="342" ht="14" customHeight="1" x14ac:dyDescent="0.15"/>
    <row r="343" ht="14" customHeight="1" x14ac:dyDescent="0.15"/>
    <row r="344" ht="14" customHeight="1" x14ac:dyDescent="0.15"/>
    <row r="345" ht="14" customHeight="1" x14ac:dyDescent="0.15"/>
    <row r="346" ht="14" customHeight="1" x14ac:dyDescent="0.15"/>
    <row r="347" ht="14" customHeight="1" x14ac:dyDescent="0.15"/>
    <row r="348" ht="14" customHeight="1" x14ac:dyDescent="0.15"/>
    <row r="349" ht="14" customHeight="1" x14ac:dyDescent="0.15"/>
    <row r="350" ht="14" customHeight="1" x14ac:dyDescent="0.15"/>
    <row r="351" ht="14" customHeight="1" x14ac:dyDescent="0.15"/>
    <row r="352" ht="14" customHeight="1" x14ac:dyDescent="0.15"/>
    <row r="353" ht="14" customHeight="1" x14ac:dyDescent="0.15"/>
    <row r="354" ht="14" customHeight="1" x14ac:dyDescent="0.15"/>
    <row r="355" ht="14" customHeight="1" x14ac:dyDescent="0.15"/>
    <row r="356" ht="14" customHeight="1" x14ac:dyDescent="0.15"/>
    <row r="357" ht="14" customHeight="1" x14ac:dyDescent="0.15"/>
    <row r="358" ht="14" customHeight="1" x14ac:dyDescent="0.15"/>
    <row r="359" ht="14" customHeight="1" x14ac:dyDescent="0.15"/>
    <row r="360" ht="14" customHeight="1" x14ac:dyDescent="0.15"/>
    <row r="361" ht="14" customHeight="1" x14ac:dyDescent="0.15"/>
    <row r="362" ht="14" customHeight="1" x14ac:dyDescent="0.15"/>
    <row r="363" ht="14" customHeight="1" x14ac:dyDescent="0.15"/>
    <row r="364" ht="14" customHeight="1" x14ac:dyDescent="0.15"/>
    <row r="365" ht="14" customHeight="1" x14ac:dyDescent="0.15"/>
    <row r="366" ht="14" customHeight="1" x14ac:dyDescent="0.15"/>
    <row r="367" ht="14" customHeight="1" x14ac:dyDescent="0.15"/>
    <row r="368" ht="14" customHeight="1" x14ac:dyDescent="0.15"/>
    <row r="369" ht="14" customHeight="1" x14ac:dyDescent="0.15"/>
    <row r="370" ht="14" customHeight="1" x14ac:dyDescent="0.15"/>
    <row r="371" ht="14" customHeight="1" x14ac:dyDescent="0.15"/>
    <row r="372" ht="14" customHeight="1" x14ac:dyDescent="0.15"/>
    <row r="373" ht="14" customHeight="1" x14ac:dyDescent="0.15"/>
    <row r="374" ht="14" customHeight="1" x14ac:dyDescent="0.15"/>
    <row r="375" ht="14" customHeight="1" x14ac:dyDescent="0.15"/>
    <row r="376" ht="14" customHeight="1" x14ac:dyDescent="0.15"/>
    <row r="377" ht="14" customHeight="1" x14ac:dyDescent="0.15"/>
    <row r="378" ht="14" customHeight="1" x14ac:dyDescent="0.15"/>
    <row r="379" ht="14" customHeight="1" x14ac:dyDescent="0.15"/>
    <row r="380" ht="14" customHeight="1" x14ac:dyDescent="0.15"/>
    <row r="381" ht="14" customHeight="1" x14ac:dyDescent="0.15"/>
    <row r="382" ht="14" customHeight="1" x14ac:dyDescent="0.15"/>
    <row r="383" ht="14" customHeight="1" x14ac:dyDescent="0.15"/>
    <row r="384" ht="14" customHeight="1" x14ac:dyDescent="0.15"/>
    <row r="385" ht="14" customHeight="1" x14ac:dyDescent="0.15"/>
    <row r="386" ht="14" customHeight="1" x14ac:dyDescent="0.15"/>
    <row r="387" ht="14" customHeight="1" x14ac:dyDescent="0.15"/>
    <row r="388" ht="14" customHeight="1" x14ac:dyDescent="0.15"/>
    <row r="389" ht="14" customHeight="1" x14ac:dyDescent="0.15"/>
    <row r="390" ht="14" customHeight="1" x14ac:dyDescent="0.15"/>
    <row r="391" ht="14" customHeight="1" x14ac:dyDescent="0.15"/>
    <row r="392" ht="14" customHeight="1" x14ac:dyDescent="0.15"/>
    <row r="393" ht="14" customHeight="1" x14ac:dyDescent="0.15"/>
    <row r="394" ht="14" customHeight="1" x14ac:dyDescent="0.15"/>
    <row r="395" ht="14" customHeight="1" x14ac:dyDescent="0.15"/>
    <row r="396" ht="14" customHeight="1" x14ac:dyDescent="0.15"/>
    <row r="397" ht="14" customHeight="1" x14ac:dyDescent="0.15"/>
    <row r="398" ht="14" customHeight="1" x14ac:dyDescent="0.15"/>
    <row r="399" ht="14" customHeight="1" x14ac:dyDescent="0.15"/>
    <row r="400" ht="14" customHeight="1" x14ac:dyDescent="0.15"/>
    <row r="401" ht="14" customHeight="1" x14ac:dyDescent="0.15"/>
    <row r="402" ht="14" customHeight="1" x14ac:dyDescent="0.15"/>
    <row r="403" ht="14" customHeight="1" x14ac:dyDescent="0.15"/>
    <row r="404" ht="14" customHeight="1" x14ac:dyDescent="0.15"/>
    <row r="405" ht="14" customHeight="1" x14ac:dyDescent="0.15"/>
    <row r="406" ht="14" customHeight="1" x14ac:dyDescent="0.15"/>
    <row r="407" ht="14" customHeight="1" x14ac:dyDescent="0.15"/>
    <row r="408" ht="14" customHeight="1" x14ac:dyDescent="0.15"/>
    <row r="409" ht="14" customHeight="1" x14ac:dyDescent="0.15"/>
    <row r="410" ht="14" customHeight="1" x14ac:dyDescent="0.15"/>
    <row r="411" ht="14" customHeight="1" x14ac:dyDescent="0.15"/>
    <row r="412" ht="14" customHeight="1" x14ac:dyDescent="0.15"/>
    <row r="413" ht="14" customHeight="1" x14ac:dyDescent="0.15"/>
    <row r="414" ht="14" customHeight="1" x14ac:dyDescent="0.15"/>
    <row r="415" ht="14" customHeight="1" x14ac:dyDescent="0.15"/>
    <row r="416" ht="14" customHeight="1" x14ac:dyDescent="0.15"/>
    <row r="417" ht="14" customHeight="1" x14ac:dyDescent="0.15"/>
    <row r="418" ht="14" customHeight="1" x14ac:dyDescent="0.15"/>
    <row r="419" ht="14" customHeight="1" x14ac:dyDescent="0.15"/>
    <row r="420" ht="14" customHeight="1" x14ac:dyDescent="0.15"/>
    <row r="421" ht="14" customHeight="1" x14ac:dyDescent="0.15"/>
    <row r="422" ht="14" customHeight="1" x14ac:dyDescent="0.15"/>
    <row r="423" ht="14" customHeight="1" x14ac:dyDescent="0.15"/>
    <row r="424" ht="14" customHeight="1" x14ac:dyDescent="0.15"/>
    <row r="425" ht="14" customHeight="1" x14ac:dyDescent="0.15"/>
    <row r="426" ht="14" customHeight="1" x14ac:dyDescent="0.15"/>
    <row r="427" ht="14" customHeight="1" x14ac:dyDescent="0.15"/>
    <row r="428" ht="14" customHeight="1" x14ac:dyDescent="0.15"/>
    <row r="429" ht="14" customHeight="1" x14ac:dyDescent="0.15"/>
    <row r="430" ht="14" customHeight="1" x14ac:dyDescent="0.15"/>
    <row r="431" ht="14" customHeight="1" x14ac:dyDescent="0.15"/>
    <row r="432" ht="14" customHeight="1" x14ac:dyDescent="0.15"/>
    <row r="433" ht="14" customHeight="1" x14ac:dyDescent="0.15"/>
    <row r="434" ht="14" customHeight="1" x14ac:dyDescent="0.15"/>
    <row r="435" ht="14" customHeight="1" x14ac:dyDescent="0.15"/>
    <row r="436" ht="14" customHeight="1" x14ac:dyDescent="0.15"/>
    <row r="437" ht="14" customHeight="1" x14ac:dyDescent="0.15"/>
    <row r="438" ht="14" customHeight="1" x14ac:dyDescent="0.15"/>
    <row r="439" ht="14" customHeight="1" x14ac:dyDescent="0.15"/>
    <row r="440" ht="14" customHeight="1" x14ac:dyDescent="0.15"/>
    <row r="441" ht="14" customHeight="1" x14ac:dyDescent="0.15"/>
    <row r="442" ht="14" customHeight="1" x14ac:dyDescent="0.15"/>
    <row r="443" ht="14" customHeight="1" x14ac:dyDescent="0.15"/>
    <row r="444" ht="14" customHeight="1" x14ac:dyDescent="0.15"/>
    <row r="445" ht="14" customHeight="1" x14ac:dyDescent="0.15"/>
    <row r="446" ht="14" customHeight="1" x14ac:dyDescent="0.15"/>
    <row r="447" ht="14" customHeight="1" x14ac:dyDescent="0.15"/>
    <row r="448" ht="14" customHeight="1" x14ac:dyDescent="0.15"/>
    <row r="449" ht="14" customHeight="1" x14ac:dyDescent="0.15"/>
    <row r="450" ht="14" customHeight="1" x14ac:dyDescent="0.15"/>
    <row r="451" ht="14" customHeight="1" x14ac:dyDescent="0.15"/>
    <row r="452" ht="14" customHeight="1" x14ac:dyDescent="0.15"/>
    <row r="453" ht="14" customHeight="1" x14ac:dyDescent="0.15"/>
    <row r="454" ht="14" customHeight="1" x14ac:dyDescent="0.15"/>
    <row r="455" ht="14" customHeight="1" x14ac:dyDescent="0.15"/>
    <row r="456" ht="14" customHeight="1" x14ac:dyDescent="0.15"/>
    <row r="457" ht="14" customHeight="1" x14ac:dyDescent="0.15"/>
    <row r="458" ht="14" customHeight="1" x14ac:dyDescent="0.15"/>
    <row r="459" ht="14" customHeight="1" x14ac:dyDescent="0.15"/>
    <row r="460" ht="14" customHeight="1" x14ac:dyDescent="0.15"/>
    <row r="461" ht="14" customHeight="1" x14ac:dyDescent="0.15"/>
    <row r="462" ht="14" customHeight="1" x14ac:dyDescent="0.15"/>
    <row r="463" ht="14" customHeight="1" x14ac:dyDescent="0.15"/>
    <row r="464" ht="14" customHeight="1" x14ac:dyDescent="0.15"/>
    <row r="465" ht="14" customHeight="1" x14ac:dyDescent="0.15"/>
    <row r="466" ht="14" customHeight="1" x14ac:dyDescent="0.15"/>
    <row r="467" ht="14" customHeight="1" x14ac:dyDescent="0.15"/>
    <row r="468" ht="14" customHeight="1" x14ac:dyDescent="0.15"/>
    <row r="469" ht="14" customHeight="1" x14ac:dyDescent="0.15"/>
    <row r="470" ht="14" customHeight="1" x14ac:dyDescent="0.15"/>
    <row r="471" ht="14" customHeight="1" x14ac:dyDescent="0.15"/>
    <row r="472" ht="14" customHeight="1" x14ac:dyDescent="0.15"/>
    <row r="473" ht="14" customHeight="1" x14ac:dyDescent="0.15"/>
    <row r="474" ht="14" customHeight="1" x14ac:dyDescent="0.15"/>
    <row r="475" ht="14" customHeight="1" x14ac:dyDescent="0.15"/>
    <row r="476" ht="14" customHeight="1" x14ac:dyDescent="0.15"/>
    <row r="477" ht="14" customHeight="1" x14ac:dyDescent="0.15"/>
    <row r="478" ht="14" customHeight="1" x14ac:dyDescent="0.15"/>
    <row r="479" ht="14" customHeight="1" x14ac:dyDescent="0.15"/>
    <row r="480" ht="14" customHeight="1" x14ac:dyDescent="0.15"/>
    <row r="481" ht="14" customHeight="1" x14ac:dyDescent="0.15"/>
    <row r="482" ht="14" customHeight="1" x14ac:dyDescent="0.15"/>
    <row r="483" ht="14" customHeight="1" x14ac:dyDescent="0.15"/>
    <row r="484" ht="14" customHeight="1" x14ac:dyDescent="0.15"/>
    <row r="485" ht="14" customHeight="1" x14ac:dyDescent="0.15"/>
    <row r="486" ht="14" customHeight="1" x14ac:dyDescent="0.15"/>
    <row r="487" ht="14" customHeight="1" x14ac:dyDescent="0.15"/>
    <row r="488" ht="14" customHeight="1" x14ac:dyDescent="0.15"/>
    <row r="489" ht="14" customHeight="1" x14ac:dyDescent="0.15"/>
    <row r="490" ht="14" customHeight="1" x14ac:dyDescent="0.15"/>
    <row r="491" ht="14" customHeight="1" x14ac:dyDescent="0.15"/>
    <row r="492" ht="14" customHeight="1" x14ac:dyDescent="0.15"/>
    <row r="493" ht="14" customHeight="1" x14ac:dyDescent="0.15"/>
    <row r="494" ht="14" customHeight="1" x14ac:dyDescent="0.15"/>
    <row r="495" ht="14" customHeight="1" x14ac:dyDescent="0.15"/>
    <row r="496" ht="14" customHeight="1" x14ac:dyDescent="0.15"/>
    <row r="497" ht="14" customHeight="1" x14ac:dyDescent="0.15"/>
    <row r="498" ht="14" customHeight="1" x14ac:dyDescent="0.15"/>
    <row r="499" ht="14" customHeight="1" x14ac:dyDescent="0.15"/>
    <row r="500" ht="14" customHeight="1" x14ac:dyDescent="0.15"/>
    <row r="501" ht="14" customHeight="1" x14ac:dyDescent="0.15"/>
    <row r="502" ht="14" customHeight="1" x14ac:dyDescent="0.15"/>
    <row r="503" ht="14" customHeight="1" x14ac:dyDescent="0.15"/>
    <row r="504" ht="14" customHeight="1" x14ac:dyDescent="0.15"/>
    <row r="505" ht="14" customHeight="1" x14ac:dyDescent="0.15"/>
    <row r="506" ht="14" customHeight="1" x14ac:dyDescent="0.15"/>
    <row r="507" ht="14" customHeight="1" x14ac:dyDescent="0.15"/>
    <row r="508" ht="14" customHeight="1" x14ac:dyDescent="0.15"/>
    <row r="509" ht="14" customHeight="1" x14ac:dyDescent="0.15"/>
    <row r="510" ht="14" customHeight="1" x14ac:dyDescent="0.15"/>
    <row r="511" ht="14" customHeight="1" x14ac:dyDescent="0.15"/>
    <row r="512" ht="14" customHeight="1" x14ac:dyDescent="0.15"/>
    <row r="513" ht="14" customHeight="1" x14ac:dyDescent="0.15"/>
    <row r="514" ht="14" customHeight="1" x14ac:dyDescent="0.15"/>
    <row r="515" ht="14" customHeight="1" x14ac:dyDescent="0.15"/>
    <row r="516" ht="14" customHeight="1" x14ac:dyDescent="0.15"/>
    <row r="517" ht="14" customHeight="1" x14ac:dyDescent="0.15"/>
    <row r="518" ht="14" customHeight="1" x14ac:dyDescent="0.15"/>
    <row r="519" ht="14" customHeight="1" x14ac:dyDescent="0.15"/>
    <row r="520" ht="14" customHeight="1" x14ac:dyDescent="0.15"/>
    <row r="521" ht="14" customHeight="1" x14ac:dyDescent="0.15"/>
    <row r="522" ht="14" customHeight="1" x14ac:dyDescent="0.15"/>
    <row r="523" ht="14" customHeight="1" x14ac:dyDescent="0.15"/>
    <row r="524" ht="14" customHeight="1" x14ac:dyDescent="0.15"/>
    <row r="525" ht="14" customHeight="1" x14ac:dyDescent="0.15"/>
    <row r="526" ht="14" customHeight="1" x14ac:dyDescent="0.15"/>
    <row r="527" ht="14" customHeight="1" x14ac:dyDescent="0.15"/>
    <row r="528" ht="14" customHeight="1" x14ac:dyDescent="0.15"/>
    <row r="529" ht="14" customHeight="1" x14ac:dyDescent="0.15"/>
    <row r="530" ht="14" customHeight="1" x14ac:dyDescent="0.15"/>
    <row r="531" ht="14" customHeight="1" x14ac:dyDescent="0.15"/>
    <row r="532" ht="14" customHeight="1" x14ac:dyDescent="0.15"/>
    <row r="533" ht="14" customHeight="1" x14ac:dyDescent="0.15"/>
    <row r="534" ht="14" customHeight="1" x14ac:dyDescent="0.15"/>
    <row r="535" ht="14" customHeight="1" x14ac:dyDescent="0.15"/>
    <row r="536" ht="14" customHeight="1" x14ac:dyDescent="0.15"/>
    <row r="537" ht="14" customHeight="1" x14ac:dyDescent="0.15"/>
    <row r="538" ht="14" customHeight="1" x14ac:dyDescent="0.15"/>
    <row r="539" ht="14" customHeight="1" x14ac:dyDescent="0.15"/>
    <row r="540" ht="14" customHeight="1" x14ac:dyDescent="0.15"/>
    <row r="541" ht="14" customHeight="1" x14ac:dyDescent="0.15"/>
    <row r="542" ht="14" customHeight="1" x14ac:dyDescent="0.15"/>
    <row r="543" ht="14" customHeight="1" x14ac:dyDescent="0.15"/>
    <row r="544" ht="14" customHeight="1" x14ac:dyDescent="0.15"/>
    <row r="545" ht="14" customHeight="1" x14ac:dyDescent="0.15"/>
    <row r="546" ht="14" customHeight="1" x14ac:dyDescent="0.15"/>
    <row r="547" ht="14" customHeight="1" x14ac:dyDescent="0.15"/>
    <row r="548" ht="14" customHeight="1" x14ac:dyDescent="0.15"/>
    <row r="549" ht="14" customHeight="1" x14ac:dyDescent="0.15"/>
    <row r="550" ht="14" customHeight="1" x14ac:dyDescent="0.15"/>
    <row r="551" ht="14" customHeight="1" x14ac:dyDescent="0.15"/>
    <row r="552" ht="14" customHeight="1" x14ac:dyDescent="0.15"/>
    <row r="553" ht="14" customHeight="1" x14ac:dyDescent="0.15"/>
    <row r="554" ht="14" customHeight="1" x14ac:dyDescent="0.15"/>
    <row r="555" ht="14" customHeight="1" x14ac:dyDescent="0.15"/>
    <row r="556" ht="14" customHeight="1" x14ac:dyDescent="0.15"/>
    <row r="557" ht="14" customHeight="1" x14ac:dyDescent="0.15"/>
    <row r="558" ht="14" customHeight="1" x14ac:dyDescent="0.15"/>
    <row r="559" ht="14" customHeight="1" x14ac:dyDescent="0.15"/>
    <row r="560" ht="14" customHeight="1" x14ac:dyDescent="0.15"/>
    <row r="561" ht="14" customHeight="1" x14ac:dyDescent="0.15"/>
    <row r="562" ht="14" customHeight="1" x14ac:dyDescent="0.15"/>
    <row r="563" ht="14" customHeight="1" x14ac:dyDescent="0.15"/>
    <row r="564" ht="14" customHeight="1" x14ac:dyDescent="0.15"/>
    <row r="565" ht="14" customHeight="1" x14ac:dyDescent="0.15"/>
    <row r="566" ht="14" customHeight="1" x14ac:dyDescent="0.15"/>
    <row r="567" ht="14" customHeight="1" x14ac:dyDescent="0.15"/>
    <row r="568" ht="14" customHeight="1" x14ac:dyDescent="0.15"/>
    <row r="569" ht="14" customHeight="1" x14ac:dyDescent="0.15"/>
    <row r="570" ht="14" customHeight="1" x14ac:dyDescent="0.15"/>
    <row r="571" ht="14" customHeight="1" x14ac:dyDescent="0.15"/>
    <row r="572" ht="14" customHeight="1" x14ac:dyDescent="0.15"/>
    <row r="573" ht="14" customHeight="1" x14ac:dyDescent="0.15"/>
    <row r="574" ht="14" customHeight="1" x14ac:dyDescent="0.15"/>
    <row r="575" ht="14" customHeight="1" x14ac:dyDescent="0.15"/>
    <row r="576" ht="14" customHeight="1" x14ac:dyDescent="0.15"/>
    <row r="577" ht="14" customHeight="1" x14ac:dyDescent="0.15"/>
    <row r="578" ht="14" customHeight="1" x14ac:dyDescent="0.15"/>
    <row r="579" ht="14" customHeight="1" x14ac:dyDescent="0.15"/>
    <row r="580" ht="14" customHeight="1" x14ac:dyDescent="0.15"/>
    <row r="581" ht="14" customHeight="1" x14ac:dyDescent="0.15"/>
    <row r="582" ht="14" customHeight="1" x14ac:dyDescent="0.15"/>
    <row r="583" ht="14" customHeight="1" x14ac:dyDescent="0.15"/>
    <row r="584" ht="14" customHeight="1" x14ac:dyDescent="0.15"/>
    <row r="585" ht="14" customHeight="1" x14ac:dyDescent="0.15"/>
    <row r="586" ht="14" customHeight="1" x14ac:dyDescent="0.15"/>
    <row r="587" ht="14" customHeight="1" x14ac:dyDescent="0.15"/>
    <row r="588" ht="14" customHeight="1" x14ac:dyDescent="0.15"/>
    <row r="589" ht="14" customHeight="1" x14ac:dyDescent="0.15"/>
    <row r="590" ht="14" customHeight="1" x14ac:dyDescent="0.15"/>
    <row r="591" ht="14" customHeight="1" x14ac:dyDescent="0.15"/>
    <row r="592" ht="14" customHeight="1" x14ac:dyDescent="0.15"/>
    <row r="593" ht="14" customHeight="1" x14ac:dyDescent="0.15"/>
    <row r="594" ht="14" customHeight="1" x14ac:dyDescent="0.15"/>
    <row r="595" ht="14" customHeight="1" x14ac:dyDescent="0.15"/>
    <row r="596" ht="14" customHeight="1" x14ac:dyDescent="0.15"/>
    <row r="597" ht="14" customHeight="1" x14ac:dyDescent="0.15"/>
    <row r="598" ht="14" customHeight="1" x14ac:dyDescent="0.15"/>
    <row r="599" ht="14" customHeight="1" x14ac:dyDescent="0.15"/>
    <row r="600" ht="14" customHeight="1" x14ac:dyDescent="0.15"/>
    <row r="601" ht="14" customHeight="1" x14ac:dyDescent="0.15"/>
    <row r="602" ht="14" customHeight="1" x14ac:dyDescent="0.15"/>
    <row r="603" ht="14" customHeight="1" x14ac:dyDescent="0.15"/>
    <row r="604" ht="14" customHeight="1" x14ac:dyDescent="0.15"/>
    <row r="605" ht="14" customHeight="1" x14ac:dyDescent="0.15"/>
    <row r="606" ht="14" customHeight="1" x14ac:dyDescent="0.15"/>
    <row r="607" ht="14" customHeight="1" x14ac:dyDescent="0.15"/>
    <row r="608" ht="14" customHeight="1" x14ac:dyDescent="0.15"/>
    <row r="609" ht="14" customHeight="1" x14ac:dyDescent="0.15"/>
    <row r="610" ht="14" customHeight="1" x14ac:dyDescent="0.15"/>
    <row r="611" ht="14" customHeight="1" x14ac:dyDescent="0.15"/>
    <row r="612" ht="14" customHeight="1" x14ac:dyDescent="0.15"/>
    <row r="613" ht="14" customHeight="1" x14ac:dyDescent="0.15"/>
    <row r="614" ht="14" customHeight="1" x14ac:dyDescent="0.15"/>
    <row r="615" ht="14" customHeight="1" x14ac:dyDescent="0.15"/>
    <row r="616" ht="14" customHeight="1" x14ac:dyDescent="0.15"/>
    <row r="617" ht="14" customHeight="1" x14ac:dyDescent="0.15"/>
    <row r="618" ht="14" customHeight="1" x14ac:dyDescent="0.15"/>
    <row r="619" ht="14" customHeight="1" x14ac:dyDescent="0.15"/>
    <row r="620" ht="14" customHeight="1" x14ac:dyDescent="0.15"/>
    <row r="621" ht="14" customHeight="1" x14ac:dyDescent="0.15"/>
    <row r="622" ht="14" customHeight="1" x14ac:dyDescent="0.15"/>
    <row r="623" ht="14" customHeight="1" x14ac:dyDescent="0.15"/>
    <row r="624" ht="14" customHeight="1" x14ac:dyDescent="0.15"/>
    <row r="625" ht="14" customHeight="1" x14ac:dyDescent="0.15"/>
    <row r="626" ht="14" customHeight="1" x14ac:dyDescent="0.15"/>
    <row r="627" ht="14" customHeight="1" x14ac:dyDescent="0.15"/>
    <row r="628" ht="14" customHeight="1" x14ac:dyDescent="0.15"/>
    <row r="629" ht="14" customHeight="1" x14ac:dyDescent="0.15"/>
    <row r="630" ht="14" customHeight="1" x14ac:dyDescent="0.15"/>
    <row r="631" ht="14" customHeight="1" x14ac:dyDescent="0.15"/>
    <row r="632" ht="14" customHeight="1" x14ac:dyDescent="0.15"/>
    <row r="633" ht="14" customHeight="1" x14ac:dyDescent="0.15"/>
    <row r="634" ht="14" customHeight="1" x14ac:dyDescent="0.15"/>
    <row r="635" ht="14" customHeight="1" x14ac:dyDescent="0.15"/>
    <row r="636" ht="14" customHeight="1" x14ac:dyDescent="0.15"/>
    <row r="637" ht="14" customHeight="1" x14ac:dyDescent="0.15"/>
    <row r="638" ht="14" customHeight="1" x14ac:dyDescent="0.15"/>
    <row r="639" ht="14" customHeight="1" x14ac:dyDescent="0.15"/>
    <row r="640" ht="14" customHeight="1" x14ac:dyDescent="0.15"/>
    <row r="641" ht="14" customHeight="1" x14ac:dyDescent="0.15"/>
    <row r="642" ht="14" customHeight="1" x14ac:dyDescent="0.15"/>
    <row r="643" ht="14" customHeight="1" x14ac:dyDescent="0.15"/>
    <row r="644" ht="14" customHeight="1" x14ac:dyDescent="0.15"/>
    <row r="645" ht="14" customHeight="1" x14ac:dyDescent="0.15"/>
    <row r="646" ht="14" customHeight="1" x14ac:dyDescent="0.15"/>
    <row r="647" ht="14" customHeight="1" x14ac:dyDescent="0.15"/>
    <row r="648" ht="14" customHeight="1" x14ac:dyDescent="0.15"/>
    <row r="649" ht="14" customHeight="1" x14ac:dyDescent="0.15"/>
    <row r="650" ht="14" customHeight="1" x14ac:dyDescent="0.15"/>
    <row r="651" ht="14" customHeight="1" x14ac:dyDescent="0.15"/>
    <row r="652" ht="14" customHeight="1" x14ac:dyDescent="0.15"/>
    <row r="653" ht="14" customHeight="1" x14ac:dyDescent="0.15"/>
    <row r="654" ht="14" customHeight="1" x14ac:dyDescent="0.15"/>
    <row r="655" ht="14" customHeight="1" x14ac:dyDescent="0.15"/>
    <row r="656" ht="14" customHeight="1" x14ac:dyDescent="0.15"/>
    <row r="657" ht="14" customHeight="1" x14ac:dyDescent="0.15"/>
    <row r="658" ht="14" customHeight="1" x14ac:dyDescent="0.15"/>
    <row r="659" ht="14" customHeight="1" x14ac:dyDescent="0.15"/>
    <row r="660" ht="14" customHeight="1" x14ac:dyDescent="0.15"/>
    <row r="661" ht="14" customHeight="1" x14ac:dyDescent="0.15"/>
    <row r="662" ht="14" customHeight="1" x14ac:dyDescent="0.15"/>
    <row r="663" ht="14" customHeight="1" x14ac:dyDescent="0.15"/>
    <row r="664" ht="14" customHeight="1" x14ac:dyDescent="0.15"/>
    <row r="665" ht="14" customHeight="1" x14ac:dyDescent="0.15"/>
    <row r="666" ht="14" customHeight="1" x14ac:dyDescent="0.15"/>
    <row r="667" ht="14" customHeight="1" x14ac:dyDescent="0.15"/>
    <row r="668" ht="14" customHeight="1" x14ac:dyDescent="0.15"/>
    <row r="669" ht="14" customHeight="1" x14ac:dyDescent="0.15"/>
    <row r="670" ht="14" customHeight="1" x14ac:dyDescent="0.15"/>
    <row r="671" ht="14" customHeight="1" x14ac:dyDescent="0.15"/>
    <row r="672" ht="14" customHeight="1" x14ac:dyDescent="0.15"/>
    <row r="673" ht="14" customHeight="1" x14ac:dyDescent="0.15"/>
    <row r="674" ht="14" customHeight="1" x14ac:dyDescent="0.15"/>
    <row r="675" ht="14" customHeight="1" x14ac:dyDescent="0.15"/>
    <row r="676" ht="14" customHeight="1" x14ac:dyDescent="0.15"/>
    <row r="677" ht="14" customHeight="1" x14ac:dyDescent="0.15"/>
    <row r="678" ht="14" customHeight="1" x14ac:dyDescent="0.15"/>
    <row r="679" ht="14" customHeight="1" x14ac:dyDescent="0.15"/>
    <row r="680" ht="14" customHeight="1" x14ac:dyDescent="0.15"/>
    <row r="681" ht="14" customHeight="1" x14ac:dyDescent="0.15"/>
    <row r="682" ht="14" customHeight="1" x14ac:dyDescent="0.15"/>
    <row r="683" ht="14" customHeight="1" x14ac:dyDescent="0.15"/>
    <row r="684" ht="14" customHeight="1" x14ac:dyDescent="0.15"/>
    <row r="685" ht="14" customHeight="1" x14ac:dyDescent="0.15"/>
    <row r="686" ht="14" customHeight="1" x14ac:dyDescent="0.15"/>
    <row r="687" ht="14" customHeight="1" x14ac:dyDescent="0.15"/>
    <row r="688" ht="14" customHeight="1" x14ac:dyDescent="0.15"/>
    <row r="689" ht="14" customHeight="1" x14ac:dyDescent="0.15"/>
    <row r="690" ht="14" customHeight="1" x14ac:dyDescent="0.15"/>
    <row r="691" ht="14" customHeight="1" x14ac:dyDescent="0.15"/>
    <row r="692" ht="14" customHeight="1" x14ac:dyDescent="0.15"/>
    <row r="693" ht="14" customHeight="1" x14ac:dyDescent="0.15"/>
    <row r="694" ht="14" customHeight="1" x14ac:dyDescent="0.15"/>
    <row r="695" ht="14" customHeight="1" x14ac:dyDescent="0.15"/>
    <row r="696" ht="14" customHeight="1" x14ac:dyDescent="0.15"/>
    <row r="697" ht="14" customHeight="1" x14ac:dyDescent="0.15"/>
    <row r="698" ht="14" customHeight="1" x14ac:dyDescent="0.15"/>
    <row r="699" ht="14" customHeight="1" x14ac:dyDescent="0.15"/>
    <row r="700" ht="14" customHeight="1" x14ac:dyDescent="0.15"/>
    <row r="701" ht="14" customHeight="1" x14ac:dyDescent="0.15"/>
    <row r="702" ht="14" customHeight="1" x14ac:dyDescent="0.15"/>
    <row r="703" ht="14" customHeight="1" x14ac:dyDescent="0.15"/>
    <row r="704" ht="14" customHeight="1" x14ac:dyDescent="0.15"/>
    <row r="705" ht="14" customHeight="1" x14ac:dyDescent="0.15"/>
    <row r="706" ht="14" customHeight="1" x14ac:dyDescent="0.15"/>
    <row r="707" ht="14" customHeight="1" x14ac:dyDescent="0.15"/>
    <row r="708" ht="14" customHeight="1" x14ac:dyDescent="0.15"/>
    <row r="709" ht="14" customHeight="1" x14ac:dyDescent="0.15"/>
    <row r="710" ht="14" customHeight="1" x14ac:dyDescent="0.15"/>
    <row r="711" ht="14" customHeight="1" x14ac:dyDescent="0.15"/>
    <row r="712" ht="14" customHeight="1" x14ac:dyDescent="0.15"/>
    <row r="713" ht="14" customHeight="1" x14ac:dyDescent="0.15"/>
    <row r="714" ht="14" customHeight="1" x14ac:dyDescent="0.15"/>
    <row r="715" ht="14" customHeight="1" x14ac:dyDescent="0.15"/>
    <row r="716" ht="14" customHeight="1" x14ac:dyDescent="0.15"/>
    <row r="717" ht="14" customHeight="1" x14ac:dyDescent="0.15"/>
    <row r="718" ht="14" customHeight="1" x14ac:dyDescent="0.15"/>
    <row r="719" ht="14" customHeight="1" x14ac:dyDescent="0.15"/>
    <row r="720" ht="14" customHeight="1" x14ac:dyDescent="0.15"/>
    <row r="721" ht="14" customHeight="1" x14ac:dyDescent="0.15"/>
    <row r="722" ht="14" customHeight="1" x14ac:dyDescent="0.15"/>
    <row r="723" ht="14" customHeight="1" x14ac:dyDescent="0.15"/>
    <row r="724" ht="14" customHeight="1" x14ac:dyDescent="0.15"/>
    <row r="725" ht="14" customHeight="1" x14ac:dyDescent="0.15"/>
    <row r="726" ht="14" customHeight="1" x14ac:dyDescent="0.15"/>
    <row r="727" ht="14" customHeight="1" x14ac:dyDescent="0.15"/>
    <row r="728" ht="14" customHeight="1" x14ac:dyDescent="0.15"/>
    <row r="729" ht="14" customHeight="1" x14ac:dyDescent="0.15"/>
    <row r="730" ht="14" customHeight="1" x14ac:dyDescent="0.15"/>
    <row r="731" ht="14" customHeight="1" x14ac:dyDescent="0.15"/>
    <row r="732" ht="14" customHeight="1" x14ac:dyDescent="0.15"/>
    <row r="733" ht="14" customHeight="1" x14ac:dyDescent="0.15"/>
    <row r="734" ht="14" customHeight="1" x14ac:dyDescent="0.15"/>
    <row r="735" ht="14" customHeight="1" x14ac:dyDescent="0.15"/>
    <row r="736" ht="14" customHeight="1" x14ac:dyDescent="0.15"/>
    <row r="737" ht="14" customHeight="1" x14ac:dyDescent="0.15"/>
    <row r="738" ht="14" customHeight="1" x14ac:dyDescent="0.15"/>
    <row r="739" ht="14" customHeight="1" x14ac:dyDescent="0.15"/>
    <row r="740" ht="14" customHeight="1" x14ac:dyDescent="0.15"/>
    <row r="741" ht="14" customHeight="1" x14ac:dyDescent="0.15"/>
    <row r="742" ht="14" customHeight="1" x14ac:dyDescent="0.15"/>
    <row r="743" ht="14" customHeight="1" x14ac:dyDescent="0.15"/>
    <row r="744" ht="14" customHeight="1" x14ac:dyDescent="0.15"/>
    <row r="745" ht="14" customHeight="1" x14ac:dyDescent="0.15"/>
    <row r="746" ht="14" customHeight="1" x14ac:dyDescent="0.15"/>
    <row r="747" ht="14" customHeight="1" x14ac:dyDescent="0.15"/>
    <row r="748" ht="14" customHeight="1" x14ac:dyDescent="0.15"/>
    <row r="749" ht="14" customHeight="1" x14ac:dyDescent="0.15"/>
    <row r="750" ht="14" customHeight="1" x14ac:dyDescent="0.15"/>
    <row r="751" ht="14" customHeight="1" x14ac:dyDescent="0.15"/>
    <row r="752" ht="14" customHeight="1" x14ac:dyDescent="0.15"/>
    <row r="753" ht="14" customHeight="1" x14ac:dyDescent="0.15"/>
    <row r="754" ht="14" customHeight="1" x14ac:dyDescent="0.15"/>
    <row r="755" ht="14" customHeight="1" x14ac:dyDescent="0.15"/>
    <row r="756" ht="14" customHeight="1" x14ac:dyDescent="0.15"/>
    <row r="757" ht="14" customHeight="1" x14ac:dyDescent="0.15"/>
    <row r="758" ht="14" customHeight="1" x14ac:dyDescent="0.15"/>
    <row r="759" ht="14" customHeight="1" x14ac:dyDescent="0.15"/>
    <row r="760" ht="14" customHeight="1" x14ac:dyDescent="0.15"/>
    <row r="761" ht="14" customHeight="1" x14ac:dyDescent="0.15"/>
    <row r="762" ht="14" customHeight="1" x14ac:dyDescent="0.15"/>
    <row r="763" ht="14" customHeight="1" x14ac:dyDescent="0.15"/>
    <row r="764" ht="14" customHeight="1" x14ac:dyDescent="0.15"/>
    <row r="765" ht="14" customHeight="1" x14ac:dyDescent="0.15"/>
    <row r="766" ht="14" customHeight="1" x14ac:dyDescent="0.15"/>
    <row r="767" ht="14" customHeight="1" x14ac:dyDescent="0.15"/>
    <row r="768" ht="14" customHeight="1" x14ac:dyDescent="0.15"/>
    <row r="769" ht="14" customHeight="1" x14ac:dyDescent="0.15"/>
    <row r="770" ht="14" customHeight="1" x14ac:dyDescent="0.15"/>
    <row r="771" ht="14" customHeight="1" x14ac:dyDescent="0.15"/>
    <row r="772" ht="14" customHeight="1" x14ac:dyDescent="0.15"/>
    <row r="773" ht="14" customHeight="1" x14ac:dyDescent="0.15"/>
    <row r="774" ht="14" customHeight="1" x14ac:dyDescent="0.15"/>
    <row r="775" ht="14" customHeight="1" x14ac:dyDescent="0.15"/>
    <row r="776" ht="14" customHeight="1" x14ac:dyDescent="0.15"/>
    <row r="777" ht="14" customHeight="1" x14ac:dyDescent="0.15"/>
    <row r="778" ht="14" customHeight="1" x14ac:dyDescent="0.15"/>
    <row r="779" ht="14" customHeight="1" x14ac:dyDescent="0.15"/>
    <row r="780" ht="14" customHeight="1" x14ac:dyDescent="0.15"/>
    <row r="781" ht="14" customHeight="1" x14ac:dyDescent="0.15"/>
    <row r="782" ht="14" customHeight="1" x14ac:dyDescent="0.15"/>
    <row r="783" ht="14" customHeight="1" x14ac:dyDescent="0.15"/>
    <row r="784" ht="14" customHeight="1" x14ac:dyDescent="0.15"/>
    <row r="785" ht="14" customHeight="1" x14ac:dyDescent="0.15"/>
    <row r="786" ht="14" customHeight="1" x14ac:dyDescent="0.15"/>
    <row r="787" ht="14" customHeight="1" x14ac:dyDescent="0.15"/>
    <row r="788" ht="14" customHeight="1" x14ac:dyDescent="0.15"/>
    <row r="789" ht="14" customHeight="1" x14ac:dyDescent="0.15"/>
    <row r="790" ht="14" customHeight="1" x14ac:dyDescent="0.15"/>
    <row r="791" ht="14" customHeight="1" x14ac:dyDescent="0.15"/>
    <row r="792" ht="14" customHeight="1" x14ac:dyDescent="0.15"/>
    <row r="793" ht="14" customHeight="1" x14ac:dyDescent="0.15"/>
    <row r="794" ht="14" customHeight="1" x14ac:dyDescent="0.15"/>
    <row r="795" ht="14" customHeight="1" x14ac:dyDescent="0.15"/>
    <row r="796" ht="14" customHeight="1" x14ac:dyDescent="0.15"/>
    <row r="797" ht="14" customHeight="1" x14ac:dyDescent="0.15"/>
    <row r="798" ht="14" customHeight="1" x14ac:dyDescent="0.15"/>
    <row r="799" ht="14" customHeight="1" x14ac:dyDescent="0.15"/>
    <row r="800" ht="14" customHeight="1" x14ac:dyDescent="0.15"/>
    <row r="801" ht="14" customHeight="1" x14ac:dyDescent="0.15"/>
    <row r="802" ht="14" customHeight="1" x14ac:dyDescent="0.15"/>
    <row r="803" ht="14" customHeight="1" x14ac:dyDescent="0.15"/>
    <row r="804" ht="14" customHeight="1" x14ac:dyDescent="0.15"/>
    <row r="805" ht="14" customHeight="1" x14ac:dyDescent="0.15"/>
    <row r="806" ht="14" customHeight="1" x14ac:dyDescent="0.15"/>
    <row r="807" ht="14" customHeight="1" x14ac:dyDescent="0.15"/>
    <row r="808" ht="14" customHeight="1" x14ac:dyDescent="0.15"/>
    <row r="809" ht="14" customHeight="1" x14ac:dyDescent="0.15"/>
    <row r="810" ht="14" customHeight="1" x14ac:dyDescent="0.15"/>
    <row r="811" ht="14" customHeight="1" x14ac:dyDescent="0.15"/>
    <row r="812" ht="14" customHeight="1" x14ac:dyDescent="0.15"/>
    <row r="813" ht="14" customHeight="1" x14ac:dyDescent="0.15"/>
    <row r="814" ht="14" customHeight="1" x14ac:dyDescent="0.15"/>
    <row r="815" ht="14" customHeight="1" x14ac:dyDescent="0.15"/>
    <row r="816" ht="14" customHeight="1" x14ac:dyDescent="0.15"/>
    <row r="817" ht="14" customHeight="1" x14ac:dyDescent="0.15"/>
    <row r="818" ht="14" customHeight="1" x14ac:dyDescent="0.15"/>
    <row r="819" ht="14" customHeight="1" x14ac:dyDescent="0.15"/>
    <row r="820" ht="14" customHeight="1" x14ac:dyDescent="0.15"/>
    <row r="821" ht="14" customHeight="1" x14ac:dyDescent="0.15"/>
    <row r="822" ht="14" customHeight="1" x14ac:dyDescent="0.15"/>
    <row r="823" ht="14" customHeight="1" x14ac:dyDescent="0.15"/>
    <row r="824" ht="14" customHeight="1" x14ac:dyDescent="0.15"/>
    <row r="825" ht="14" customHeight="1" x14ac:dyDescent="0.15"/>
    <row r="826" ht="14" customHeight="1" x14ac:dyDescent="0.15"/>
    <row r="827" ht="14" customHeight="1" x14ac:dyDescent="0.15"/>
    <row r="828" ht="14" customHeight="1" x14ac:dyDescent="0.15"/>
    <row r="829" ht="14" customHeight="1" x14ac:dyDescent="0.15"/>
    <row r="830" ht="14" customHeight="1" x14ac:dyDescent="0.15"/>
    <row r="831" ht="14" customHeight="1" x14ac:dyDescent="0.15"/>
    <row r="832" ht="14" customHeight="1" x14ac:dyDescent="0.15"/>
    <row r="833" ht="14" customHeight="1" x14ac:dyDescent="0.15"/>
    <row r="834" ht="14" customHeight="1" x14ac:dyDescent="0.15"/>
    <row r="835" ht="14" customHeight="1" x14ac:dyDescent="0.15"/>
    <row r="836" ht="14" customHeight="1" x14ac:dyDescent="0.15"/>
    <row r="837" ht="14" customHeight="1" x14ac:dyDescent="0.15"/>
    <row r="838" ht="14" customHeight="1" x14ac:dyDescent="0.15"/>
    <row r="839" ht="14" customHeight="1" x14ac:dyDescent="0.15"/>
    <row r="840" ht="14" customHeight="1" x14ac:dyDescent="0.15"/>
    <row r="841" ht="14" customHeight="1" x14ac:dyDescent="0.15"/>
    <row r="842" ht="14" customHeight="1" x14ac:dyDescent="0.15"/>
    <row r="843" ht="14" customHeight="1" x14ac:dyDescent="0.15"/>
    <row r="844" ht="14" customHeight="1" x14ac:dyDescent="0.15"/>
    <row r="845" ht="14" customHeight="1" x14ac:dyDescent="0.15"/>
    <row r="846" ht="14" customHeight="1" x14ac:dyDescent="0.15"/>
    <row r="847" ht="14" customHeight="1" x14ac:dyDescent="0.15"/>
    <row r="848" ht="14" customHeight="1" x14ac:dyDescent="0.15"/>
    <row r="849" ht="14" customHeight="1" x14ac:dyDescent="0.15"/>
    <row r="850" ht="14" customHeight="1" x14ac:dyDescent="0.15"/>
    <row r="851" ht="14" customHeight="1" x14ac:dyDescent="0.15"/>
    <row r="852" ht="14" customHeight="1" x14ac:dyDescent="0.15"/>
    <row r="853" ht="14" customHeight="1" x14ac:dyDescent="0.15"/>
    <row r="854" ht="14" customHeight="1" x14ac:dyDescent="0.15"/>
    <row r="855" ht="14" customHeight="1" x14ac:dyDescent="0.15"/>
    <row r="856" ht="14" customHeight="1" x14ac:dyDescent="0.15"/>
    <row r="857" ht="14" customHeight="1" x14ac:dyDescent="0.15"/>
    <row r="858" ht="14" customHeight="1" x14ac:dyDescent="0.15"/>
    <row r="859" ht="14" customHeight="1" x14ac:dyDescent="0.15"/>
    <row r="860" ht="14" customHeight="1" x14ac:dyDescent="0.15"/>
    <row r="861" ht="14" customHeight="1" x14ac:dyDescent="0.15"/>
    <row r="862" ht="14" customHeight="1" x14ac:dyDescent="0.15"/>
    <row r="863" ht="14" customHeight="1" x14ac:dyDescent="0.15"/>
    <row r="864" ht="14" customHeight="1" x14ac:dyDescent="0.15"/>
    <row r="865" ht="14" customHeight="1" x14ac:dyDescent="0.15"/>
    <row r="866" ht="14" customHeight="1" x14ac:dyDescent="0.15"/>
    <row r="867" ht="14" customHeight="1" x14ac:dyDescent="0.15"/>
    <row r="868" ht="14" customHeight="1" x14ac:dyDescent="0.15"/>
    <row r="869" ht="14" customHeight="1" x14ac:dyDescent="0.15"/>
    <row r="870" ht="14" customHeight="1" x14ac:dyDescent="0.15"/>
    <row r="871" ht="14" customHeight="1" x14ac:dyDescent="0.15"/>
    <row r="872" ht="14" customHeight="1" x14ac:dyDescent="0.15"/>
    <row r="873" ht="14" customHeight="1" x14ac:dyDescent="0.15"/>
    <row r="874" ht="14" customHeight="1" x14ac:dyDescent="0.15"/>
    <row r="875" ht="14" customHeight="1" x14ac:dyDescent="0.15"/>
    <row r="876" ht="14" customHeight="1" x14ac:dyDescent="0.15"/>
    <row r="877" ht="14" customHeight="1" x14ac:dyDescent="0.15"/>
    <row r="878" ht="14" customHeight="1" x14ac:dyDescent="0.15"/>
    <row r="879" ht="14" customHeight="1" x14ac:dyDescent="0.15"/>
    <row r="880" ht="14" customHeight="1" x14ac:dyDescent="0.15"/>
    <row r="881" ht="14" customHeight="1" x14ac:dyDescent="0.15"/>
    <row r="882" ht="14" customHeight="1" x14ac:dyDescent="0.15"/>
    <row r="883" ht="14" customHeight="1" x14ac:dyDescent="0.15"/>
    <row r="884" ht="14" customHeight="1" x14ac:dyDescent="0.15"/>
    <row r="885" ht="14" customHeight="1" x14ac:dyDescent="0.15"/>
    <row r="886" ht="14" customHeight="1" x14ac:dyDescent="0.15"/>
    <row r="887" ht="14" customHeight="1" x14ac:dyDescent="0.15"/>
    <row r="888" ht="14" customHeight="1" x14ac:dyDescent="0.15"/>
    <row r="889" ht="14" customHeight="1" x14ac:dyDescent="0.15"/>
    <row r="890" ht="14" customHeight="1" x14ac:dyDescent="0.15"/>
    <row r="891" ht="14" customHeight="1" x14ac:dyDescent="0.15"/>
    <row r="892" ht="14" customHeight="1" x14ac:dyDescent="0.15"/>
    <row r="893" ht="14" customHeight="1" x14ac:dyDescent="0.15"/>
    <row r="894" ht="14" customHeight="1" x14ac:dyDescent="0.15"/>
    <row r="895" ht="14" customHeight="1" x14ac:dyDescent="0.15"/>
    <row r="896" ht="14" customHeight="1" x14ac:dyDescent="0.15"/>
    <row r="897" ht="14" customHeight="1" x14ac:dyDescent="0.15"/>
    <row r="898" ht="14" customHeight="1" x14ac:dyDescent="0.15"/>
    <row r="899" ht="14" customHeight="1" x14ac:dyDescent="0.15"/>
    <row r="900" ht="14" customHeight="1" x14ac:dyDescent="0.15"/>
    <row r="901" ht="14" customHeight="1" x14ac:dyDescent="0.15"/>
    <row r="902" ht="14" customHeight="1" x14ac:dyDescent="0.15"/>
    <row r="903" ht="14" customHeight="1" x14ac:dyDescent="0.15"/>
    <row r="904" ht="14" customHeight="1" x14ac:dyDescent="0.15"/>
    <row r="905" ht="14" customHeight="1" x14ac:dyDescent="0.15"/>
    <row r="906" ht="14" customHeight="1" x14ac:dyDescent="0.15"/>
    <row r="907" ht="14" customHeight="1" x14ac:dyDescent="0.15"/>
    <row r="908" ht="14" customHeight="1" x14ac:dyDescent="0.15"/>
    <row r="909" ht="14" customHeight="1" x14ac:dyDescent="0.15"/>
    <row r="910" ht="14" customHeight="1" x14ac:dyDescent="0.15"/>
    <row r="911" ht="14" customHeight="1" x14ac:dyDescent="0.15"/>
    <row r="912" ht="14" customHeight="1" x14ac:dyDescent="0.15"/>
    <row r="913" ht="14" customHeight="1" x14ac:dyDescent="0.15"/>
    <row r="914" ht="14" customHeight="1" x14ac:dyDescent="0.15"/>
    <row r="915" ht="14" customHeight="1" x14ac:dyDescent="0.15"/>
    <row r="916" ht="14" customHeight="1" x14ac:dyDescent="0.15"/>
    <row r="917" ht="14" customHeight="1" x14ac:dyDescent="0.15"/>
    <row r="918" ht="14" customHeight="1" x14ac:dyDescent="0.15"/>
    <row r="919" ht="14" customHeight="1" x14ac:dyDescent="0.15"/>
    <row r="920" ht="14" customHeight="1" x14ac:dyDescent="0.15"/>
    <row r="921" ht="14" customHeight="1" x14ac:dyDescent="0.15"/>
    <row r="922" ht="14" customHeight="1" x14ac:dyDescent="0.15"/>
    <row r="923" ht="14" customHeight="1" x14ac:dyDescent="0.15"/>
    <row r="924" ht="14" customHeight="1" x14ac:dyDescent="0.15"/>
    <row r="925" ht="14" customHeight="1" x14ac:dyDescent="0.15"/>
    <row r="926" ht="14" customHeight="1" x14ac:dyDescent="0.15"/>
    <row r="927" ht="14" customHeight="1" x14ac:dyDescent="0.15"/>
    <row r="928" ht="14" customHeight="1" x14ac:dyDescent="0.15"/>
    <row r="929" ht="14" customHeight="1" x14ac:dyDescent="0.15"/>
    <row r="930" ht="14" customHeight="1" x14ac:dyDescent="0.15"/>
    <row r="931" ht="14" customHeight="1" x14ac:dyDescent="0.15"/>
    <row r="932" ht="14" customHeight="1" x14ac:dyDescent="0.15"/>
    <row r="933" ht="14" customHeight="1" x14ac:dyDescent="0.15"/>
    <row r="934" ht="14" customHeight="1" x14ac:dyDescent="0.15"/>
    <row r="935" ht="14" customHeight="1" x14ac:dyDescent="0.15"/>
    <row r="936" ht="14" customHeight="1" x14ac:dyDescent="0.15"/>
    <row r="937" ht="14" customHeight="1" x14ac:dyDescent="0.15"/>
    <row r="938" ht="14" customHeight="1" x14ac:dyDescent="0.15"/>
    <row r="939" ht="14" customHeight="1" x14ac:dyDescent="0.15"/>
    <row r="940" ht="14" customHeight="1" x14ac:dyDescent="0.15"/>
    <row r="941" ht="14" customHeight="1" x14ac:dyDescent="0.15"/>
    <row r="942" ht="14" customHeight="1" x14ac:dyDescent="0.15"/>
    <row r="943" ht="14" customHeight="1" x14ac:dyDescent="0.15"/>
    <row r="944" ht="14" customHeight="1" x14ac:dyDescent="0.15"/>
    <row r="945" ht="14" customHeight="1" x14ac:dyDescent="0.15"/>
    <row r="946" ht="14" customHeight="1" x14ac:dyDescent="0.15"/>
    <row r="947" ht="14" customHeight="1" x14ac:dyDescent="0.15"/>
    <row r="948" ht="14" customHeight="1" x14ac:dyDescent="0.15"/>
    <row r="949" ht="14" customHeight="1" x14ac:dyDescent="0.15"/>
    <row r="950" ht="14" customHeight="1" x14ac:dyDescent="0.15"/>
    <row r="951" ht="14" customHeight="1" x14ac:dyDescent="0.15"/>
    <row r="952" ht="14" customHeight="1" x14ac:dyDescent="0.15"/>
    <row r="953" ht="14" customHeight="1" x14ac:dyDescent="0.15"/>
    <row r="954" ht="14" customHeight="1" x14ac:dyDescent="0.15"/>
    <row r="955" ht="14" customHeight="1" x14ac:dyDescent="0.15"/>
    <row r="956" ht="14" customHeight="1" x14ac:dyDescent="0.15"/>
    <row r="957" ht="14" customHeight="1" x14ac:dyDescent="0.15"/>
    <row r="958" ht="14" customHeight="1" x14ac:dyDescent="0.15"/>
    <row r="959" ht="14" customHeight="1" x14ac:dyDescent="0.15"/>
    <row r="960" ht="14" customHeight="1" x14ac:dyDescent="0.15"/>
    <row r="961" ht="14" customHeight="1" x14ac:dyDescent="0.15"/>
    <row r="962" ht="14" customHeight="1" x14ac:dyDescent="0.15"/>
    <row r="963" ht="14" customHeight="1" x14ac:dyDescent="0.15"/>
    <row r="964" ht="14" customHeight="1" x14ac:dyDescent="0.15"/>
    <row r="965" ht="14" customHeight="1" x14ac:dyDescent="0.15"/>
    <row r="966" ht="14" customHeight="1" x14ac:dyDescent="0.15"/>
    <row r="967" ht="14" customHeight="1" x14ac:dyDescent="0.15"/>
    <row r="968" ht="14" customHeight="1" x14ac:dyDescent="0.15"/>
    <row r="969" ht="14" customHeight="1" x14ac:dyDescent="0.15"/>
    <row r="970" ht="14" customHeight="1" x14ac:dyDescent="0.15"/>
    <row r="971" ht="14" customHeight="1" x14ac:dyDescent="0.15"/>
    <row r="972" ht="14" customHeight="1" x14ac:dyDescent="0.15"/>
    <row r="973" ht="14" customHeight="1" x14ac:dyDescent="0.15"/>
    <row r="974" ht="14" customHeight="1" x14ac:dyDescent="0.15"/>
    <row r="975" ht="14" customHeight="1" x14ac:dyDescent="0.15"/>
    <row r="976" ht="14" customHeight="1" x14ac:dyDescent="0.15"/>
    <row r="977" ht="14" customHeight="1" x14ac:dyDescent="0.15"/>
    <row r="978" ht="14" customHeight="1" x14ac:dyDescent="0.15"/>
    <row r="979" ht="14" customHeight="1" x14ac:dyDescent="0.15"/>
    <row r="980" ht="14" customHeight="1" x14ac:dyDescent="0.15"/>
    <row r="981" ht="14" customHeight="1" x14ac:dyDescent="0.15"/>
    <row r="982" ht="14" customHeight="1" x14ac:dyDescent="0.15"/>
    <row r="983" ht="14" customHeight="1" x14ac:dyDescent="0.15"/>
    <row r="984" ht="14" customHeight="1" x14ac:dyDescent="0.15"/>
    <row r="985" ht="14" customHeight="1" x14ac:dyDescent="0.15"/>
    <row r="986" ht="14" customHeight="1" x14ac:dyDescent="0.15"/>
    <row r="987" ht="14" customHeight="1" x14ac:dyDescent="0.15"/>
    <row r="988" ht="14" customHeight="1" x14ac:dyDescent="0.15"/>
    <row r="989" ht="14" customHeight="1" x14ac:dyDescent="0.15"/>
    <row r="990" ht="14" customHeight="1" x14ac:dyDescent="0.15"/>
    <row r="991" ht="14" customHeight="1" x14ac:dyDescent="0.15"/>
    <row r="992" ht="14" customHeight="1" x14ac:dyDescent="0.15"/>
    <row r="993" ht="14" customHeight="1" x14ac:dyDescent="0.15"/>
    <row r="994" ht="14" customHeight="1" x14ac:dyDescent="0.15"/>
    <row r="995" ht="14" customHeight="1" x14ac:dyDescent="0.15"/>
    <row r="996" ht="14" customHeight="1" x14ac:dyDescent="0.15"/>
    <row r="997" ht="14" customHeight="1" x14ac:dyDescent="0.15"/>
    <row r="998" ht="14" customHeight="1" x14ac:dyDescent="0.15"/>
    <row r="999" ht="14" customHeight="1" x14ac:dyDescent="0.15"/>
    <row r="1000" ht="14" customHeight="1" x14ac:dyDescent="0.15"/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F497D"/>
  </sheetPr>
  <dimension ref="A1:AI1000"/>
  <sheetViews>
    <sheetView workbookViewId="0">
      <selection activeCell="B29" sqref="B29:AF29"/>
    </sheetView>
  </sheetViews>
  <sheetFormatPr baseColWidth="10" defaultColWidth="8.83203125" defaultRowHeight="15" customHeight="1" x14ac:dyDescent="0.15"/>
  <cols>
    <col min="1" max="1" width="39.83203125" style="48" customWidth="1"/>
    <col min="2" max="2" width="17.83203125" style="30" customWidth="1"/>
    <col min="3" max="3" width="9.5" style="48" customWidth="1"/>
    <col min="4" max="35" width="9.5" style="48" bestFit="1" customWidth="1"/>
    <col min="36" max="43" width="8.83203125" style="48" customWidth="1"/>
    <col min="44" max="16384" width="8.83203125" style="48"/>
  </cols>
  <sheetData>
    <row r="1" spans="1:35" ht="14.5" customHeight="1" x14ac:dyDescent="0.2">
      <c r="A1" s="28" t="s">
        <v>177</v>
      </c>
      <c r="B1" s="29">
        <v>2020</v>
      </c>
      <c r="C1" s="29">
        <v>2021</v>
      </c>
      <c r="D1" s="29">
        <v>2022</v>
      </c>
      <c r="E1" s="29">
        <v>2023</v>
      </c>
      <c r="F1" s="29">
        <v>2024</v>
      </c>
      <c r="G1" s="29">
        <v>2025</v>
      </c>
      <c r="H1" s="29">
        <v>2026</v>
      </c>
      <c r="I1" s="29">
        <v>2027</v>
      </c>
      <c r="J1" s="29">
        <v>2028</v>
      </c>
      <c r="K1" s="29">
        <v>2029</v>
      </c>
      <c r="L1" s="29">
        <v>2030</v>
      </c>
      <c r="M1" s="29">
        <v>2031</v>
      </c>
      <c r="N1" s="29">
        <v>2032</v>
      </c>
      <c r="O1" s="29">
        <v>2033</v>
      </c>
      <c r="P1" s="29">
        <v>2034</v>
      </c>
      <c r="Q1" s="29">
        <v>2035</v>
      </c>
      <c r="R1" s="29">
        <v>2036</v>
      </c>
      <c r="S1" s="29">
        <v>2037</v>
      </c>
      <c r="T1" s="29">
        <v>2038</v>
      </c>
      <c r="U1" s="29">
        <v>2039</v>
      </c>
      <c r="V1" s="29">
        <v>2040</v>
      </c>
      <c r="W1" s="29">
        <v>2041</v>
      </c>
      <c r="X1" s="29">
        <v>2042</v>
      </c>
      <c r="Y1" s="29">
        <v>2043</v>
      </c>
      <c r="Z1" s="29">
        <v>2044</v>
      </c>
      <c r="AA1" s="29">
        <v>2045</v>
      </c>
      <c r="AB1" s="29">
        <v>2046</v>
      </c>
      <c r="AC1" s="29">
        <v>2047</v>
      </c>
      <c r="AD1" s="29">
        <v>2048</v>
      </c>
      <c r="AE1" s="29">
        <v>2049</v>
      </c>
      <c r="AF1" s="29">
        <v>2050</v>
      </c>
      <c r="AH1" s="29"/>
      <c r="AI1" s="29"/>
    </row>
    <row r="2" spans="1:35" ht="14" customHeight="1" x14ac:dyDescent="0.15">
      <c r="A2" s="48" t="s">
        <v>178</v>
      </c>
      <c r="B2">
        <v>3764091859587.4341</v>
      </c>
      <c r="C2" s="57">
        <v>3841882372268.833</v>
      </c>
      <c r="D2" s="57">
        <v>3919672884950.2319</v>
      </c>
      <c r="E2" s="57">
        <v>3984522117678.125</v>
      </c>
      <c r="F2" s="57">
        <v>4035375216482.752</v>
      </c>
      <c r="G2" s="57">
        <v>4084076057461.6338</v>
      </c>
      <c r="H2" s="57">
        <v>4138098611336.125</v>
      </c>
      <c r="I2" s="57">
        <v>4184013388972.0112</v>
      </c>
      <c r="J2" s="57">
        <v>4221606610397.3481</v>
      </c>
      <c r="K2" s="57">
        <v>4260609695661.229</v>
      </c>
      <c r="L2" s="57">
        <v>4296100056518.3989</v>
      </c>
      <c r="M2" s="57">
        <v>4329501373688.2881</v>
      </c>
      <c r="N2" s="57">
        <v>4374484572939.7339</v>
      </c>
      <c r="O2" s="57">
        <v>4403821643146.4736</v>
      </c>
      <c r="P2" s="57">
        <v>4432922253849.1621</v>
      </c>
      <c r="Q2" s="57">
        <v>4459874606751.291</v>
      </c>
      <c r="R2" s="57">
        <v>4486383132431.5371</v>
      </c>
      <c r="S2" s="57">
        <v>4517402091090.292</v>
      </c>
      <c r="T2" s="57">
        <v>4548039047343.9023</v>
      </c>
      <c r="U2" s="57">
        <v>4578779714174.1553</v>
      </c>
      <c r="V2" s="57">
        <v>4607162946314.3203</v>
      </c>
      <c r="W2" s="57">
        <v>4631308586888.4824</v>
      </c>
      <c r="X2" s="57">
        <v>4657586897378.8008</v>
      </c>
      <c r="Y2" s="57">
        <v>4684349493361</v>
      </c>
      <c r="Z2" s="57">
        <v>4710054655204.5225</v>
      </c>
      <c r="AA2" s="57">
        <v>4735813344102.6133</v>
      </c>
      <c r="AB2" s="57">
        <v>4760932731265.6465</v>
      </c>
      <c r="AC2" s="57">
        <v>4785265647828.0859</v>
      </c>
      <c r="AD2" s="57">
        <v>4810054109243.4365</v>
      </c>
      <c r="AE2" s="57">
        <v>4835981890809.2148</v>
      </c>
      <c r="AF2" s="57">
        <v>4861926107592.9766</v>
      </c>
      <c r="AG2" s="57"/>
    </row>
    <row r="3" spans="1:35" ht="14" customHeight="1" x14ac:dyDescent="0.15">
      <c r="A3" s="48" t="s">
        <v>179</v>
      </c>
      <c r="B3">
        <v>313487788513.02722</v>
      </c>
      <c r="C3">
        <v>323674645553.1059</v>
      </c>
      <c r="D3">
        <v>333861502593.18457</v>
      </c>
      <c r="E3">
        <v>342701389840.30933</v>
      </c>
      <c r="F3">
        <v>340976591408.73407</v>
      </c>
      <c r="G3">
        <v>344328637159.48718</v>
      </c>
      <c r="H3">
        <v>347106658523.99103</v>
      </c>
      <c r="I3">
        <v>347237211040.36737</v>
      </c>
      <c r="J3">
        <v>350090506829.94672</v>
      </c>
      <c r="K3">
        <v>350403884757.53473</v>
      </c>
      <c r="L3">
        <v>351009782887.90051</v>
      </c>
      <c r="M3">
        <v>351568150894.68109</v>
      </c>
      <c r="N3">
        <v>351395609832.45129</v>
      </c>
      <c r="O3">
        <v>352190039947.40118</v>
      </c>
      <c r="P3">
        <v>349472236302.31641</v>
      </c>
      <c r="Q3">
        <v>348181044139.19</v>
      </c>
      <c r="R3">
        <v>346569552196.8653</v>
      </c>
      <c r="S3">
        <v>345780437217.35388</v>
      </c>
      <c r="T3">
        <v>346231766293.43591</v>
      </c>
      <c r="U3">
        <v>346479622745.17609</v>
      </c>
      <c r="V3">
        <v>347387066908.82672</v>
      </c>
      <c r="W3">
        <v>348496522631.97162</v>
      </c>
      <c r="X3">
        <v>349543471178.94263</v>
      </c>
      <c r="Y3">
        <v>349616236532.37561</v>
      </c>
      <c r="Z3">
        <v>350302122273.64142</v>
      </c>
      <c r="AA3">
        <v>350853644668.17682</v>
      </c>
      <c r="AB3">
        <v>351091560417.02881</v>
      </c>
      <c r="AC3">
        <v>350226767057.59692</v>
      </c>
      <c r="AD3">
        <v>349465320140.21082</v>
      </c>
      <c r="AE3">
        <v>350267777008.61462</v>
      </c>
      <c r="AF3">
        <v>352318547655.73169</v>
      </c>
    </row>
    <row r="4" spans="1:35" ht="14" customHeight="1" x14ac:dyDescent="0.15">
      <c r="A4" s="48" t="s">
        <v>135</v>
      </c>
      <c r="B4">
        <v>1630233256557.168</v>
      </c>
      <c r="C4">
        <v>1683208057283.2251</v>
      </c>
      <c r="D4">
        <v>1736182858009.282</v>
      </c>
      <c r="E4">
        <v>1782153000077.126</v>
      </c>
      <c r="F4">
        <v>1773183515883.344</v>
      </c>
      <c r="G4">
        <v>1790615188377.8269</v>
      </c>
      <c r="H4">
        <v>1805061756894.3301</v>
      </c>
      <c r="I4">
        <v>1805740670273.8069</v>
      </c>
      <c r="J4">
        <v>1820578689033.741</v>
      </c>
      <c r="K4">
        <v>1822208350979.5801</v>
      </c>
      <c r="L4">
        <v>1825359208264.6221</v>
      </c>
      <c r="M4">
        <v>1828262894237.1101</v>
      </c>
      <c r="N4">
        <v>1827365627459.6599</v>
      </c>
      <c r="O4">
        <v>1831496909253.906</v>
      </c>
      <c r="P4">
        <v>1817363491464.25</v>
      </c>
      <c r="Q4">
        <v>1810648893696.6021</v>
      </c>
      <c r="R4">
        <v>1802268638218.3491</v>
      </c>
      <c r="S4">
        <v>1798164996768.8721</v>
      </c>
      <c r="T4">
        <v>1800512047264.7461</v>
      </c>
      <c r="U4">
        <v>1801800977313.332</v>
      </c>
      <c r="V4">
        <v>1806519967041.988</v>
      </c>
      <c r="W4">
        <v>1812289479229.7749</v>
      </c>
      <c r="X4">
        <v>1817733934808.9609</v>
      </c>
      <c r="Y4">
        <v>1818112337105.4409</v>
      </c>
      <c r="Z4">
        <v>1821679154654.9021</v>
      </c>
      <c r="AA4">
        <v>1824547241330.853</v>
      </c>
      <c r="AB4">
        <v>1825784476656.2759</v>
      </c>
      <c r="AC4">
        <v>1821287284273.4951</v>
      </c>
      <c r="AD4">
        <v>1817327525286.666</v>
      </c>
      <c r="AE4">
        <v>1821500548676.2839</v>
      </c>
      <c r="AF4">
        <v>1832165189000.4241</v>
      </c>
    </row>
    <row r="5" spans="1:35" ht="14" customHeight="1" x14ac:dyDescent="0.15">
      <c r="A5" s="48" t="s">
        <v>180</v>
      </c>
      <c r="B5">
        <v>829330339872.87585</v>
      </c>
      <c r="C5">
        <v>856279618029.31604</v>
      </c>
      <c r="D5">
        <v>883228896185.75635</v>
      </c>
      <c r="E5">
        <v>906614772649.62109</v>
      </c>
      <c r="F5">
        <v>902051827227.5509</v>
      </c>
      <c r="G5">
        <v>910919647103.17566</v>
      </c>
      <c r="H5">
        <v>918268888403.21533</v>
      </c>
      <c r="I5">
        <v>918614264417.03491</v>
      </c>
      <c r="J5">
        <v>926162643823.30737</v>
      </c>
      <c r="K5">
        <v>926991683526.66528</v>
      </c>
      <c r="L5">
        <v>928594583929.15967</v>
      </c>
      <c r="M5">
        <v>930071743633.00012</v>
      </c>
      <c r="N5">
        <v>929615287136.05078</v>
      </c>
      <c r="O5">
        <v>931716947938.73083</v>
      </c>
      <c r="P5">
        <v>924527012307.17981</v>
      </c>
      <c r="Q5">
        <v>921111170048.80652</v>
      </c>
      <c r="R5">
        <v>916847976364.07056</v>
      </c>
      <c r="S5">
        <v>914760376724.98669</v>
      </c>
      <c r="T5">
        <v>915954365485.56006</v>
      </c>
      <c r="U5">
        <v>916610068459.94531</v>
      </c>
      <c r="V5">
        <v>919010707349.9823</v>
      </c>
      <c r="W5">
        <v>921945766786.63208</v>
      </c>
      <c r="X5">
        <v>924715463808.66699</v>
      </c>
      <c r="Y5">
        <v>924907964178.71277</v>
      </c>
      <c r="Z5">
        <v>926722471396.41357</v>
      </c>
      <c r="AA5">
        <v>928181521068.09961</v>
      </c>
      <c r="AB5">
        <v>928810925963.8772</v>
      </c>
      <c r="AC5">
        <v>926523119558.08582</v>
      </c>
      <c r="AD5">
        <v>924508715635.73096</v>
      </c>
      <c r="AE5">
        <v>926631611173.58704</v>
      </c>
      <c r="AF5">
        <v>932056914423.33142</v>
      </c>
    </row>
    <row r="6" spans="1:35" ht="14" customHeight="1" x14ac:dyDescent="0.15">
      <c r="A6" s="48" t="s">
        <v>181</v>
      </c>
      <c r="B6">
        <v>126271101407.2762</v>
      </c>
      <c r="C6">
        <v>123750661572.15781</v>
      </c>
      <c r="D6">
        <v>121230221737.0394</v>
      </c>
      <c r="E6">
        <v>120910396363.9319</v>
      </c>
      <c r="F6">
        <v>116216631916.89729</v>
      </c>
      <c r="G6">
        <v>116482438647.58881</v>
      </c>
      <c r="H6">
        <v>117357060389.27341</v>
      </c>
      <c r="I6">
        <v>118427536178.47099</v>
      </c>
      <c r="J6">
        <v>118545582733.979</v>
      </c>
      <c r="K6">
        <v>118740875723.7188</v>
      </c>
      <c r="L6">
        <v>119088305139.274</v>
      </c>
      <c r="M6">
        <v>119135501319.16631</v>
      </c>
      <c r="N6">
        <v>119506831795.8653</v>
      </c>
      <c r="O6">
        <v>119983147403.1093</v>
      </c>
      <c r="P6">
        <v>120291796505.3721</v>
      </c>
      <c r="Q6">
        <v>120509531806.045</v>
      </c>
      <c r="R6">
        <v>120654105173.076</v>
      </c>
      <c r="S6">
        <v>120751953648.7442</v>
      </c>
      <c r="T6">
        <v>121087915043.4127</v>
      </c>
      <c r="U6">
        <v>121788137586.83611</v>
      </c>
      <c r="V6">
        <v>122133457425.1636</v>
      </c>
      <c r="W6">
        <v>122810317522.9057</v>
      </c>
      <c r="X6">
        <v>123742795542.1757</v>
      </c>
      <c r="Y6">
        <v>124099493632.1463</v>
      </c>
      <c r="Z6">
        <v>124308094912.26939</v>
      </c>
      <c r="AA6">
        <v>124822427794.2341</v>
      </c>
      <c r="AB6">
        <v>125137742262.84399</v>
      </c>
      <c r="AC6">
        <v>125726808040.21581</v>
      </c>
      <c r="AD6">
        <v>126531230233.30161</v>
      </c>
      <c r="AE6">
        <v>127300866844.4411</v>
      </c>
      <c r="AF6">
        <v>127991259655.6759</v>
      </c>
    </row>
    <row r="7" spans="1:35" ht="14" customHeight="1" x14ac:dyDescent="0.15">
      <c r="A7" s="48" t="s">
        <v>182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5" ht="14" customHeight="1" x14ac:dyDescent="0.15">
      <c r="A8" s="48" t="s">
        <v>183</v>
      </c>
      <c r="B8">
        <v>27388165923.445621</v>
      </c>
      <c r="C8">
        <v>27368564283.814671</v>
      </c>
      <c r="D8">
        <v>27348962644.18372</v>
      </c>
      <c r="E8">
        <v>26580453649.70742</v>
      </c>
      <c r="F8">
        <v>26725991591.16637</v>
      </c>
      <c r="G8">
        <v>27800573156.1633</v>
      </c>
      <c r="H8">
        <v>28233693453.04586</v>
      </c>
      <c r="I8">
        <v>28449923359.204811</v>
      </c>
      <c r="J8">
        <v>28074050645.782169</v>
      </c>
      <c r="K8">
        <v>28125779662.777969</v>
      </c>
      <c r="L8">
        <v>28318258946.317291</v>
      </c>
      <c r="M8">
        <v>28487353053.011349</v>
      </c>
      <c r="N8">
        <v>28558145599.11713</v>
      </c>
      <c r="O8">
        <v>28278043147.57048</v>
      </c>
      <c r="P8">
        <v>27811885211.600719</v>
      </c>
      <c r="Q8">
        <v>27375033344.56348</v>
      </c>
      <c r="R8">
        <v>27181310204.305931</v>
      </c>
      <c r="S8">
        <v>27432673195.50597</v>
      </c>
      <c r="T8">
        <v>27951354741.57724</v>
      </c>
      <c r="U8">
        <v>28328444490.009899</v>
      </c>
      <c r="V8">
        <v>28363688214.59734</v>
      </c>
      <c r="W8">
        <v>28689015418.898949</v>
      </c>
      <c r="X8">
        <v>28977657231.796841</v>
      </c>
      <c r="Y8">
        <v>28569524708.825069</v>
      </c>
      <c r="Z8">
        <v>28528534433.2537</v>
      </c>
      <c r="AA8">
        <v>28820475316.261379</v>
      </c>
      <c r="AB8">
        <v>29245756968.919689</v>
      </c>
      <c r="AC8">
        <v>29647311467.953041</v>
      </c>
      <c r="AD8">
        <v>29948740530.23988</v>
      </c>
      <c r="AE8">
        <v>30198303114.27634</v>
      </c>
      <c r="AF8">
        <v>30575134703.767479</v>
      </c>
    </row>
    <row r="9" spans="1:35" ht="14" customHeight="1" x14ac:dyDescent="0.15">
      <c r="A9" s="48" t="s">
        <v>184</v>
      </c>
      <c r="B9">
        <v>0</v>
      </c>
      <c r="C9" s="57">
        <v>0</v>
      </c>
      <c r="D9" s="57">
        <v>0</v>
      </c>
      <c r="E9" s="57">
        <v>0</v>
      </c>
      <c r="F9" s="57">
        <v>0</v>
      </c>
      <c r="G9" s="57">
        <v>0</v>
      </c>
      <c r="H9" s="57">
        <v>0</v>
      </c>
      <c r="I9" s="57">
        <v>0</v>
      </c>
      <c r="J9" s="57">
        <v>0</v>
      </c>
      <c r="K9" s="57">
        <v>0</v>
      </c>
      <c r="L9" s="57">
        <v>0</v>
      </c>
      <c r="M9" s="57">
        <v>0</v>
      </c>
      <c r="N9" s="57">
        <v>0</v>
      </c>
      <c r="O9" s="57">
        <v>0</v>
      </c>
      <c r="P9" s="57">
        <v>0</v>
      </c>
      <c r="Q9" s="57">
        <v>0</v>
      </c>
      <c r="R9" s="57">
        <v>0</v>
      </c>
      <c r="S9" s="57">
        <v>0</v>
      </c>
      <c r="T9" s="57">
        <v>0</v>
      </c>
      <c r="U9" s="57">
        <v>0</v>
      </c>
      <c r="V9" s="57">
        <v>0</v>
      </c>
      <c r="W9" s="57">
        <v>0</v>
      </c>
      <c r="X9" s="57">
        <v>0</v>
      </c>
      <c r="Y9" s="57">
        <v>0</v>
      </c>
      <c r="Z9" s="57">
        <v>0</v>
      </c>
      <c r="AA9" s="57">
        <v>0</v>
      </c>
      <c r="AB9" s="57">
        <v>0</v>
      </c>
      <c r="AC9" s="57">
        <v>0</v>
      </c>
      <c r="AD9" s="57">
        <v>0</v>
      </c>
      <c r="AE9" s="57">
        <v>0</v>
      </c>
      <c r="AF9" s="57">
        <v>0</v>
      </c>
      <c r="AG9" s="57"/>
    </row>
    <row r="10" spans="1:35" ht="14" customHeight="1" x14ac:dyDescent="0.15">
      <c r="A10" s="48" t="s">
        <v>136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5" ht="14" customHeight="1" x14ac:dyDescent="0.15">
      <c r="A11" s="48" t="s">
        <v>185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5" ht="14" customHeight="1" x14ac:dyDescent="0.15">
      <c r="A12" s="48" t="s">
        <v>186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5" ht="14" customHeight="1" x14ac:dyDescent="0.15">
      <c r="A13" s="48" t="s">
        <v>187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5" ht="14" customHeight="1" x14ac:dyDescent="0.15">
      <c r="A14" s="48" t="s">
        <v>188</v>
      </c>
      <c r="B14">
        <v>190356387890.05551</v>
      </c>
      <c r="C14">
        <v>260932092955.56021</v>
      </c>
      <c r="D14">
        <v>331507798021.06482</v>
      </c>
      <c r="E14">
        <v>334427615470.77258</v>
      </c>
      <c r="F14">
        <v>337619802133.9762</v>
      </c>
      <c r="G14">
        <v>340422278819.25873</v>
      </c>
      <c r="H14">
        <v>342793031428.89838</v>
      </c>
      <c r="I14">
        <v>344922868578.64978</v>
      </c>
      <c r="J14">
        <v>346544169557.17499</v>
      </c>
      <c r="K14">
        <v>347951755470.22162</v>
      </c>
      <c r="L14">
        <v>349068595060.56818</v>
      </c>
      <c r="M14">
        <v>349815700850.44598</v>
      </c>
      <c r="N14">
        <v>350109020293.11871</v>
      </c>
      <c r="O14">
        <v>349943739949.64691</v>
      </c>
      <c r="P14">
        <v>349334624820.75623</v>
      </c>
      <c r="Q14">
        <v>348578298007.88531</v>
      </c>
      <c r="R14">
        <v>347889830131.82922</v>
      </c>
      <c r="S14">
        <v>347217401640.83862</v>
      </c>
      <c r="T14">
        <v>346639512986.8194</v>
      </c>
      <c r="U14">
        <v>346052094860.09448</v>
      </c>
      <c r="V14">
        <v>345720308491.39728</v>
      </c>
      <c r="W14">
        <v>345405827775.00763</v>
      </c>
      <c r="X14">
        <v>345083538410.62518</v>
      </c>
      <c r="Y14">
        <v>344824148436.36011</v>
      </c>
      <c r="Z14">
        <v>344592324125.90161</v>
      </c>
      <c r="AA14">
        <v>344389575259.42279</v>
      </c>
      <c r="AB14">
        <v>344226226785.20477</v>
      </c>
      <c r="AC14">
        <v>344079940450.36292</v>
      </c>
      <c r="AD14">
        <v>343946722642.82629</v>
      </c>
      <c r="AE14">
        <v>343827636702.39429</v>
      </c>
      <c r="AF14">
        <v>343758357273.48102</v>
      </c>
    </row>
    <row r="15" spans="1:35" ht="14" customHeight="1" x14ac:dyDescent="0.15">
      <c r="A15" s="48" t="s">
        <v>189</v>
      </c>
      <c r="B15">
        <v>0</v>
      </c>
      <c r="C15" s="57">
        <v>0</v>
      </c>
      <c r="D15" s="57">
        <v>0</v>
      </c>
      <c r="E15" s="57">
        <v>0</v>
      </c>
      <c r="F15" s="57">
        <v>0</v>
      </c>
      <c r="G15" s="57">
        <v>0</v>
      </c>
      <c r="H15" s="57">
        <v>0</v>
      </c>
      <c r="I15" s="57">
        <v>0</v>
      </c>
      <c r="J15" s="57">
        <v>0</v>
      </c>
      <c r="K15" s="57">
        <v>0</v>
      </c>
      <c r="L15" s="57">
        <v>0</v>
      </c>
      <c r="M15" s="57">
        <v>0</v>
      </c>
      <c r="N15" s="57">
        <v>0</v>
      </c>
      <c r="O15" s="57">
        <v>0</v>
      </c>
      <c r="P15" s="57">
        <v>0</v>
      </c>
      <c r="Q15" s="57">
        <v>0</v>
      </c>
      <c r="R15" s="57">
        <v>0</v>
      </c>
      <c r="S15" s="57">
        <v>0</v>
      </c>
      <c r="T15" s="57">
        <v>0</v>
      </c>
      <c r="U15" s="57">
        <v>0</v>
      </c>
      <c r="V15" s="57">
        <v>0</v>
      </c>
      <c r="W15" s="57">
        <v>0</v>
      </c>
      <c r="X15" s="57">
        <v>0</v>
      </c>
      <c r="Y15" s="57">
        <v>0</v>
      </c>
      <c r="Z15" s="57">
        <v>0</v>
      </c>
      <c r="AA15" s="57">
        <v>0</v>
      </c>
      <c r="AB15" s="57">
        <v>0</v>
      </c>
      <c r="AC15" s="57">
        <v>0</v>
      </c>
      <c r="AD15" s="57">
        <v>0</v>
      </c>
      <c r="AE15" s="57">
        <v>0</v>
      </c>
      <c r="AF15" s="57">
        <v>0</v>
      </c>
      <c r="AG15" s="57"/>
    </row>
    <row r="16" spans="1:35" ht="14" customHeight="1" x14ac:dyDescent="0.15">
      <c r="A16" s="48" t="s">
        <v>190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3" ht="14" customHeight="1" x14ac:dyDescent="0.15">
      <c r="A17" s="48" t="s">
        <v>191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3" ht="14" customHeight="1" x14ac:dyDescent="0.15">
      <c r="A18" s="48" t="s">
        <v>192</v>
      </c>
      <c r="B18">
        <v>0</v>
      </c>
      <c r="C18" s="30">
        <v>0</v>
      </c>
      <c r="D18" s="30">
        <v>0</v>
      </c>
      <c r="E18" s="30">
        <v>0</v>
      </c>
      <c r="F18" s="30">
        <v>0</v>
      </c>
      <c r="G18" s="30">
        <v>0</v>
      </c>
      <c r="H18" s="30">
        <v>0</v>
      </c>
      <c r="I18" s="30">
        <v>0</v>
      </c>
      <c r="J18" s="30">
        <v>0</v>
      </c>
      <c r="K18" s="30">
        <v>0</v>
      </c>
      <c r="L18" s="30">
        <v>0</v>
      </c>
      <c r="M18" s="30">
        <v>0</v>
      </c>
      <c r="N18" s="30">
        <v>0</v>
      </c>
      <c r="O18" s="30">
        <v>0</v>
      </c>
      <c r="P18" s="30">
        <v>0</v>
      </c>
      <c r="Q18" s="30">
        <v>0</v>
      </c>
      <c r="R18" s="30">
        <v>0</v>
      </c>
      <c r="S18" s="30">
        <v>0</v>
      </c>
      <c r="T18" s="30">
        <v>0</v>
      </c>
      <c r="U18" s="30">
        <v>0</v>
      </c>
      <c r="V18" s="30">
        <v>0</v>
      </c>
      <c r="W18" s="30">
        <v>0</v>
      </c>
      <c r="X18" s="30">
        <v>0</v>
      </c>
      <c r="Y18" s="30">
        <v>0</v>
      </c>
      <c r="Z18" s="30">
        <v>0</v>
      </c>
      <c r="AA18" s="30">
        <v>0</v>
      </c>
      <c r="AB18" s="30">
        <v>0</v>
      </c>
      <c r="AC18" s="30">
        <v>0</v>
      </c>
      <c r="AD18" s="30">
        <v>0</v>
      </c>
      <c r="AE18" s="30">
        <v>0</v>
      </c>
      <c r="AF18" s="30">
        <v>0</v>
      </c>
      <c r="AG18" s="30"/>
    </row>
    <row r="19" spans="1:33" ht="14" customHeight="1" x14ac:dyDescent="0.15">
      <c r="A19" s="48" t="s">
        <v>193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3" ht="14" customHeight="1" x14ac:dyDescent="0.15">
      <c r="A20" s="48" t="s">
        <v>194</v>
      </c>
      <c r="B20">
        <v>0</v>
      </c>
      <c r="C20" s="57">
        <v>0</v>
      </c>
      <c r="D20" s="57">
        <v>0</v>
      </c>
      <c r="E20" s="57">
        <v>0</v>
      </c>
      <c r="F20" s="57">
        <v>0</v>
      </c>
      <c r="G20" s="57">
        <v>0</v>
      </c>
      <c r="H20" s="57">
        <v>0</v>
      </c>
      <c r="I20" s="57">
        <v>0</v>
      </c>
      <c r="J20" s="57">
        <v>0</v>
      </c>
      <c r="K20" s="57">
        <v>0</v>
      </c>
      <c r="L20" s="57">
        <v>0</v>
      </c>
      <c r="M20" s="57">
        <v>0</v>
      </c>
      <c r="N20" s="57">
        <v>0</v>
      </c>
      <c r="O20" s="57">
        <v>0</v>
      </c>
      <c r="P20" s="57">
        <v>0</v>
      </c>
      <c r="Q20" s="57">
        <v>0</v>
      </c>
      <c r="R20" s="57">
        <v>0</v>
      </c>
      <c r="S20" s="57">
        <v>0</v>
      </c>
      <c r="T20" s="57">
        <v>0</v>
      </c>
      <c r="U20" s="57">
        <v>0</v>
      </c>
      <c r="V20" s="57">
        <v>0</v>
      </c>
      <c r="W20" s="57">
        <v>0</v>
      </c>
      <c r="X20" s="57">
        <v>0</v>
      </c>
      <c r="Y20" s="57">
        <v>0</v>
      </c>
      <c r="Z20" s="57">
        <v>0</v>
      </c>
      <c r="AA20" s="57">
        <v>0</v>
      </c>
      <c r="AB20" s="57">
        <v>0</v>
      </c>
      <c r="AC20" s="57">
        <v>0</v>
      </c>
      <c r="AD20" s="57">
        <v>0</v>
      </c>
      <c r="AE20" s="57">
        <v>0</v>
      </c>
      <c r="AF20" s="57">
        <v>0</v>
      </c>
      <c r="AG20" s="57"/>
    </row>
    <row r="21" spans="1:33" ht="14" customHeight="1" x14ac:dyDescent="0.15">
      <c r="A21" s="48" t="s">
        <v>195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3" ht="14" customHeight="1" x14ac:dyDescent="0.15">
      <c r="A22" s="48" t="s">
        <v>196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3" ht="14" customHeight="1" x14ac:dyDescent="0.15">
      <c r="A23" s="48" t="s">
        <v>197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3" ht="14" customHeight="1" x14ac:dyDescent="0.15">
      <c r="A24" s="48" t="s">
        <v>198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3" ht="14" customHeight="1" x14ac:dyDescent="0.15">
      <c r="A25" s="48" t="s">
        <v>199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3" ht="14" customHeight="1" x14ac:dyDescent="0.15">
      <c r="A26" s="48" t="s">
        <v>200</v>
      </c>
      <c r="B26">
        <v>5188841100248.7178</v>
      </c>
      <c r="C26">
        <v>5180846958423.1621</v>
      </c>
      <c r="D26">
        <v>5172852816597.6055</v>
      </c>
      <c r="E26">
        <v>5136817995112.5645</v>
      </c>
      <c r="F26">
        <v>5313441590873.6035</v>
      </c>
      <c r="G26">
        <v>5392678079114.9912</v>
      </c>
      <c r="H26">
        <v>5447646318208.2588</v>
      </c>
      <c r="I26">
        <v>5474463102256.6377</v>
      </c>
      <c r="J26">
        <v>5489344378611.4639</v>
      </c>
      <c r="K26">
        <v>5527013711581.5605</v>
      </c>
      <c r="L26">
        <v>5574942998291.9209</v>
      </c>
      <c r="M26">
        <v>5617542458260.7715</v>
      </c>
      <c r="N26">
        <v>5654713421003.5752</v>
      </c>
      <c r="O26">
        <v>5717791111280.5605</v>
      </c>
      <c r="P26">
        <v>5776179284663.1494</v>
      </c>
      <c r="Q26">
        <v>5833624058753.126</v>
      </c>
      <c r="R26">
        <v>5892211804974.335</v>
      </c>
      <c r="S26">
        <v>5960107768647.9688</v>
      </c>
      <c r="T26">
        <v>6033122873699.1865</v>
      </c>
      <c r="U26">
        <v>6103714553404.7227</v>
      </c>
      <c r="V26">
        <v>6173455552650.0518</v>
      </c>
      <c r="W26">
        <v>6241364855516.0459</v>
      </c>
      <c r="X26">
        <v>6304612425402.1611</v>
      </c>
      <c r="Y26">
        <v>6373740107935.9326</v>
      </c>
      <c r="Z26">
        <v>6443016873112.584</v>
      </c>
      <c r="AA26">
        <v>6513720799208.4541</v>
      </c>
      <c r="AB26">
        <v>6586807506172.498</v>
      </c>
      <c r="AC26">
        <v>6652137948805.833</v>
      </c>
      <c r="AD26">
        <v>6715834355982.2324</v>
      </c>
      <c r="AE26">
        <v>6785177484161.1367</v>
      </c>
      <c r="AF26">
        <v>6867058165543.8008</v>
      </c>
    </row>
    <row r="27" spans="1:33" ht="14" customHeight="1" x14ac:dyDescent="0.15"/>
    <row r="28" spans="1:33" ht="14.5" customHeight="1" x14ac:dyDescent="0.2">
      <c r="A28" s="29"/>
    </row>
    <row r="29" spans="1:33" ht="14" customHeight="1" x14ac:dyDescent="0.15"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</row>
    <row r="30" spans="1:33" ht="14.5" customHeight="1" x14ac:dyDescent="0.2">
      <c r="A30" s="29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 spans="1:33" ht="14" customHeight="1" x14ac:dyDescent="0.15"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 spans="1:33" ht="14" customHeight="1" x14ac:dyDescent="0.15"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 spans="1:35" ht="14.5" customHeight="1" x14ac:dyDescent="0.2">
      <c r="A33" s="29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 spans="1:35" ht="14" customHeight="1" x14ac:dyDescent="0.15">
      <c r="A34" s="31"/>
      <c r="B34" s="32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</row>
    <row r="35" spans="1:35" ht="14" customHeight="1" x14ac:dyDescent="0.15">
      <c r="A35" s="31"/>
      <c r="B35" s="32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58"/>
    </row>
    <row r="36" spans="1:35" ht="14" customHeight="1" x14ac:dyDescent="0.15">
      <c r="A36" s="31"/>
      <c r="B36" s="32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</row>
    <row r="37" spans="1:35" ht="14" customHeight="1" x14ac:dyDescent="0.15">
      <c r="A37" s="31"/>
      <c r="B37" s="32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</row>
    <row r="38" spans="1:35" ht="14" customHeight="1" x14ac:dyDescent="0.15">
      <c r="A38" s="31"/>
      <c r="B38" s="32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</row>
    <row r="39" spans="1:35" ht="14" customHeight="1" x14ac:dyDescent="0.15">
      <c r="A39" s="31"/>
      <c r="B39" s="32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</row>
    <row r="40" spans="1:35" ht="14" customHeight="1" x14ac:dyDescent="0.15">
      <c r="A40" s="31"/>
      <c r="B40" s="32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</row>
    <row r="41" spans="1:35" ht="14" customHeight="1" x14ac:dyDescent="0.15">
      <c r="A41" s="31"/>
      <c r="B41" s="32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</row>
    <row r="42" spans="1:35" ht="14" customHeight="1" x14ac:dyDescent="0.15">
      <c r="A42" s="31"/>
      <c r="B42" s="32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58"/>
      <c r="AG42" s="58"/>
      <c r="AH42" s="58"/>
      <c r="AI42" s="58"/>
    </row>
    <row r="43" spans="1:35" ht="14" customHeight="1" x14ac:dyDescent="0.15">
      <c r="A43" s="31"/>
      <c r="B43" s="32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  <c r="AD43" s="58"/>
      <c r="AE43" s="58"/>
      <c r="AF43" s="58"/>
      <c r="AG43" s="58"/>
      <c r="AH43" s="58"/>
      <c r="AI43" s="58"/>
    </row>
    <row r="44" spans="1:35" ht="14" customHeight="1" x14ac:dyDescent="0.15">
      <c r="A44" s="31"/>
      <c r="B44" s="32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</row>
    <row r="45" spans="1:35" ht="14" customHeight="1" x14ac:dyDescent="0.15">
      <c r="A45" s="31"/>
      <c r="B45" s="32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</row>
    <row r="46" spans="1:35" ht="14" customHeight="1" x14ac:dyDescent="0.15">
      <c r="A46" s="33"/>
      <c r="B46" s="34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</row>
    <row r="47" spans="1:35" ht="14.5" customHeight="1" x14ac:dyDescent="0.2">
      <c r="A47" s="29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 spans="1:35" ht="14" customHeight="1" x14ac:dyDescent="0.15">
      <c r="A48" s="31"/>
      <c r="B48" s="32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  <c r="AD48" s="58"/>
      <c r="AE48" s="58"/>
      <c r="AF48" s="58"/>
      <c r="AG48" s="58"/>
      <c r="AH48" s="58"/>
      <c r="AI48" s="58"/>
    </row>
    <row r="49" spans="1:35" ht="14" customHeight="1" x14ac:dyDescent="0.15">
      <c r="A49" s="31"/>
      <c r="B49" s="32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  <c r="AC49" s="58"/>
      <c r="AD49" s="58"/>
      <c r="AE49" s="58"/>
      <c r="AF49" s="58"/>
      <c r="AG49" s="58"/>
      <c r="AH49" s="58"/>
      <c r="AI49" s="58"/>
    </row>
    <row r="50" spans="1:35" ht="14.5" customHeight="1" x14ac:dyDescent="0.2">
      <c r="A50" s="35"/>
      <c r="B50" s="32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  <c r="AD50" s="58"/>
      <c r="AE50" s="58"/>
      <c r="AF50" s="58"/>
      <c r="AG50" s="58"/>
      <c r="AH50" s="58"/>
      <c r="AI50" s="58"/>
    </row>
    <row r="51" spans="1:35" ht="14" customHeight="1" x14ac:dyDescent="0.15">
      <c r="A51" s="31"/>
      <c r="B51" s="32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  <c r="AD51" s="58"/>
      <c r="AE51" s="58"/>
      <c r="AF51" s="58"/>
      <c r="AG51" s="58"/>
      <c r="AH51" s="58"/>
      <c r="AI51" s="58"/>
    </row>
    <row r="52" spans="1:35" ht="14" customHeight="1" x14ac:dyDescent="0.15">
      <c r="A52" s="31"/>
      <c r="B52" s="32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</row>
    <row r="53" spans="1:35" ht="14" customHeight="1" x14ac:dyDescent="0.15">
      <c r="A53" s="31"/>
      <c r="B53" s="32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</row>
    <row r="54" spans="1:35" ht="14" customHeight="1" x14ac:dyDescent="0.15">
      <c r="A54" s="31"/>
      <c r="B54" s="32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</row>
    <row r="55" spans="1:35" ht="14" customHeight="1" x14ac:dyDescent="0.15">
      <c r="A55" s="31"/>
      <c r="B55" s="32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  <c r="AB55" s="58"/>
      <c r="AC55" s="58"/>
      <c r="AD55" s="58"/>
      <c r="AE55" s="58"/>
      <c r="AF55" s="58"/>
      <c r="AG55" s="58"/>
      <c r="AH55" s="58"/>
      <c r="AI55" s="58"/>
    </row>
    <row r="56" spans="1:35" ht="14" customHeight="1" x14ac:dyDescent="0.15">
      <c r="A56" s="31"/>
      <c r="B56" s="36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  <c r="AD56" s="58"/>
      <c r="AE56" s="58"/>
      <c r="AF56" s="58"/>
      <c r="AG56" s="58"/>
      <c r="AH56" s="58"/>
      <c r="AI56" s="58"/>
    </row>
    <row r="57" spans="1:35" ht="14" customHeight="1" x14ac:dyDescent="0.15">
      <c r="A57" s="31"/>
      <c r="B57" s="36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  <c r="AI57" s="58"/>
    </row>
    <row r="58" spans="1:35" ht="14" customHeight="1" x14ac:dyDescent="0.15">
      <c r="A58" s="31"/>
      <c r="B58" s="36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</row>
    <row r="59" spans="1:35" ht="14" customHeight="1" x14ac:dyDescent="0.15">
      <c r="A59" s="31"/>
      <c r="B59" s="36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</row>
    <row r="60" spans="1:35" ht="14" customHeight="1" x14ac:dyDescent="0.15">
      <c r="A60" s="31"/>
      <c r="B60" s="36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  <c r="AB60" s="58"/>
      <c r="AC60" s="58"/>
      <c r="AD60" s="58"/>
      <c r="AE60" s="58"/>
      <c r="AF60" s="58"/>
      <c r="AG60" s="58"/>
      <c r="AH60" s="58"/>
      <c r="AI60" s="58"/>
    </row>
    <row r="61" spans="1:35" ht="14" customHeight="1" x14ac:dyDescent="0.15">
      <c r="A61" s="31"/>
      <c r="B61" s="3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</row>
    <row r="62" spans="1:35" ht="14" customHeight="1" x14ac:dyDescent="0.15">
      <c r="A62" s="33"/>
      <c r="B62" s="36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</row>
    <row r="63" spans="1:35" ht="14.5" customHeight="1" x14ac:dyDescent="0.2">
      <c r="A63" s="37"/>
      <c r="B63" s="36"/>
    </row>
    <row r="64" spans="1:35" ht="14" customHeight="1" x14ac:dyDescent="0.15">
      <c r="A64" s="31"/>
      <c r="B64" s="36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</row>
    <row r="65" spans="1:35" ht="14" customHeight="1" x14ac:dyDescent="0.15">
      <c r="A65" s="31"/>
      <c r="B65" s="36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</row>
    <row r="66" spans="1:35" ht="14" customHeight="1" x14ac:dyDescent="0.15">
      <c r="A66" s="31"/>
      <c r="B66" s="36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  <c r="AD66" s="58"/>
      <c r="AE66" s="58"/>
      <c r="AF66" s="58"/>
      <c r="AG66" s="58"/>
      <c r="AH66" s="58"/>
      <c r="AI66" s="58"/>
    </row>
    <row r="67" spans="1:35" ht="14" customHeight="1" x14ac:dyDescent="0.15">
      <c r="A67" s="31"/>
      <c r="B67" s="36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  <c r="AG67" s="58"/>
      <c r="AH67" s="58"/>
      <c r="AI67" s="58"/>
    </row>
    <row r="68" spans="1:35" ht="14" customHeight="1" x14ac:dyDescent="0.15">
      <c r="A68" s="31"/>
      <c r="B68" s="36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</row>
    <row r="69" spans="1:35" ht="14" customHeight="1" x14ac:dyDescent="0.15">
      <c r="A69" s="31"/>
      <c r="B69" s="36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</row>
    <row r="70" spans="1:35" ht="14" customHeight="1" x14ac:dyDescent="0.15">
      <c r="A70" s="31"/>
      <c r="B70" s="36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</row>
    <row r="71" spans="1:35" ht="14" customHeight="1" x14ac:dyDescent="0.15">
      <c r="A71" s="31"/>
      <c r="B71" s="36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</row>
    <row r="72" spans="1:35" ht="14" customHeight="1" x14ac:dyDescent="0.15">
      <c r="A72" s="31"/>
      <c r="B72" s="36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</row>
    <row r="73" spans="1:35" ht="14" customHeight="1" x14ac:dyDescent="0.15">
      <c r="A73" s="31"/>
      <c r="B73" s="36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  <c r="AD73" s="58"/>
      <c r="AE73" s="58"/>
      <c r="AF73" s="58"/>
      <c r="AG73" s="58"/>
      <c r="AH73" s="58"/>
      <c r="AI73" s="58"/>
    </row>
    <row r="74" spans="1:35" ht="14" customHeight="1" x14ac:dyDescent="0.15">
      <c r="A74" s="31"/>
      <c r="B74" s="36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  <c r="AD74" s="58"/>
      <c r="AE74" s="58"/>
      <c r="AF74" s="58"/>
      <c r="AG74" s="58"/>
      <c r="AH74" s="58"/>
      <c r="AI74" s="58"/>
    </row>
    <row r="75" spans="1:35" ht="14" customHeight="1" x14ac:dyDescent="0.15">
      <c r="A75" s="31"/>
      <c r="B75" s="36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</row>
    <row r="76" spans="1:35" ht="14" customHeight="1" x14ac:dyDescent="0.15">
      <c r="A76" s="33"/>
      <c r="B76" s="36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</row>
    <row r="77" spans="1:35" ht="14.5" customHeight="1" x14ac:dyDescent="0.2">
      <c r="A77" s="37"/>
      <c r="B77" s="36"/>
    </row>
    <row r="78" spans="1:35" ht="14.5" customHeight="1" x14ac:dyDescent="0.2">
      <c r="A78" s="37"/>
      <c r="B78" s="36"/>
    </row>
    <row r="79" spans="1:35" ht="14" customHeight="1" x14ac:dyDescent="0.15">
      <c r="A79" s="31"/>
      <c r="B79" s="36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  <c r="AB79" s="58"/>
      <c r="AC79" s="58"/>
      <c r="AD79" s="58"/>
      <c r="AE79" s="58"/>
      <c r="AF79" s="58"/>
      <c r="AG79" s="58"/>
      <c r="AH79" s="58"/>
      <c r="AI79" s="58"/>
    </row>
    <row r="80" spans="1:35" ht="14" customHeight="1" x14ac:dyDescent="0.15">
      <c r="A80" s="31"/>
      <c r="B80" s="36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</row>
    <row r="81" spans="1:35" ht="14" customHeight="1" x14ac:dyDescent="0.15">
      <c r="A81" s="31"/>
      <c r="B81" s="36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</row>
    <row r="82" spans="1:35" ht="14" customHeight="1" x14ac:dyDescent="0.15">
      <c r="A82" s="31"/>
      <c r="B82" s="32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  <c r="AD82" s="58"/>
      <c r="AE82" s="58"/>
      <c r="AF82" s="58"/>
      <c r="AG82" s="58"/>
      <c r="AH82" s="58"/>
      <c r="AI82" s="58"/>
    </row>
    <row r="83" spans="1:35" ht="14" customHeight="1" x14ac:dyDescent="0.15">
      <c r="A83" s="31"/>
      <c r="B83" s="32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  <c r="AB83" s="58"/>
      <c r="AC83" s="58"/>
      <c r="AD83" s="58"/>
      <c r="AE83" s="58"/>
      <c r="AF83" s="58"/>
      <c r="AG83" s="58"/>
      <c r="AH83" s="58"/>
      <c r="AI83" s="58"/>
    </row>
    <row r="84" spans="1:35" ht="14" customHeight="1" x14ac:dyDescent="0.15">
      <c r="A84" s="31"/>
      <c r="B84" s="32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</row>
    <row r="85" spans="1:35" ht="14" customHeight="1" x14ac:dyDescent="0.15">
      <c r="A85" s="31"/>
      <c r="B85" s="32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  <c r="AC85" s="58"/>
      <c r="AD85" s="58"/>
      <c r="AE85" s="58"/>
      <c r="AF85" s="58"/>
      <c r="AG85" s="58"/>
      <c r="AH85" s="58"/>
      <c r="AI85" s="58"/>
    </row>
    <row r="86" spans="1:35" ht="14" customHeight="1" x14ac:dyDescent="0.15">
      <c r="A86" s="31"/>
      <c r="B86" s="32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</row>
    <row r="87" spans="1:35" ht="14" customHeight="1" x14ac:dyDescent="0.15">
      <c r="A87" s="31"/>
      <c r="B87" s="32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  <c r="AC87" s="58"/>
      <c r="AD87" s="58"/>
      <c r="AE87" s="58"/>
      <c r="AF87" s="58"/>
      <c r="AG87" s="58"/>
      <c r="AH87" s="58"/>
      <c r="AI87" s="58"/>
    </row>
    <row r="88" spans="1:35" ht="14" customHeight="1" x14ac:dyDescent="0.15">
      <c r="A88" s="31"/>
      <c r="B88" s="32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  <c r="AB88" s="58"/>
      <c r="AC88" s="58"/>
      <c r="AD88" s="58"/>
      <c r="AE88" s="58"/>
      <c r="AF88" s="58"/>
      <c r="AG88" s="58"/>
      <c r="AH88" s="58"/>
      <c r="AI88" s="58"/>
    </row>
    <row r="89" spans="1:35" ht="14" customHeight="1" x14ac:dyDescent="0.15">
      <c r="A89" s="31"/>
      <c r="B89" s="32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  <c r="AD89" s="58"/>
      <c r="AE89" s="58"/>
      <c r="AF89" s="58"/>
      <c r="AG89" s="58"/>
      <c r="AH89" s="58"/>
      <c r="AI89" s="58"/>
    </row>
    <row r="90" spans="1:35" ht="14.5" customHeight="1" x14ac:dyDescent="0.2">
      <c r="A90" s="38"/>
      <c r="B90" s="32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  <c r="AB90" s="58"/>
      <c r="AC90" s="58"/>
      <c r="AD90" s="58"/>
      <c r="AE90" s="58"/>
      <c r="AF90" s="58"/>
      <c r="AG90" s="58"/>
      <c r="AH90" s="58"/>
      <c r="AI90" s="58"/>
    </row>
    <row r="91" spans="1:35" ht="14.5" customHeight="1" x14ac:dyDescent="0.2">
      <c r="A91" s="35"/>
      <c r="B91" s="32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</row>
    <row r="92" spans="1:35" ht="14" customHeight="1" x14ac:dyDescent="0.15">
      <c r="A92" s="31"/>
      <c r="B92" s="32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</row>
    <row r="93" spans="1:35" ht="14" customHeight="1" x14ac:dyDescent="0.15">
      <c r="A93" s="31"/>
      <c r="B93" s="32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  <c r="AB93" s="58"/>
      <c r="AC93" s="58"/>
      <c r="AD93" s="58"/>
      <c r="AE93" s="58"/>
      <c r="AF93" s="58"/>
      <c r="AG93" s="58"/>
      <c r="AH93" s="58"/>
      <c r="AI93" s="58"/>
    </row>
    <row r="94" spans="1:35" ht="14" customHeight="1" x14ac:dyDescent="0.15">
      <c r="A94" s="31"/>
      <c r="B94" s="32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  <c r="AB94" s="58"/>
      <c r="AC94" s="58"/>
      <c r="AD94" s="58"/>
      <c r="AE94" s="58"/>
      <c r="AF94" s="58"/>
      <c r="AG94" s="58"/>
      <c r="AH94" s="58"/>
      <c r="AI94" s="58"/>
    </row>
    <row r="95" spans="1:35" ht="14.5" customHeight="1" x14ac:dyDescent="0.2">
      <c r="A95" s="37"/>
    </row>
    <row r="96" spans="1:35" ht="14" customHeight="1" x14ac:dyDescent="0.15">
      <c r="A96" s="31"/>
      <c r="B96" s="32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  <c r="AB96" s="58"/>
      <c r="AC96" s="58"/>
      <c r="AD96" s="58"/>
      <c r="AE96" s="58"/>
      <c r="AF96" s="58"/>
      <c r="AG96" s="58"/>
      <c r="AH96" s="58"/>
      <c r="AI96" s="58"/>
    </row>
    <row r="97" spans="1:35" ht="14" customHeight="1" x14ac:dyDescent="0.15">
      <c r="A97" s="31"/>
      <c r="B97" s="32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  <c r="AA97" s="58"/>
      <c r="AB97" s="58"/>
      <c r="AC97" s="58"/>
      <c r="AD97" s="58"/>
      <c r="AE97" s="58"/>
      <c r="AF97" s="58"/>
      <c r="AG97" s="58"/>
      <c r="AH97" s="58"/>
      <c r="AI97" s="58"/>
    </row>
    <row r="98" spans="1:35" ht="14" customHeight="1" x14ac:dyDescent="0.15">
      <c r="A98" s="31"/>
      <c r="B98" s="32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  <c r="AA98" s="58"/>
      <c r="AB98" s="58"/>
      <c r="AC98" s="58"/>
      <c r="AD98" s="58"/>
      <c r="AE98" s="58"/>
      <c r="AF98" s="58"/>
      <c r="AG98" s="58"/>
      <c r="AH98" s="58"/>
      <c r="AI98" s="58"/>
    </row>
    <row r="99" spans="1:35" ht="14" customHeight="1" x14ac:dyDescent="0.15">
      <c r="A99" s="31"/>
      <c r="B99" s="32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  <c r="AA99" s="58"/>
      <c r="AB99" s="58"/>
      <c r="AC99" s="58"/>
      <c r="AD99" s="58"/>
      <c r="AE99" s="58"/>
      <c r="AF99" s="58"/>
      <c r="AG99" s="58"/>
      <c r="AH99" s="58"/>
      <c r="AI99" s="58"/>
    </row>
    <row r="100" spans="1:35" ht="14" customHeight="1" x14ac:dyDescent="0.15">
      <c r="A100" s="31"/>
      <c r="B100" s="32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  <c r="AB100" s="58"/>
      <c r="AC100" s="58"/>
      <c r="AD100" s="58"/>
      <c r="AE100" s="58"/>
      <c r="AF100" s="58"/>
      <c r="AG100" s="58"/>
      <c r="AH100" s="58"/>
      <c r="AI100" s="58"/>
    </row>
    <row r="101" spans="1:35" ht="14" customHeight="1" x14ac:dyDescent="0.15">
      <c r="A101" s="31"/>
      <c r="B101" s="32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  <c r="AA101" s="58"/>
      <c r="AB101" s="58"/>
      <c r="AC101" s="58"/>
      <c r="AD101" s="58"/>
      <c r="AE101" s="58"/>
      <c r="AF101" s="58"/>
      <c r="AG101" s="58"/>
      <c r="AH101" s="58"/>
      <c r="AI101" s="58"/>
    </row>
    <row r="102" spans="1:35" ht="14" customHeight="1" x14ac:dyDescent="0.15">
      <c r="A102" s="31"/>
      <c r="B102" s="32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</row>
    <row r="103" spans="1:35" ht="14" customHeight="1" x14ac:dyDescent="0.15">
      <c r="A103" s="31"/>
      <c r="B103" s="32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  <c r="AA103" s="58"/>
      <c r="AB103" s="58"/>
      <c r="AC103" s="58"/>
      <c r="AD103" s="58"/>
      <c r="AE103" s="58"/>
      <c r="AF103" s="58"/>
      <c r="AG103" s="58"/>
      <c r="AH103" s="58"/>
      <c r="AI103" s="58"/>
    </row>
    <row r="104" spans="1:35" ht="14" customHeight="1" x14ac:dyDescent="0.15">
      <c r="A104" s="31"/>
      <c r="B104" s="32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</row>
    <row r="105" spans="1:35" ht="14" customHeight="1" x14ac:dyDescent="0.15">
      <c r="A105" s="31"/>
      <c r="B105" s="32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  <c r="AH105" s="58"/>
      <c r="AI105" s="58"/>
    </row>
    <row r="106" spans="1:35" ht="14" customHeight="1" x14ac:dyDescent="0.15">
      <c r="A106" s="31"/>
      <c r="B106" s="32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</row>
    <row r="107" spans="1:35" ht="14" customHeight="1" x14ac:dyDescent="0.15">
      <c r="A107" s="33"/>
      <c r="B107" s="34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</row>
    <row r="108" spans="1:35" ht="14.5" customHeight="1" x14ac:dyDescent="0.2">
      <c r="A108" s="29"/>
    </row>
    <row r="109" spans="1:35" ht="14" customHeight="1" x14ac:dyDescent="0.15">
      <c r="A109" s="39"/>
      <c r="B109" s="40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</row>
    <row r="110" spans="1:35" ht="14" customHeight="1" x14ac:dyDescent="0.15">
      <c r="A110" s="39"/>
      <c r="B110" s="40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</row>
    <row r="111" spans="1:35" ht="14" customHeight="1" x14ac:dyDescent="0.15">
      <c r="A111" s="39"/>
      <c r="B111" s="43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</row>
    <row r="112" spans="1:35" ht="14" customHeight="1" x14ac:dyDescent="0.15">
      <c r="A112" s="39"/>
      <c r="B112" s="43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</row>
    <row r="113" spans="1:35" ht="14.5" customHeight="1" x14ac:dyDescent="0.2">
      <c r="A113" s="29"/>
    </row>
    <row r="114" spans="1:35" ht="14" customHeight="1" x14ac:dyDescent="0.15">
      <c r="A114" s="31"/>
      <c r="B114" s="32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</row>
    <row r="115" spans="1:35" ht="14" customHeight="1" x14ac:dyDescent="0.15">
      <c r="A115" s="31"/>
      <c r="B115" s="32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</row>
    <row r="116" spans="1:35" ht="14" customHeight="1" x14ac:dyDescent="0.15">
      <c r="A116" s="31"/>
      <c r="B116" s="32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</row>
    <row r="117" spans="1:35" ht="14" customHeight="1" x14ac:dyDescent="0.15">
      <c r="A117" s="31"/>
      <c r="B117" s="32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</row>
    <row r="118" spans="1:35" ht="14" customHeight="1" x14ac:dyDescent="0.15">
      <c r="A118" s="31"/>
      <c r="B118" s="32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  <c r="AA118" s="58"/>
      <c r="AB118" s="58"/>
      <c r="AC118" s="58"/>
      <c r="AD118" s="58"/>
      <c r="AE118" s="58"/>
      <c r="AF118" s="58"/>
      <c r="AG118" s="58"/>
      <c r="AH118" s="58"/>
      <c r="AI118" s="58"/>
    </row>
    <row r="119" spans="1:35" ht="14" customHeight="1" x14ac:dyDescent="0.15">
      <c r="A119" s="31"/>
      <c r="B119" s="32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  <c r="AA119" s="58"/>
      <c r="AB119" s="58"/>
      <c r="AC119" s="58"/>
      <c r="AD119" s="58"/>
      <c r="AE119" s="58"/>
      <c r="AF119" s="58"/>
      <c r="AG119" s="58"/>
      <c r="AH119" s="58"/>
      <c r="AI119" s="58"/>
    </row>
    <row r="120" spans="1:35" ht="14" customHeight="1" x14ac:dyDescent="0.15">
      <c r="A120" s="31"/>
      <c r="B120" s="32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  <c r="AA120" s="58"/>
      <c r="AB120" s="58"/>
      <c r="AC120" s="58"/>
      <c r="AD120" s="58"/>
      <c r="AE120" s="58"/>
      <c r="AF120" s="58"/>
      <c r="AG120" s="58"/>
      <c r="AH120" s="58"/>
      <c r="AI120" s="58"/>
    </row>
    <row r="121" spans="1:35" ht="14" customHeight="1" x14ac:dyDescent="0.15">
      <c r="A121" s="31"/>
      <c r="B121" s="32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</row>
    <row r="122" spans="1:35" ht="14" customHeight="1" x14ac:dyDescent="0.15">
      <c r="A122" s="31"/>
      <c r="B122" s="32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</row>
    <row r="123" spans="1:35" ht="14" customHeight="1" x14ac:dyDescent="0.15">
      <c r="A123" s="31"/>
      <c r="B123" s="32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</row>
    <row r="124" spans="1:35" ht="14" customHeight="1" x14ac:dyDescent="0.15">
      <c r="A124" s="33"/>
      <c r="B124" s="34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</row>
    <row r="125" spans="1:35" ht="14.5" customHeight="1" x14ac:dyDescent="0.2">
      <c r="A125" s="29"/>
    </row>
    <row r="126" spans="1:35" ht="14.5" customHeight="1" x14ac:dyDescent="0.2">
      <c r="A126" s="35"/>
      <c r="B126" s="32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</row>
    <row r="127" spans="1:35" ht="14" customHeight="1" x14ac:dyDescent="0.15">
      <c r="A127" s="31"/>
      <c r="B127" s="32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</row>
    <row r="128" spans="1:35" ht="14" customHeight="1" x14ac:dyDescent="0.15">
      <c r="A128" s="31"/>
      <c r="B128" s="32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</row>
    <row r="129" spans="1:35" ht="14" customHeight="1" x14ac:dyDescent="0.15">
      <c r="A129" s="31"/>
      <c r="B129" s="32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</row>
    <row r="130" spans="1:35" ht="14" customHeight="1" x14ac:dyDescent="0.15">
      <c r="A130" s="31"/>
      <c r="B130" s="32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</row>
    <row r="131" spans="1:35" ht="14" customHeight="1" x14ac:dyDescent="0.15">
      <c r="A131" s="31"/>
      <c r="B131" s="32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</row>
    <row r="132" spans="1:35" ht="14" customHeight="1" x14ac:dyDescent="0.15">
      <c r="A132" s="31"/>
      <c r="B132" s="32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</row>
    <row r="133" spans="1:35" ht="14" customHeight="1" x14ac:dyDescent="0.15">
      <c r="A133" s="31"/>
      <c r="B133" s="32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</row>
    <row r="134" spans="1:35" ht="14" customHeight="1" x14ac:dyDescent="0.15">
      <c r="A134" s="31"/>
      <c r="B134" s="32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</row>
    <row r="135" spans="1:35" ht="14" customHeight="1" x14ac:dyDescent="0.15">
      <c r="A135" s="31"/>
      <c r="B135" s="32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</row>
    <row r="136" spans="1:35" ht="14" customHeight="1" x14ac:dyDescent="0.15">
      <c r="A136" s="31"/>
      <c r="B136" s="32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</row>
    <row r="137" spans="1:35" ht="14" customHeight="1" x14ac:dyDescent="0.15">
      <c r="A137" s="31"/>
      <c r="B137" s="32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</row>
    <row r="138" spans="1:35" ht="14" customHeight="1" x14ac:dyDescent="0.15">
      <c r="A138" s="31"/>
      <c r="B138" s="32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</row>
    <row r="139" spans="1:35" ht="14" customHeight="1" x14ac:dyDescent="0.15">
      <c r="A139" s="31"/>
      <c r="B139" s="32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</row>
    <row r="140" spans="1:35" ht="14" customHeight="1" x14ac:dyDescent="0.15">
      <c r="A140" s="31"/>
      <c r="B140" s="32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</row>
    <row r="141" spans="1:35" ht="14" customHeight="1" x14ac:dyDescent="0.15">
      <c r="A141" s="31"/>
      <c r="B141" s="32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</row>
    <row r="142" spans="1:35" ht="14" customHeight="1" x14ac:dyDescent="0.15">
      <c r="A142" s="31"/>
      <c r="B142" s="32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</row>
    <row r="143" spans="1:35" ht="14" customHeight="1" x14ac:dyDescent="0.15">
      <c r="A143" s="31"/>
      <c r="B143" s="32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</row>
    <row r="144" spans="1:35" ht="14" customHeight="1" x14ac:dyDescent="0.15">
      <c r="A144" s="31"/>
      <c r="B144" s="32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</row>
    <row r="145" spans="1:35" ht="14" customHeight="1" x14ac:dyDescent="0.15">
      <c r="A145" s="31"/>
      <c r="B145" s="32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</row>
    <row r="146" spans="1:35" ht="14" customHeight="1" x14ac:dyDescent="0.15">
      <c r="A146" s="33"/>
      <c r="B146" s="34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</row>
    <row r="147" spans="1:35" ht="14" customHeight="1" x14ac:dyDescent="0.15">
      <c r="A147" s="31"/>
      <c r="B147" s="32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</row>
    <row r="148" spans="1:35" ht="14" customHeight="1" x14ac:dyDescent="0.15">
      <c r="A148" s="33"/>
      <c r="B148" s="34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</row>
    <row r="149" spans="1:35" ht="14" customHeight="1" x14ac:dyDescent="0.15"/>
    <row r="150" spans="1:35" ht="14" customHeight="1" x14ac:dyDescent="0.15">
      <c r="C150" s="60"/>
      <c r="D150" s="60"/>
      <c r="E150" s="60"/>
      <c r="F150" s="60"/>
      <c r="G150" s="60"/>
      <c r="H150" s="60"/>
      <c r="I150" s="60"/>
      <c r="J150" s="60"/>
      <c r="K150" s="60"/>
      <c r="L150" s="60"/>
    </row>
    <row r="151" spans="1:35" ht="14" customHeight="1" x14ac:dyDescent="0.15">
      <c r="C151" s="60"/>
      <c r="D151" s="60"/>
      <c r="E151" s="60"/>
      <c r="F151" s="60"/>
      <c r="G151" s="60"/>
      <c r="H151" s="60"/>
      <c r="I151" s="60"/>
      <c r="J151" s="60"/>
      <c r="K151" s="60"/>
      <c r="L151" s="60"/>
    </row>
    <row r="152" spans="1:35" ht="14" customHeight="1" x14ac:dyDescent="0.15"/>
    <row r="153" spans="1:35" ht="14" customHeight="1" x14ac:dyDescent="0.15"/>
    <row r="154" spans="1:35" ht="14" customHeight="1" x14ac:dyDescent="0.15"/>
    <row r="155" spans="1:35" ht="14" customHeight="1" x14ac:dyDescent="0.15"/>
    <row r="156" spans="1:35" ht="14" customHeight="1" x14ac:dyDescent="0.15"/>
    <row r="157" spans="1:35" ht="14" customHeight="1" x14ac:dyDescent="0.15"/>
    <row r="158" spans="1:35" ht="14" customHeight="1" x14ac:dyDescent="0.15"/>
    <row r="159" spans="1:35" ht="14" customHeight="1" x14ac:dyDescent="0.15"/>
    <row r="160" spans="1:35" ht="14" customHeight="1" x14ac:dyDescent="0.15"/>
    <row r="161" ht="14" customHeight="1" x14ac:dyDescent="0.15"/>
    <row r="162" ht="14" customHeight="1" x14ac:dyDescent="0.15"/>
    <row r="163" ht="14" customHeight="1" x14ac:dyDescent="0.15"/>
    <row r="164" ht="14" customHeight="1" x14ac:dyDescent="0.15"/>
    <row r="165" ht="14" customHeight="1" x14ac:dyDescent="0.15"/>
    <row r="166" ht="14" customHeight="1" x14ac:dyDescent="0.15"/>
    <row r="167" ht="14" customHeight="1" x14ac:dyDescent="0.15"/>
    <row r="168" ht="14" customHeight="1" x14ac:dyDescent="0.15"/>
    <row r="169" ht="14" customHeight="1" x14ac:dyDescent="0.15"/>
    <row r="170" ht="14" customHeight="1" x14ac:dyDescent="0.15"/>
    <row r="171" ht="14" customHeight="1" x14ac:dyDescent="0.15"/>
    <row r="172" ht="14" customHeight="1" x14ac:dyDescent="0.15"/>
    <row r="173" ht="14" customHeight="1" x14ac:dyDescent="0.15"/>
    <row r="174" ht="14" customHeight="1" x14ac:dyDescent="0.15"/>
    <row r="175" ht="14" customHeight="1" x14ac:dyDescent="0.15"/>
    <row r="176" ht="14" customHeight="1" x14ac:dyDescent="0.15"/>
    <row r="177" ht="14" customHeight="1" x14ac:dyDescent="0.15"/>
    <row r="178" ht="14" customHeight="1" x14ac:dyDescent="0.15"/>
    <row r="179" ht="14" customHeight="1" x14ac:dyDescent="0.15"/>
    <row r="180" ht="14" customHeight="1" x14ac:dyDescent="0.15"/>
    <row r="181" ht="14" customHeight="1" x14ac:dyDescent="0.15"/>
    <row r="182" ht="14" customHeight="1" x14ac:dyDescent="0.15"/>
    <row r="183" ht="14" customHeight="1" x14ac:dyDescent="0.15"/>
    <row r="184" ht="14" customHeight="1" x14ac:dyDescent="0.15"/>
    <row r="185" ht="14" customHeight="1" x14ac:dyDescent="0.15"/>
    <row r="186" ht="14" customHeight="1" x14ac:dyDescent="0.15"/>
    <row r="187" ht="14" customHeight="1" x14ac:dyDescent="0.15"/>
    <row r="188" ht="14" customHeight="1" x14ac:dyDescent="0.15"/>
    <row r="189" ht="14" customHeight="1" x14ac:dyDescent="0.15"/>
    <row r="190" ht="14" customHeight="1" x14ac:dyDescent="0.15"/>
    <row r="191" ht="14" customHeight="1" x14ac:dyDescent="0.15"/>
    <row r="192" ht="14" customHeight="1" x14ac:dyDescent="0.15"/>
    <row r="193" ht="14" customHeight="1" x14ac:dyDescent="0.15"/>
    <row r="194" ht="14" customHeight="1" x14ac:dyDescent="0.15"/>
    <row r="195" ht="14" customHeight="1" x14ac:dyDescent="0.15"/>
    <row r="196" ht="14" customHeight="1" x14ac:dyDescent="0.15"/>
    <row r="197" ht="14" customHeight="1" x14ac:dyDescent="0.15"/>
    <row r="198" ht="14" customHeight="1" x14ac:dyDescent="0.15"/>
    <row r="199" ht="14" customHeight="1" x14ac:dyDescent="0.15"/>
    <row r="200" ht="14" customHeight="1" x14ac:dyDescent="0.15"/>
    <row r="201" ht="14" customHeight="1" x14ac:dyDescent="0.15"/>
    <row r="202" ht="14" customHeight="1" x14ac:dyDescent="0.15"/>
    <row r="203" ht="14" customHeight="1" x14ac:dyDescent="0.15"/>
    <row r="204" ht="14" customHeight="1" x14ac:dyDescent="0.15"/>
    <row r="205" ht="14" customHeight="1" x14ac:dyDescent="0.15"/>
    <row r="206" ht="14" customHeight="1" x14ac:dyDescent="0.15"/>
    <row r="207" ht="14" customHeight="1" x14ac:dyDescent="0.15"/>
    <row r="208" ht="14" customHeight="1" x14ac:dyDescent="0.15"/>
    <row r="209" ht="14" customHeight="1" x14ac:dyDescent="0.15"/>
    <row r="210" ht="14" customHeight="1" x14ac:dyDescent="0.15"/>
    <row r="211" ht="14" customHeight="1" x14ac:dyDescent="0.15"/>
    <row r="212" ht="14" customHeight="1" x14ac:dyDescent="0.15"/>
    <row r="213" ht="14" customHeight="1" x14ac:dyDescent="0.15"/>
    <row r="214" ht="14" customHeight="1" x14ac:dyDescent="0.15"/>
    <row r="215" ht="14" customHeight="1" x14ac:dyDescent="0.15"/>
    <row r="216" ht="14" customHeight="1" x14ac:dyDescent="0.15"/>
    <row r="217" ht="14" customHeight="1" x14ac:dyDescent="0.15"/>
    <row r="218" ht="14" customHeight="1" x14ac:dyDescent="0.15"/>
    <row r="219" ht="14" customHeight="1" x14ac:dyDescent="0.15"/>
    <row r="220" ht="14" customHeight="1" x14ac:dyDescent="0.15"/>
    <row r="221" ht="14" customHeight="1" x14ac:dyDescent="0.15"/>
    <row r="222" ht="14" customHeight="1" x14ac:dyDescent="0.15"/>
    <row r="223" ht="14" customHeight="1" x14ac:dyDescent="0.15"/>
    <row r="224" ht="14" customHeight="1" x14ac:dyDescent="0.15"/>
    <row r="225" ht="14" customHeight="1" x14ac:dyDescent="0.15"/>
    <row r="226" ht="14" customHeight="1" x14ac:dyDescent="0.15"/>
    <row r="227" ht="14" customHeight="1" x14ac:dyDescent="0.15"/>
    <row r="228" ht="14" customHeight="1" x14ac:dyDescent="0.15"/>
    <row r="229" ht="14" customHeight="1" x14ac:dyDescent="0.15"/>
    <row r="230" ht="14" customHeight="1" x14ac:dyDescent="0.15"/>
    <row r="231" ht="14" customHeight="1" x14ac:dyDescent="0.15"/>
    <row r="232" ht="14" customHeight="1" x14ac:dyDescent="0.15"/>
    <row r="233" ht="14" customHeight="1" x14ac:dyDescent="0.15"/>
    <row r="234" ht="14" customHeight="1" x14ac:dyDescent="0.15"/>
    <row r="235" ht="14" customHeight="1" x14ac:dyDescent="0.15"/>
    <row r="236" ht="14" customHeight="1" x14ac:dyDescent="0.15"/>
    <row r="237" ht="14" customHeight="1" x14ac:dyDescent="0.15"/>
    <row r="238" ht="14" customHeight="1" x14ac:dyDescent="0.15"/>
    <row r="239" ht="14" customHeight="1" x14ac:dyDescent="0.15"/>
    <row r="240" ht="14" customHeight="1" x14ac:dyDescent="0.15"/>
    <row r="241" ht="14" customHeight="1" x14ac:dyDescent="0.15"/>
    <row r="242" ht="14" customHeight="1" x14ac:dyDescent="0.15"/>
    <row r="243" ht="14" customHeight="1" x14ac:dyDescent="0.15"/>
    <row r="244" ht="14" customHeight="1" x14ac:dyDescent="0.15"/>
    <row r="245" ht="14" customHeight="1" x14ac:dyDescent="0.15"/>
    <row r="246" ht="14" customHeight="1" x14ac:dyDescent="0.15"/>
    <row r="247" ht="14" customHeight="1" x14ac:dyDescent="0.15"/>
    <row r="248" ht="14" customHeight="1" x14ac:dyDescent="0.15"/>
    <row r="249" ht="14" customHeight="1" x14ac:dyDescent="0.15"/>
    <row r="250" ht="14" customHeight="1" x14ac:dyDescent="0.15"/>
    <row r="251" ht="14" customHeight="1" x14ac:dyDescent="0.15"/>
    <row r="252" ht="14" customHeight="1" x14ac:dyDescent="0.15"/>
    <row r="253" ht="14" customHeight="1" x14ac:dyDescent="0.15"/>
    <row r="254" ht="14" customHeight="1" x14ac:dyDescent="0.15"/>
    <row r="255" ht="14" customHeight="1" x14ac:dyDescent="0.15"/>
    <row r="256" ht="14" customHeight="1" x14ac:dyDescent="0.15"/>
    <row r="257" ht="14" customHeight="1" x14ac:dyDescent="0.15"/>
    <row r="258" ht="14" customHeight="1" x14ac:dyDescent="0.15"/>
    <row r="259" ht="14" customHeight="1" x14ac:dyDescent="0.15"/>
    <row r="260" ht="14" customHeight="1" x14ac:dyDescent="0.15"/>
    <row r="261" ht="14" customHeight="1" x14ac:dyDescent="0.15"/>
    <row r="262" ht="14" customHeight="1" x14ac:dyDescent="0.15"/>
    <row r="263" ht="14" customHeight="1" x14ac:dyDescent="0.15"/>
    <row r="264" ht="14" customHeight="1" x14ac:dyDescent="0.15"/>
    <row r="265" ht="14" customHeight="1" x14ac:dyDescent="0.15"/>
    <row r="266" ht="14" customHeight="1" x14ac:dyDescent="0.15"/>
    <row r="267" ht="14" customHeight="1" x14ac:dyDescent="0.15"/>
    <row r="268" ht="14" customHeight="1" x14ac:dyDescent="0.15"/>
    <row r="269" ht="14" customHeight="1" x14ac:dyDescent="0.15"/>
    <row r="270" ht="14" customHeight="1" x14ac:dyDescent="0.15"/>
    <row r="271" ht="14" customHeight="1" x14ac:dyDescent="0.15"/>
    <row r="272" ht="14" customHeight="1" x14ac:dyDescent="0.15"/>
    <row r="273" ht="14" customHeight="1" x14ac:dyDescent="0.15"/>
    <row r="274" ht="14" customHeight="1" x14ac:dyDescent="0.15"/>
    <row r="275" ht="14" customHeight="1" x14ac:dyDescent="0.15"/>
    <row r="276" ht="14" customHeight="1" x14ac:dyDescent="0.15"/>
    <row r="277" ht="14" customHeight="1" x14ac:dyDescent="0.15"/>
    <row r="278" ht="14" customHeight="1" x14ac:dyDescent="0.15"/>
    <row r="279" ht="14" customHeight="1" x14ac:dyDescent="0.15"/>
    <row r="280" ht="14" customHeight="1" x14ac:dyDescent="0.15"/>
    <row r="281" ht="14" customHeight="1" x14ac:dyDescent="0.15"/>
    <row r="282" ht="14" customHeight="1" x14ac:dyDescent="0.15"/>
    <row r="283" ht="14" customHeight="1" x14ac:dyDescent="0.15"/>
    <row r="284" ht="14" customHeight="1" x14ac:dyDescent="0.15"/>
    <row r="285" ht="14" customHeight="1" x14ac:dyDescent="0.15"/>
    <row r="286" ht="14" customHeight="1" x14ac:dyDescent="0.15"/>
    <row r="287" ht="14" customHeight="1" x14ac:dyDescent="0.15"/>
    <row r="288" ht="14" customHeight="1" x14ac:dyDescent="0.15"/>
    <row r="289" ht="14" customHeight="1" x14ac:dyDescent="0.15"/>
    <row r="290" ht="14" customHeight="1" x14ac:dyDescent="0.15"/>
    <row r="291" ht="14" customHeight="1" x14ac:dyDescent="0.15"/>
    <row r="292" ht="14" customHeight="1" x14ac:dyDescent="0.15"/>
    <row r="293" ht="14" customHeight="1" x14ac:dyDescent="0.15"/>
    <row r="294" ht="14" customHeight="1" x14ac:dyDescent="0.15"/>
    <row r="295" ht="14" customHeight="1" x14ac:dyDescent="0.15"/>
    <row r="296" ht="14" customHeight="1" x14ac:dyDescent="0.15"/>
    <row r="297" ht="14" customHeight="1" x14ac:dyDescent="0.15"/>
    <row r="298" ht="14" customHeight="1" x14ac:dyDescent="0.15"/>
    <row r="299" ht="14" customHeight="1" x14ac:dyDescent="0.15"/>
    <row r="300" ht="14" customHeight="1" x14ac:dyDescent="0.15"/>
    <row r="301" ht="14" customHeight="1" x14ac:dyDescent="0.15"/>
    <row r="302" ht="14" customHeight="1" x14ac:dyDescent="0.15"/>
    <row r="303" ht="14" customHeight="1" x14ac:dyDescent="0.15"/>
    <row r="304" ht="14" customHeight="1" x14ac:dyDescent="0.15"/>
    <row r="305" ht="14" customHeight="1" x14ac:dyDescent="0.15"/>
    <row r="306" ht="14" customHeight="1" x14ac:dyDescent="0.15"/>
    <row r="307" ht="14" customHeight="1" x14ac:dyDescent="0.15"/>
    <row r="308" ht="14" customHeight="1" x14ac:dyDescent="0.15"/>
    <row r="309" ht="14" customHeight="1" x14ac:dyDescent="0.15"/>
    <row r="310" ht="14" customHeight="1" x14ac:dyDescent="0.15"/>
    <row r="311" ht="14" customHeight="1" x14ac:dyDescent="0.15"/>
    <row r="312" ht="14" customHeight="1" x14ac:dyDescent="0.15"/>
    <row r="313" ht="14" customHeight="1" x14ac:dyDescent="0.15"/>
    <row r="314" ht="14" customHeight="1" x14ac:dyDescent="0.15"/>
    <row r="315" ht="14" customHeight="1" x14ac:dyDescent="0.15"/>
    <row r="316" ht="14" customHeight="1" x14ac:dyDescent="0.15"/>
    <row r="317" ht="14" customHeight="1" x14ac:dyDescent="0.15"/>
    <row r="318" ht="14" customHeight="1" x14ac:dyDescent="0.15"/>
    <row r="319" ht="14" customHeight="1" x14ac:dyDescent="0.15"/>
    <row r="320" ht="14" customHeight="1" x14ac:dyDescent="0.15"/>
    <row r="321" ht="14" customHeight="1" x14ac:dyDescent="0.15"/>
    <row r="322" ht="14" customHeight="1" x14ac:dyDescent="0.15"/>
    <row r="323" ht="14" customHeight="1" x14ac:dyDescent="0.15"/>
    <row r="324" ht="14" customHeight="1" x14ac:dyDescent="0.15"/>
    <row r="325" ht="14" customHeight="1" x14ac:dyDescent="0.15"/>
    <row r="326" ht="14" customHeight="1" x14ac:dyDescent="0.15"/>
    <row r="327" ht="14" customHeight="1" x14ac:dyDescent="0.15"/>
    <row r="328" ht="14" customHeight="1" x14ac:dyDescent="0.15"/>
    <row r="329" ht="14" customHeight="1" x14ac:dyDescent="0.15"/>
    <row r="330" ht="14" customHeight="1" x14ac:dyDescent="0.15"/>
    <row r="331" ht="14" customHeight="1" x14ac:dyDescent="0.15"/>
    <row r="332" ht="14" customHeight="1" x14ac:dyDescent="0.15"/>
    <row r="333" ht="14" customHeight="1" x14ac:dyDescent="0.15"/>
    <row r="334" ht="14" customHeight="1" x14ac:dyDescent="0.15"/>
    <row r="335" ht="14" customHeight="1" x14ac:dyDescent="0.15"/>
    <row r="336" ht="14" customHeight="1" x14ac:dyDescent="0.15"/>
    <row r="337" ht="14" customHeight="1" x14ac:dyDescent="0.15"/>
    <row r="338" ht="14" customHeight="1" x14ac:dyDescent="0.15"/>
    <row r="339" ht="14" customHeight="1" x14ac:dyDescent="0.15"/>
    <row r="340" ht="14" customHeight="1" x14ac:dyDescent="0.15"/>
    <row r="341" ht="14" customHeight="1" x14ac:dyDescent="0.15"/>
    <row r="342" ht="14" customHeight="1" x14ac:dyDescent="0.15"/>
    <row r="343" ht="14" customHeight="1" x14ac:dyDescent="0.15"/>
    <row r="344" ht="14" customHeight="1" x14ac:dyDescent="0.15"/>
    <row r="345" ht="14" customHeight="1" x14ac:dyDescent="0.15"/>
    <row r="346" ht="14" customHeight="1" x14ac:dyDescent="0.15"/>
    <row r="347" ht="14" customHeight="1" x14ac:dyDescent="0.15"/>
    <row r="348" ht="14" customHeight="1" x14ac:dyDescent="0.15"/>
    <row r="349" ht="14" customHeight="1" x14ac:dyDescent="0.15"/>
    <row r="350" ht="14" customHeight="1" x14ac:dyDescent="0.15"/>
    <row r="351" ht="14" customHeight="1" x14ac:dyDescent="0.15"/>
    <row r="352" ht="14" customHeight="1" x14ac:dyDescent="0.15"/>
    <row r="353" ht="14" customHeight="1" x14ac:dyDescent="0.15"/>
    <row r="354" ht="14" customHeight="1" x14ac:dyDescent="0.15"/>
    <row r="355" ht="14" customHeight="1" x14ac:dyDescent="0.15"/>
    <row r="356" ht="14" customHeight="1" x14ac:dyDescent="0.15"/>
    <row r="357" ht="14" customHeight="1" x14ac:dyDescent="0.15"/>
    <row r="358" ht="14" customHeight="1" x14ac:dyDescent="0.15"/>
    <row r="359" ht="14" customHeight="1" x14ac:dyDescent="0.15"/>
    <row r="360" ht="14" customHeight="1" x14ac:dyDescent="0.15"/>
    <row r="361" ht="14" customHeight="1" x14ac:dyDescent="0.15"/>
    <row r="362" ht="14" customHeight="1" x14ac:dyDescent="0.15"/>
    <row r="363" ht="14" customHeight="1" x14ac:dyDescent="0.15"/>
    <row r="364" ht="14" customHeight="1" x14ac:dyDescent="0.15"/>
    <row r="365" ht="14" customHeight="1" x14ac:dyDescent="0.15"/>
    <row r="366" ht="14" customHeight="1" x14ac:dyDescent="0.15"/>
    <row r="367" ht="14" customHeight="1" x14ac:dyDescent="0.15"/>
    <row r="368" ht="14" customHeight="1" x14ac:dyDescent="0.15"/>
    <row r="369" ht="14" customHeight="1" x14ac:dyDescent="0.15"/>
    <row r="370" ht="14" customHeight="1" x14ac:dyDescent="0.15"/>
    <row r="371" ht="14" customHeight="1" x14ac:dyDescent="0.15"/>
    <row r="372" ht="14" customHeight="1" x14ac:dyDescent="0.15"/>
    <row r="373" ht="14" customHeight="1" x14ac:dyDescent="0.15"/>
    <row r="374" ht="14" customHeight="1" x14ac:dyDescent="0.15"/>
    <row r="375" ht="14" customHeight="1" x14ac:dyDescent="0.15"/>
    <row r="376" ht="14" customHeight="1" x14ac:dyDescent="0.15"/>
    <row r="377" ht="14" customHeight="1" x14ac:dyDescent="0.15"/>
    <row r="378" ht="14" customHeight="1" x14ac:dyDescent="0.15"/>
    <row r="379" ht="14" customHeight="1" x14ac:dyDescent="0.15"/>
    <row r="380" ht="14" customHeight="1" x14ac:dyDescent="0.15"/>
    <row r="381" ht="14" customHeight="1" x14ac:dyDescent="0.15"/>
    <row r="382" ht="14" customHeight="1" x14ac:dyDescent="0.15"/>
    <row r="383" ht="14" customHeight="1" x14ac:dyDescent="0.15"/>
    <row r="384" ht="14" customHeight="1" x14ac:dyDescent="0.15"/>
    <row r="385" ht="14" customHeight="1" x14ac:dyDescent="0.15"/>
    <row r="386" ht="14" customHeight="1" x14ac:dyDescent="0.15"/>
    <row r="387" ht="14" customHeight="1" x14ac:dyDescent="0.15"/>
    <row r="388" ht="14" customHeight="1" x14ac:dyDescent="0.15"/>
    <row r="389" ht="14" customHeight="1" x14ac:dyDescent="0.15"/>
    <row r="390" ht="14" customHeight="1" x14ac:dyDescent="0.15"/>
    <row r="391" ht="14" customHeight="1" x14ac:dyDescent="0.15"/>
    <row r="392" ht="14" customHeight="1" x14ac:dyDescent="0.15"/>
    <row r="393" ht="14" customHeight="1" x14ac:dyDescent="0.15"/>
    <row r="394" ht="14" customHeight="1" x14ac:dyDescent="0.15"/>
    <row r="395" ht="14" customHeight="1" x14ac:dyDescent="0.15"/>
    <row r="396" ht="14" customHeight="1" x14ac:dyDescent="0.15"/>
    <row r="397" ht="14" customHeight="1" x14ac:dyDescent="0.15"/>
    <row r="398" ht="14" customHeight="1" x14ac:dyDescent="0.15"/>
    <row r="399" ht="14" customHeight="1" x14ac:dyDescent="0.15"/>
    <row r="400" ht="14" customHeight="1" x14ac:dyDescent="0.15"/>
    <row r="401" ht="14" customHeight="1" x14ac:dyDescent="0.15"/>
    <row r="402" ht="14" customHeight="1" x14ac:dyDescent="0.15"/>
    <row r="403" ht="14" customHeight="1" x14ac:dyDescent="0.15"/>
    <row r="404" ht="14" customHeight="1" x14ac:dyDescent="0.15"/>
    <row r="405" ht="14" customHeight="1" x14ac:dyDescent="0.15"/>
    <row r="406" ht="14" customHeight="1" x14ac:dyDescent="0.15"/>
    <row r="407" ht="14" customHeight="1" x14ac:dyDescent="0.15"/>
    <row r="408" ht="14" customHeight="1" x14ac:dyDescent="0.15"/>
    <row r="409" ht="14" customHeight="1" x14ac:dyDescent="0.15"/>
    <row r="410" ht="14" customHeight="1" x14ac:dyDescent="0.15"/>
    <row r="411" ht="14" customHeight="1" x14ac:dyDescent="0.15"/>
    <row r="412" ht="14" customHeight="1" x14ac:dyDescent="0.15"/>
    <row r="413" ht="14" customHeight="1" x14ac:dyDescent="0.15"/>
    <row r="414" ht="14" customHeight="1" x14ac:dyDescent="0.15"/>
    <row r="415" ht="14" customHeight="1" x14ac:dyDescent="0.15"/>
    <row r="416" ht="14" customHeight="1" x14ac:dyDescent="0.15"/>
    <row r="417" ht="14" customHeight="1" x14ac:dyDescent="0.15"/>
    <row r="418" ht="14" customHeight="1" x14ac:dyDescent="0.15"/>
    <row r="419" ht="14" customHeight="1" x14ac:dyDescent="0.15"/>
    <row r="420" ht="14" customHeight="1" x14ac:dyDescent="0.15"/>
    <row r="421" ht="14" customHeight="1" x14ac:dyDescent="0.15"/>
    <row r="422" ht="14" customHeight="1" x14ac:dyDescent="0.15"/>
    <row r="423" ht="14" customHeight="1" x14ac:dyDescent="0.15"/>
    <row r="424" ht="14" customHeight="1" x14ac:dyDescent="0.15"/>
    <row r="425" ht="14" customHeight="1" x14ac:dyDescent="0.15"/>
    <row r="426" ht="14" customHeight="1" x14ac:dyDescent="0.15"/>
    <row r="427" ht="14" customHeight="1" x14ac:dyDescent="0.15"/>
    <row r="428" ht="14" customHeight="1" x14ac:dyDescent="0.15"/>
    <row r="429" ht="14" customHeight="1" x14ac:dyDescent="0.15"/>
    <row r="430" ht="14" customHeight="1" x14ac:dyDescent="0.15"/>
    <row r="431" ht="14" customHeight="1" x14ac:dyDescent="0.15"/>
    <row r="432" ht="14" customHeight="1" x14ac:dyDescent="0.15"/>
    <row r="433" ht="14" customHeight="1" x14ac:dyDescent="0.15"/>
    <row r="434" ht="14" customHeight="1" x14ac:dyDescent="0.15"/>
    <row r="435" ht="14" customHeight="1" x14ac:dyDescent="0.15"/>
    <row r="436" ht="14" customHeight="1" x14ac:dyDescent="0.15"/>
    <row r="437" ht="14" customHeight="1" x14ac:dyDescent="0.15"/>
    <row r="438" ht="14" customHeight="1" x14ac:dyDescent="0.15"/>
    <row r="439" ht="14" customHeight="1" x14ac:dyDescent="0.15"/>
    <row r="440" ht="14" customHeight="1" x14ac:dyDescent="0.15"/>
    <row r="441" ht="14" customHeight="1" x14ac:dyDescent="0.15"/>
    <row r="442" ht="14" customHeight="1" x14ac:dyDescent="0.15"/>
    <row r="443" ht="14" customHeight="1" x14ac:dyDescent="0.15"/>
    <row r="444" ht="14" customHeight="1" x14ac:dyDescent="0.15"/>
    <row r="445" ht="14" customHeight="1" x14ac:dyDescent="0.15"/>
    <row r="446" ht="14" customHeight="1" x14ac:dyDescent="0.15"/>
    <row r="447" ht="14" customHeight="1" x14ac:dyDescent="0.15"/>
    <row r="448" ht="14" customHeight="1" x14ac:dyDescent="0.15"/>
    <row r="449" ht="14" customHeight="1" x14ac:dyDescent="0.15"/>
    <row r="450" ht="14" customHeight="1" x14ac:dyDescent="0.15"/>
    <row r="451" ht="14" customHeight="1" x14ac:dyDescent="0.15"/>
    <row r="452" ht="14" customHeight="1" x14ac:dyDescent="0.15"/>
    <row r="453" ht="14" customHeight="1" x14ac:dyDescent="0.15"/>
    <row r="454" ht="14" customHeight="1" x14ac:dyDescent="0.15"/>
    <row r="455" ht="14" customHeight="1" x14ac:dyDescent="0.15"/>
    <row r="456" ht="14" customHeight="1" x14ac:dyDescent="0.15"/>
    <row r="457" ht="14" customHeight="1" x14ac:dyDescent="0.15"/>
    <row r="458" ht="14" customHeight="1" x14ac:dyDescent="0.15"/>
    <row r="459" ht="14" customHeight="1" x14ac:dyDescent="0.15"/>
    <row r="460" ht="14" customHeight="1" x14ac:dyDescent="0.15"/>
    <row r="461" ht="14" customHeight="1" x14ac:dyDescent="0.15"/>
    <row r="462" ht="14" customHeight="1" x14ac:dyDescent="0.15"/>
    <row r="463" ht="14" customHeight="1" x14ac:dyDescent="0.15"/>
    <row r="464" ht="14" customHeight="1" x14ac:dyDescent="0.15"/>
    <row r="465" ht="14" customHeight="1" x14ac:dyDescent="0.15"/>
    <row r="466" ht="14" customHeight="1" x14ac:dyDescent="0.15"/>
    <row r="467" ht="14" customHeight="1" x14ac:dyDescent="0.15"/>
    <row r="468" ht="14" customHeight="1" x14ac:dyDescent="0.15"/>
    <row r="469" ht="14" customHeight="1" x14ac:dyDescent="0.15"/>
    <row r="470" ht="14" customHeight="1" x14ac:dyDescent="0.15"/>
    <row r="471" ht="14" customHeight="1" x14ac:dyDescent="0.15"/>
    <row r="472" ht="14" customHeight="1" x14ac:dyDescent="0.15"/>
    <row r="473" ht="14" customHeight="1" x14ac:dyDescent="0.15"/>
    <row r="474" ht="14" customHeight="1" x14ac:dyDescent="0.15"/>
    <row r="475" ht="14" customHeight="1" x14ac:dyDescent="0.15"/>
    <row r="476" ht="14" customHeight="1" x14ac:dyDescent="0.15"/>
    <row r="477" ht="14" customHeight="1" x14ac:dyDescent="0.15"/>
    <row r="478" ht="14" customHeight="1" x14ac:dyDescent="0.15"/>
    <row r="479" ht="14" customHeight="1" x14ac:dyDescent="0.15"/>
    <row r="480" ht="14" customHeight="1" x14ac:dyDescent="0.15"/>
    <row r="481" ht="14" customHeight="1" x14ac:dyDescent="0.15"/>
    <row r="482" ht="14" customHeight="1" x14ac:dyDescent="0.15"/>
    <row r="483" ht="14" customHeight="1" x14ac:dyDescent="0.15"/>
    <row r="484" ht="14" customHeight="1" x14ac:dyDescent="0.15"/>
    <row r="485" ht="14" customHeight="1" x14ac:dyDescent="0.15"/>
    <row r="486" ht="14" customHeight="1" x14ac:dyDescent="0.15"/>
    <row r="487" ht="14" customHeight="1" x14ac:dyDescent="0.15"/>
    <row r="488" ht="14" customHeight="1" x14ac:dyDescent="0.15"/>
    <row r="489" ht="14" customHeight="1" x14ac:dyDescent="0.15"/>
    <row r="490" ht="14" customHeight="1" x14ac:dyDescent="0.15"/>
    <row r="491" ht="14" customHeight="1" x14ac:dyDescent="0.15"/>
    <row r="492" ht="14" customHeight="1" x14ac:dyDescent="0.15"/>
    <row r="493" ht="14" customHeight="1" x14ac:dyDescent="0.15"/>
    <row r="494" ht="14" customHeight="1" x14ac:dyDescent="0.15"/>
    <row r="495" ht="14" customHeight="1" x14ac:dyDescent="0.15"/>
    <row r="496" ht="14" customHeight="1" x14ac:dyDescent="0.15"/>
    <row r="497" ht="14" customHeight="1" x14ac:dyDescent="0.15"/>
    <row r="498" ht="14" customHeight="1" x14ac:dyDescent="0.15"/>
    <row r="499" ht="14" customHeight="1" x14ac:dyDescent="0.15"/>
    <row r="500" ht="14" customHeight="1" x14ac:dyDescent="0.15"/>
    <row r="501" ht="14" customHeight="1" x14ac:dyDescent="0.15"/>
    <row r="502" ht="14" customHeight="1" x14ac:dyDescent="0.15"/>
    <row r="503" ht="14" customHeight="1" x14ac:dyDescent="0.15"/>
    <row r="504" ht="14" customHeight="1" x14ac:dyDescent="0.15"/>
    <row r="505" ht="14" customHeight="1" x14ac:dyDescent="0.15"/>
    <row r="506" ht="14" customHeight="1" x14ac:dyDescent="0.15"/>
    <row r="507" ht="14" customHeight="1" x14ac:dyDescent="0.15"/>
    <row r="508" ht="14" customHeight="1" x14ac:dyDescent="0.15"/>
    <row r="509" ht="14" customHeight="1" x14ac:dyDescent="0.15"/>
    <row r="510" ht="14" customHeight="1" x14ac:dyDescent="0.15"/>
    <row r="511" ht="14" customHeight="1" x14ac:dyDescent="0.15"/>
    <row r="512" ht="14" customHeight="1" x14ac:dyDescent="0.15"/>
    <row r="513" ht="14" customHeight="1" x14ac:dyDescent="0.15"/>
    <row r="514" ht="14" customHeight="1" x14ac:dyDescent="0.15"/>
    <row r="515" ht="14" customHeight="1" x14ac:dyDescent="0.15"/>
    <row r="516" ht="14" customHeight="1" x14ac:dyDescent="0.15"/>
    <row r="517" ht="14" customHeight="1" x14ac:dyDescent="0.15"/>
    <row r="518" ht="14" customHeight="1" x14ac:dyDescent="0.15"/>
    <row r="519" ht="14" customHeight="1" x14ac:dyDescent="0.15"/>
    <row r="520" ht="14" customHeight="1" x14ac:dyDescent="0.15"/>
    <row r="521" ht="14" customHeight="1" x14ac:dyDescent="0.15"/>
    <row r="522" ht="14" customHeight="1" x14ac:dyDescent="0.15"/>
    <row r="523" ht="14" customHeight="1" x14ac:dyDescent="0.15"/>
    <row r="524" ht="14" customHeight="1" x14ac:dyDescent="0.15"/>
    <row r="525" ht="14" customHeight="1" x14ac:dyDescent="0.15"/>
    <row r="526" ht="14" customHeight="1" x14ac:dyDescent="0.15"/>
    <row r="527" ht="14" customHeight="1" x14ac:dyDescent="0.15"/>
    <row r="528" ht="14" customHeight="1" x14ac:dyDescent="0.15"/>
    <row r="529" ht="14" customHeight="1" x14ac:dyDescent="0.15"/>
    <row r="530" ht="14" customHeight="1" x14ac:dyDescent="0.15"/>
    <row r="531" ht="14" customHeight="1" x14ac:dyDescent="0.15"/>
    <row r="532" ht="14" customHeight="1" x14ac:dyDescent="0.15"/>
    <row r="533" ht="14" customHeight="1" x14ac:dyDescent="0.15"/>
    <row r="534" ht="14" customHeight="1" x14ac:dyDescent="0.15"/>
    <row r="535" ht="14" customHeight="1" x14ac:dyDescent="0.15"/>
    <row r="536" ht="14" customHeight="1" x14ac:dyDescent="0.15"/>
    <row r="537" ht="14" customHeight="1" x14ac:dyDescent="0.15"/>
    <row r="538" ht="14" customHeight="1" x14ac:dyDescent="0.15"/>
    <row r="539" ht="14" customHeight="1" x14ac:dyDescent="0.15"/>
    <row r="540" ht="14" customHeight="1" x14ac:dyDescent="0.15"/>
    <row r="541" ht="14" customHeight="1" x14ac:dyDescent="0.15"/>
    <row r="542" ht="14" customHeight="1" x14ac:dyDescent="0.15"/>
    <row r="543" ht="14" customHeight="1" x14ac:dyDescent="0.15"/>
    <row r="544" ht="14" customHeight="1" x14ac:dyDescent="0.15"/>
    <row r="545" ht="14" customHeight="1" x14ac:dyDescent="0.15"/>
    <row r="546" ht="14" customHeight="1" x14ac:dyDescent="0.15"/>
    <row r="547" ht="14" customHeight="1" x14ac:dyDescent="0.15"/>
    <row r="548" ht="14" customHeight="1" x14ac:dyDescent="0.15"/>
    <row r="549" ht="14" customHeight="1" x14ac:dyDescent="0.15"/>
    <row r="550" ht="14" customHeight="1" x14ac:dyDescent="0.15"/>
    <row r="551" ht="14" customHeight="1" x14ac:dyDescent="0.15"/>
    <row r="552" ht="14" customHeight="1" x14ac:dyDescent="0.15"/>
    <row r="553" ht="14" customHeight="1" x14ac:dyDescent="0.15"/>
    <row r="554" ht="14" customHeight="1" x14ac:dyDescent="0.15"/>
    <row r="555" ht="14" customHeight="1" x14ac:dyDescent="0.15"/>
    <row r="556" ht="14" customHeight="1" x14ac:dyDescent="0.15"/>
    <row r="557" ht="14" customHeight="1" x14ac:dyDescent="0.15"/>
    <row r="558" ht="14" customHeight="1" x14ac:dyDescent="0.15"/>
    <row r="559" ht="14" customHeight="1" x14ac:dyDescent="0.15"/>
    <row r="560" ht="14" customHeight="1" x14ac:dyDescent="0.15"/>
    <row r="561" ht="14" customHeight="1" x14ac:dyDescent="0.15"/>
    <row r="562" ht="14" customHeight="1" x14ac:dyDescent="0.15"/>
    <row r="563" ht="14" customHeight="1" x14ac:dyDescent="0.15"/>
    <row r="564" ht="14" customHeight="1" x14ac:dyDescent="0.15"/>
    <row r="565" ht="14" customHeight="1" x14ac:dyDescent="0.15"/>
    <row r="566" ht="14" customHeight="1" x14ac:dyDescent="0.15"/>
    <row r="567" ht="14" customHeight="1" x14ac:dyDescent="0.15"/>
    <row r="568" ht="14" customHeight="1" x14ac:dyDescent="0.15"/>
    <row r="569" ht="14" customHeight="1" x14ac:dyDescent="0.15"/>
    <row r="570" ht="14" customHeight="1" x14ac:dyDescent="0.15"/>
    <row r="571" ht="14" customHeight="1" x14ac:dyDescent="0.15"/>
    <row r="572" ht="14" customHeight="1" x14ac:dyDescent="0.15"/>
    <row r="573" ht="14" customHeight="1" x14ac:dyDescent="0.15"/>
    <row r="574" ht="14" customHeight="1" x14ac:dyDescent="0.15"/>
    <row r="575" ht="14" customHeight="1" x14ac:dyDescent="0.15"/>
    <row r="576" ht="14" customHeight="1" x14ac:dyDescent="0.15"/>
    <row r="577" ht="14" customHeight="1" x14ac:dyDescent="0.15"/>
    <row r="578" ht="14" customHeight="1" x14ac:dyDescent="0.15"/>
    <row r="579" ht="14" customHeight="1" x14ac:dyDescent="0.15"/>
    <row r="580" ht="14" customHeight="1" x14ac:dyDescent="0.15"/>
    <row r="581" ht="14" customHeight="1" x14ac:dyDescent="0.15"/>
    <row r="582" ht="14" customHeight="1" x14ac:dyDescent="0.15"/>
    <row r="583" ht="14" customHeight="1" x14ac:dyDescent="0.15"/>
    <row r="584" ht="14" customHeight="1" x14ac:dyDescent="0.15"/>
    <row r="585" ht="14" customHeight="1" x14ac:dyDescent="0.15"/>
    <row r="586" ht="14" customHeight="1" x14ac:dyDescent="0.15"/>
    <row r="587" ht="14" customHeight="1" x14ac:dyDescent="0.15"/>
    <row r="588" ht="14" customHeight="1" x14ac:dyDescent="0.15"/>
    <row r="589" ht="14" customHeight="1" x14ac:dyDescent="0.15"/>
    <row r="590" ht="14" customHeight="1" x14ac:dyDescent="0.15"/>
    <row r="591" ht="14" customHeight="1" x14ac:dyDescent="0.15"/>
    <row r="592" ht="14" customHeight="1" x14ac:dyDescent="0.15"/>
    <row r="593" ht="14" customHeight="1" x14ac:dyDescent="0.15"/>
    <row r="594" ht="14" customHeight="1" x14ac:dyDescent="0.15"/>
    <row r="595" ht="14" customHeight="1" x14ac:dyDescent="0.15"/>
    <row r="596" ht="14" customHeight="1" x14ac:dyDescent="0.15"/>
    <row r="597" ht="14" customHeight="1" x14ac:dyDescent="0.15"/>
    <row r="598" ht="14" customHeight="1" x14ac:dyDescent="0.15"/>
    <row r="599" ht="14" customHeight="1" x14ac:dyDescent="0.15"/>
    <row r="600" ht="14" customHeight="1" x14ac:dyDescent="0.15"/>
    <row r="601" ht="14" customHeight="1" x14ac:dyDescent="0.15"/>
    <row r="602" ht="14" customHeight="1" x14ac:dyDescent="0.15"/>
    <row r="603" ht="14" customHeight="1" x14ac:dyDescent="0.15"/>
    <row r="604" ht="14" customHeight="1" x14ac:dyDescent="0.15"/>
    <row r="605" ht="14" customHeight="1" x14ac:dyDescent="0.15"/>
    <row r="606" ht="14" customHeight="1" x14ac:dyDescent="0.15"/>
    <row r="607" ht="14" customHeight="1" x14ac:dyDescent="0.15"/>
    <row r="608" ht="14" customHeight="1" x14ac:dyDescent="0.15"/>
    <row r="609" ht="14" customHeight="1" x14ac:dyDescent="0.15"/>
    <row r="610" ht="14" customHeight="1" x14ac:dyDescent="0.15"/>
    <row r="611" ht="14" customHeight="1" x14ac:dyDescent="0.15"/>
    <row r="612" ht="14" customHeight="1" x14ac:dyDescent="0.15"/>
    <row r="613" ht="14" customHeight="1" x14ac:dyDescent="0.15"/>
    <row r="614" ht="14" customHeight="1" x14ac:dyDescent="0.15"/>
    <row r="615" ht="14" customHeight="1" x14ac:dyDescent="0.15"/>
    <row r="616" ht="14" customHeight="1" x14ac:dyDescent="0.15"/>
    <row r="617" ht="14" customHeight="1" x14ac:dyDescent="0.15"/>
    <row r="618" ht="14" customHeight="1" x14ac:dyDescent="0.15"/>
    <row r="619" ht="14" customHeight="1" x14ac:dyDescent="0.15"/>
    <row r="620" ht="14" customHeight="1" x14ac:dyDescent="0.15"/>
    <row r="621" ht="14" customHeight="1" x14ac:dyDescent="0.15"/>
    <row r="622" ht="14" customHeight="1" x14ac:dyDescent="0.15"/>
    <row r="623" ht="14" customHeight="1" x14ac:dyDescent="0.15"/>
    <row r="624" ht="14" customHeight="1" x14ac:dyDescent="0.15"/>
    <row r="625" ht="14" customHeight="1" x14ac:dyDescent="0.15"/>
    <row r="626" ht="14" customHeight="1" x14ac:dyDescent="0.15"/>
    <row r="627" ht="14" customHeight="1" x14ac:dyDescent="0.15"/>
    <row r="628" ht="14" customHeight="1" x14ac:dyDescent="0.15"/>
    <row r="629" ht="14" customHeight="1" x14ac:dyDescent="0.15"/>
    <row r="630" ht="14" customHeight="1" x14ac:dyDescent="0.15"/>
    <row r="631" ht="14" customHeight="1" x14ac:dyDescent="0.15"/>
    <row r="632" ht="14" customHeight="1" x14ac:dyDescent="0.15"/>
    <row r="633" ht="14" customHeight="1" x14ac:dyDescent="0.15"/>
    <row r="634" ht="14" customHeight="1" x14ac:dyDescent="0.15"/>
    <row r="635" ht="14" customHeight="1" x14ac:dyDescent="0.15"/>
    <row r="636" ht="14" customHeight="1" x14ac:dyDescent="0.15"/>
    <row r="637" ht="14" customHeight="1" x14ac:dyDescent="0.15"/>
    <row r="638" ht="14" customHeight="1" x14ac:dyDescent="0.15"/>
    <row r="639" ht="14" customHeight="1" x14ac:dyDescent="0.15"/>
    <row r="640" ht="14" customHeight="1" x14ac:dyDescent="0.15"/>
    <row r="641" ht="14" customHeight="1" x14ac:dyDescent="0.15"/>
    <row r="642" ht="14" customHeight="1" x14ac:dyDescent="0.15"/>
    <row r="643" ht="14" customHeight="1" x14ac:dyDescent="0.15"/>
    <row r="644" ht="14" customHeight="1" x14ac:dyDescent="0.15"/>
    <row r="645" ht="14" customHeight="1" x14ac:dyDescent="0.15"/>
    <row r="646" ht="14" customHeight="1" x14ac:dyDescent="0.15"/>
    <row r="647" ht="14" customHeight="1" x14ac:dyDescent="0.15"/>
    <row r="648" ht="14" customHeight="1" x14ac:dyDescent="0.15"/>
    <row r="649" ht="14" customHeight="1" x14ac:dyDescent="0.15"/>
    <row r="650" ht="14" customHeight="1" x14ac:dyDescent="0.15"/>
    <row r="651" ht="14" customHeight="1" x14ac:dyDescent="0.15"/>
    <row r="652" ht="14" customHeight="1" x14ac:dyDescent="0.15"/>
    <row r="653" ht="14" customHeight="1" x14ac:dyDescent="0.15"/>
    <row r="654" ht="14" customHeight="1" x14ac:dyDescent="0.15"/>
    <row r="655" ht="14" customHeight="1" x14ac:dyDescent="0.15"/>
    <row r="656" ht="14" customHeight="1" x14ac:dyDescent="0.15"/>
    <row r="657" ht="14" customHeight="1" x14ac:dyDescent="0.15"/>
    <row r="658" ht="14" customHeight="1" x14ac:dyDescent="0.15"/>
    <row r="659" ht="14" customHeight="1" x14ac:dyDescent="0.15"/>
    <row r="660" ht="14" customHeight="1" x14ac:dyDescent="0.15"/>
    <row r="661" ht="14" customHeight="1" x14ac:dyDescent="0.15"/>
    <row r="662" ht="14" customHeight="1" x14ac:dyDescent="0.15"/>
    <row r="663" ht="14" customHeight="1" x14ac:dyDescent="0.15"/>
    <row r="664" ht="14" customHeight="1" x14ac:dyDescent="0.15"/>
    <row r="665" ht="14" customHeight="1" x14ac:dyDescent="0.15"/>
    <row r="666" ht="14" customHeight="1" x14ac:dyDescent="0.15"/>
    <row r="667" ht="14" customHeight="1" x14ac:dyDescent="0.15"/>
    <row r="668" ht="14" customHeight="1" x14ac:dyDescent="0.15"/>
    <row r="669" ht="14" customHeight="1" x14ac:dyDescent="0.15"/>
    <row r="670" ht="14" customHeight="1" x14ac:dyDescent="0.15"/>
    <row r="671" ht="14" customHeight="1" x14ac:dyDescent="0.15"/>
    <row r="672" ht="14" customHeight="1" x14ac:dyDescent="0.15"/>
    <row r="673" ht="14" customHeight="1" x14ac:dyDescent="0.15"/>
    <row r="674" ht="14" customHeight="1" x14ac:dyDescent="0.15"/>
    <row r="675" ht="14" customHeight="1" x14ac:dyDescent="0.15"/>
    <row r="676" ht="14" customHeight="1" x14ac:dyDescent="0.15"/>
    <row r="677" ht="14" customHeight="1" x14ac:dyDescent="0.15"/>
    <row r="678" ht="14" customHeight="1" x14ac:dyDescent="0.15"/>
    <row r="679" ht="14" customHeight="1" x14ac:dyDescent="0.15"/>
    <row r="680" ht="14" customHeight="1" x14ac:dyDescent="0.15"/>
    <row r="681" ht="14" customHeight="1" x14ac:dyDescent="0.15"/>
    <row r="682" ht="14" customHeight="1" x14ac:dyDescent="0.15"/>
    <row r="683" ht="14" customHeight="1" x14ac:dyDescent="0.15"/>
    <row r="684" ht="14" customHeight="1" x14ac:dyDescent="0.15"/>
    <row r="685" ht="14" customHeight="1" x14ac:dyDescent="0.15"/>
    <row r="686" ht="14" customHeight="1" x14ac:dyDescent="0.15"/>
    <row r="687" ht="14" customHeight="1" x14ac:dyDescent="0.15"/>
    <row r="688" ht="14" customHeight="1" x14ac:dyDescent="0.15"/>
    <row r="689" ht="14" customHeight="1" x14ac:dyDescent="0.15"/>
    <row r="690" ht="14" customHeight="1" x14ac:dyDescent="0.15"/>
    <row r="691" ht="14" customHeight="1" x14ac:dyDescent="0.15"/>
    <row r="692" ht="14" customHeight="1" x14ac:dyDescent="0.15"/>
    <row r="693" ht="14" customHeight="1" x14ac:dyDescent="0.15"/>
    <row r="694" ht="14" customHeight="1" x14ac:dyDescent="0.15"/>
    <row r="695" ht="14" customHeight="1" x14ac:dyDescent="0.15"/>
    <row r="696" ht="14" customHeight="1" x14ac:dyDescent="0.15"/>
    <row r="697" ht="14" customHeight="1" x14ac:dyDescent="0.15"/>
    <row r="698" ht="14" customHeight="1" x14ac:dyDescent="0.15"/>
    <row r="699" ht="14" customHeight="1" x14ac:dyDescent="0.15"/>
    <row r="700" ht="14" customHeight="1" x14ac:dyDescent="0.15"/>
    <row r="701" ht="14" customHeight="1" x14ac:dyDescent="0.15"/>
    <row r="702" ht="14" customHeight="1" x14ac:dyDescent="0.15"/>
    <row r="703" ht="14" customHeight="1" x14ac:dyDescent="0.15"/>
    <row r="704" ht="14" customHeight="1" x14ac:dyDescent="0.15"/>
    <row r="705" ht="14" customHeight="1" x14ac:dyDescent="0.15"/>
    <row r="706" ht="14" customHeight="1" x14ac:dyDescent="0.15"/>
    <row r="707" ht="14" customHeight="1" x14ac:dyDescent="0.15"/>
    <row r="708" ht="14" customHeight="1" x14ac:dyDescent="0.15"/>
    <row r="709" ht="14" customHeight="1" x14ac:dyDescent="0.15"/>
    <row r="710" ht="14" customHeight="1" x14ac:dyDescent="0.15"/>
    <row r="711" ht="14" customHeight="1" x14ac:dyDescent="0.15"/>
    <row r="712" ht="14" customHeight="1" x14ac:dyDescent="0.15"/>
    <row r="713" ht="14" customHeight="1" x14ac:dyDescent="0.15"/>
    <row r="714" ht="14" customHeight="1" x14ac:dyDescent="0.15"/>
    <row r="715" ht="14" customHeight="1" x14ac:dyDescent="0.15"/>
    <row r="716" ht="14" customHeight="1" x14ac:dyDescent="0.15"/>
    <row r="717" ht="14" customHeight="1" x14ac:dyDescent="0.15"/>
    <row r="718" ht="14" customHeight="1" x14ac:dyDescent="0.15"/>
    <row r="719" ht="14" customHeight="1" x14ac:dyDescent="0.15"/>
    <row r="720" ht="14" customHeight="1" x14ac:dyDescent="0.15"/>
    <row r="721" ht="14" customHeight="1" x14ac:dyDescent="0.15"/>
    <row r="722" ht="14" customHeight="1" x14ac:dyDescent="0.15"/>
    <row r="723" ht="14" customHeight="1" x14ac:dyDescent="0.15"/>
    <row r="724" ht="14" customHeight="1" x14ac:dyDescent="0.15"/>
    <row r="725" ht="14" customHeight="1" x14ac:dyDescent="0.15"/>
    <row r="726" ht="14" customHeight="1" x14ac:dyDescent="0.15"/>
    <row r="727" ht="14" customHeight="1" x14ac:dyDescent="0.15"/>
    <row r="728" ht="14" customHeight="1" x14ac:dyDescent="0.15"/>
    <row r="729" ht="14" customHeight="1" x14ac:dyDescent="0.15"/>
    <row r="730" ht="14" customHeight="1" x14ac:dyDescent="0.15"/>
    <row r="731" ht="14" customHeight="1" x14ac:dyDescent="0.15"/>
    <row r="732" ht="14" customHeight="1" x14ac:dyDescent="0.15"/>
    <row r="733" ht="14" customHeight="1" x14ac:dyDescent="0.15"/>
    <row r="734" ht="14" customHeight="1" x14ac:dyDescent="0.15"/>
    <row r="735" ht="14" customHeight="1" x14ac:dyDescent="0.15"/>
    <row r="736" ht="14" customHeight="1" x14ac:dyDescent="0.15"/>
    <row r="737" ht="14" customHeight="1" x14ac:dyDescent="0.15"/>
    <row r="738" ht="14" customHeight="1" x14ac:dyDescent="0.15"/>
    <row r="739" ht="14" customHeight="1" x14ac:dyDescent="0.15"/>
    <row r="740" ht="14" customHeight="1" x14ac:dyDescent="0.15"/>
    <row r="741" ht="14" customHeight="1" x14ac:dyDescent="0.15"/>
    <row r="742" ht="14" customHeight="1" x14ac:dyDescent="0.15"/>
    <row r="743" ht="14" customHeight="1" x14ac:dyDescent="0.15"/>
    <row r="744" ht="14" customHeight="1" x14ac:dyDescent="0.15"/>
    <row r="745" ht="14" customHeight="1" x14ac:dyDescent="0.15"/>
    <row r="746" ht="14" customHeight="1" x14ac:dyDescent="0.15"/>
    <row r="747" ht="14" customHeight="1" x14ac:dyDescent="0.15"/>
    <row r="748" ht="14" customHeight="1" x14ac:dyDescent="0.15"/>
    <row r="749" ht="14" customHeight="1" x14ac:dyDescent="0.15"/>
    <row r="750" ht="14" customHeight="1" x14ac:dyDescent="0.15"/>
    <row r="751" ht="14" customHeight="1" x14ac:dyDescent="0.15"/>
    <row r="752" ht="14" customHeight="1" x14ac:dyDescent="0.15"/>
    <row r="753" ht="14" customHeight="1" x14ac:dyDescent="0.15"/>
    <row r="754" ht="14" customHeight="1" x14ac:dyDescent="0.15"/>
    <row r="755" ht="14" customHeight="1" x14ac:dyDescent="0.15"/>
    <row r="756" ht="14" customHeight="1" x14ac:dyDescent="0.15"/>
    <row r="757" ht="14" customHeight="1" x14ac:dyDescent="0.15"/>
    <row r="758" ht="14" customHeight="1" x14ac:dyDescent="0.15"/>
    <row r="759" ht="14" customHeight="1" x14ac:dyDescent="0.15"/>
    <row r="760" ht="14" customHeight="1" x14ac:dyDescent="0.15"/>
    <row r="761" ht="14" customHeight="1" x14ac:dyDescent="0.15"/>
    <row r="762" ht="14" customHeight="1" x14ac:dyDescent="0.15"/>
    <row r="763" ht="14" customHeight="1" x14ac:dyDescent="0.15"/>
    <row r="764" ht="14" customHeight="1" x14ac:dyDescent="0.15"/>
    <row r="765" ht="14" customHeight="1" x14ac:dyDescent="0.15"/>
    <row r="766" ht="14" customHeight="1" x14ac:dyDescent="0.15"/>
    <row r="767" ht="14" customHeight="1" x14ac:dyDescent="0.15"/>
    <row r="768" ht="14" customHeight="1" x14ac:dyDescent="0.15"/>
    <row r="769" ht="14" customHeight="1" x14ac:dyDescent="0.15"/>
    <row r="770" ht="14" customHeight="1" x14ac:dyDescent="0.15"/>
    <row r="771" ht="14" customHeight="1" x14ac:dyDescent="0.15"/>
    <row r="772" ht="14" customHeight="1" x14ac:dyDescent="0.15"/>
    <row r="773" ht="14" customHeight="1" x14ac:dyDescent="0.15"/>
    <row r="774" ht="14" customHeight="1" x14ac:dyDescent="0.15"/>
    <row r="775" ht="14" customHeight="1" x14ac:dyDescent="0.15"/>
    <row r="776" ht="14" customHeight="1" x14ac:dyDescent="0.15"/>
    <row r="777" ht="14" customHeight="1" x14ac:dyDescent="0.15"/>
    <row r="778" ht="14" customHeight="1" x14ac:dyDescent="0.15"/>
    <row r="779" ht="14" customHeight="1" x14ac:dyDescent="0.15"/>
    <row r="780" ht="14" customHeight="1" x14ac:dyDescent="0.15"/>
    <row r="781" ht="14" customHeight="1" x14ac:dyDescent="0.15"/>
    <row r="782" ht="14" customHeight="1" x14ac:dyDescent="0.15"/>
    <row r="783" ht="14" customHeight="1" x14ac:dyDescent="0.15"/>
    <row r="784" ht="14" customHeight="1" x14ac:dyDescent="0.15"/>
    <row r="785" ht="14" customHeight="1" x14ac:dyDescent="0.15"/>
    <row r="786" ht="14" customHeight="1" x14ac:dyDescent="0.15"/>
    <row r="787" ht="14" customHeight="1" x14ac:dyDescent="0.15"/>
    <row r="788" ht="14" customHeight="1" x14ac:dyDescent="0.15"/>
    <row r="789" ht="14" customHeight="1" x14ac:dyDescent="0.15"/>
    <row r="790" ht="14" customHeight="1" x14ac:dyDescent="0.15"/>
    <row r="791" ht="14" customHeight="1" x14ac:dyDescent="0.15"/>
    <row r="792" ht="14" customHeight="1" x14ac:dyDescent="0.15"/>
    <row r="793" ht="14" customHeight="1" x14ac:dyDescent="0.15"/>
    <row r="794" ht="14" customHeight="1" x14ac:dyDescent="0.15"/>
    <row r="795" ht="14" customHeight="1" x14ac:dyDescent="0.15"/>
    <row r="796" ht="14" customHeight="1" x14ac:dyDescent="0.15"/>
    <row r="797" ht="14" customHeight="1" x14ac:dyDescent="0.15"/>
    <row r="798" ht="14" customHeight="1" x14ac:dyDescent="0.15"/>
    <row r="799" ht="14" customHeight="1" x14ac:dyDescent="0.15"/>
    <row r="800" ht="14" customHeight="1" x14ac:dyDescent="0.15"/>
    <row r="801" ht="14" customHeight="1" x14ac:dyDescent="0.15"/>
    <row r="802" ht="14" customHeight="1" x14ac:dyDescent="0.15"/>
    <row r="803" ht="14" customHeight="1" x14ac:dyDescent="0.15"/>
    <row r="804" ht="14" customHeight="1" x14ac:dyDescent="0.15"/>
    <row r="805" ht="14" customHeight="1" x14ac:dyDescent="0.15"/>
    <row r="806" ht="14" customHeight="1" x14ac:dyDescent="0.15"/>
    <row r="807" ht="14" customHeight="1" x14ac:dyDescent="0.15"/>
    <row r="808" ht="14" customHeight="1" x14ac:dyDescent="0.15"/>
    <row r="809" ht="14" customHeight="1" x14ac:dyDescent="0.15"/>
    <row r="810" ht="14" customHeight="1" x14ac:dyDescent="0.15"/>
    <row r="811" ht="14" customHeight="1" x14ac:dyDescent="0.15"/>
    <row r="812" ht="14" customHeight="1" x14ac:dyDescent="0.15"/>
    <row r="813" ht="14" customHeight="1" x14ac:dyDescent="0.15"/>
    <row r="814" ht="14" customHeight="1" x14ac:dyDescent="0.15"/>
    <row r="815" ht="14" customHeight="1" x14ac:dyDescent="0.15"/>
    <row r="816" ht="14" customHeight="1" x14ac:dyDescent="0.15"/>
    <row r="817" ht="14" customHeight="1" x14ac:dyDescent="0.15"/>
    <row r="818" ht="14" customHeight="1" x14ac:dyDescent="0.15"/>
    <row r="819" ht="14" customHeight="1" x14ac:dyDescent="0.15"/>
    <row r="820" ht="14" customHeight="1" x14ac:dyDescent="0.15"/>
    <row r="821" ht="14" customHeight="1" x14ac:dyDescent="0.15"/>
    <row r="822" ht="14" customHeight="1" x14ac:dyDescent="0.15"/>
    <row r="823" ht="14" customHeight="1" x14ac:dyDescent="0.15"/>
    <row r="824" ht="14" customHeight="1" x14ac:dyDescent="0.15"/>
    <row r="825" ht="14" customHeight="1" x14ac:dyDescent="0.15"/>
    <row r="826" ht="14" customHeight="1" x14ac:dyDescent="0.15"/>
    <row r="827" ht="14" customHeight="1" x14ac:dyDescent="0.15"/>
    <row r="828" ht="14" customHeight="1" x14ac:dyDescent="0.15"/>
    <row r="829" ht="14" customHeight="1" x14ac:dyDescent="0.15"/>
    <row r="830" ht="14" customHeight="1" x14ac:dyDescent="0.15"/>
    <row r="831" ht="14" customHeight="1" x14ac:dyDescent="0.15"/>
    <row r="832" ht="14" customHeight="1" x14ac:dyDescent="0.15"/>
    <row r="833" ht="14" customHeight="1" x14ac:dyDescent="0.15"/>
    <row r="834" ht="14" customHeight="1" x14ac:dyDescent="0.15"/>
    <row r="835" ht="14" customHeight="1" x14ac:dyDescent="0.15"/>
    <row r="836" ht="14" customHeight="1" x14ac:dyDescent="0.15"/>
    <row r="837" ht="14" customHeight="1" x14ac:dyDescent="0.15"/>
    <row r="838" ht="14" customHeight="1" x14ac:dyDescent="0.15"/>
    <row r="839" ht="14" customHeight="1" x14ac:dyDescent="0.15"/>
    <row r="840" ht="14" customHeight="1" x14ac:dyDescent="0.15"/>
    <row r="841" ht="14" customHeight="1" x14ac:dyDescent="0.15"/>
    <row r="842" ht="14" customHeight="1" x14ac:dyDescent="0.15"/>
    <row r="843" ht="14" customHeight="1" x14ac:dyDescent="0.15"/>
    <row r="844" ht="14" customHeight="1" x14ac:dyDescent="0.15"/>
    <row r="845" ht="14" customHeight="1" x14ac:dyDescent="0.15"/>
    <row r="846" ht="14" customHeight="1" x14ac:dyDescent="0.15"/>
    <row r="847" ht="14" customHeight="1" x14ac:dyDescent="0.15"/>
    <row r="848" ht="14" customHeight="1" x14ac:dyDescent="0.15"/>
    <row r="849" ht="14" customHeight="1" x14ac:dyDescent="0.15"/>
    <row r="850" ht="14" customHeight="1" x14ac:dyDescent="0.15"/>
    <row r="851" ht="14" customHeight="1" x14ac:dyDescent="0.15"/>
    <row r="852" ht="14" customHeight="1" x14ac:dyDescent="0.15"/>
    <row r="853" ht="14" customHeight="1" x14ac:dyDescent="0.15"/>
    <row r="854" ht="14" customHeight="1" x14ac:dyDescent="0.15"/>
    <row r="855" ht="14" customHeight="1" x14ac:dyDescent="0.15"/>
    <row r="856" ht="14" customHeight="1" x14ac:dyDescent="0.15"/>
    <row r="857" ht="14" customHeight="1" x14ac:dyDescent="0.15"/>
    <row r="858" ht="14" customHeight="1" x14ac:dyDescent="0.15"/>
    <row r="859" ht="14" customHeight="1" x14ac:dyDescent="0.15"/>
    <row r="860" ht="14" customHeight="1" x14ac:dyDescent="0.15"/>
    <row r="861" ht="14" customHeight="1" x14ac:dyDescent="0.15"/>
    <row r="862" ht="14" customHeight="1" x14ac:dyDescent="0.15"/>
    <row r="863" ht="14" customHeight="1" x14ac:dyDescent="0.15"/>
    <row r="864" ht="14" customHeight="1" x14ac:dyDescent="0.15"/>
    <row r="865" ht="14" customHeight="1" x14ac:dyDescent="0.15"/>
    <row r="866" ht="14" customHeight="1" x14ac:dyDescent="0.15"/>
    <row r="867" ht="14" customHeight="1" x14ac:dyDescent="0.15"/>
    <row r="868" ht="14" customHeight="1" x14ac:dyDescent="0.15"/>
    <row r="869" ht="14" customHeight="1" x14ac:dyDescent="0.15"/>
    <row r="870" ht="14" customHeight="1" x14ac:dyDescent="0.15"/>
    <row r="871" ht="14" customHeight="1" x14ac:dyDescent="0.15"/>
    <row r="872" ht="14" customHeight="1" x14ac:dyDescent="0.15"/>
    <row r="873" ht="14" customHeight="1" x14ac:dyDescent="0.15"/>
    <row r="874" ht="14" customHeight="1" x14ac:dyDescent="0.15"/>
    <row r="875" ht="14" customHeight="1" x14ac:dyDescent="0.15"/>
    <row r="876" ht="14" customHeight="1" x14ac:dyDescent="0.15"/>
    <row r="877" ht="14" customHeight="1" x14ac:dyDescent="0.15"/>
    <row r="878" ht="14" customHeight="1" x14ac:dyDescent="0.15"/>
    <row r="879" ht="14" customHeight="1" x14ac:dyDescent="0.15"/>
    <row r="880" ht="14" customHeight="1" x14ac:dyDescent="0.15"/>
    <row r="881" ht="14" customHeight="1" x14ac:dyDescent="0.15"/>
    <row r="882" ht="14" customHeight="1" x14ac:dyDescent="0.15"/>
    <row r="883" ht="14" customHeight="1" x14ac:dyDescent="0.15"/>
    <row r="884" ht="14" customHeight="1" x14ac:dyDescent="0.15"/>
    <row r="885" ht="14" customHeight="1" x14ac:dyDescent="0.15"/>
    <row r="886" ht="14" customHeight="1" x14ac:dyDescent="0.15"/>
    <row r="887" ht="14" customHeight="1" x14ac:dyDescent="0.15"/>
    <row r="888" ht="14" customHeight="1" x14ac:dyDescent="0.15"/>
    <row r="889" ht="14" customHeight="1" x14ac:dyDescent="0.15"/>
    <row r="890" ht="14" customHeight="1" x14ac:dyDescent="0.15"/>
    <row r="891" ht="14" customHeight="1" x14ac:dyDescent="0.15"/>
    <row r="892" ht="14" customHeight="1" x14ac:dyDescent="0.15"/>
    <row r="893" ht="14" customHeight="1" x14ac:dyDescent="0.15"/>
    <row r="894" ht="14" customHeight="1" x14ac:dyDescent="0.15"/>
    <row r="895" ht="14" customHeight="1" x14ac:dyDescent="0.15"/>
    <row r="896" ht="14" customHeight="1" x14ac:dyDescent="0.15"/>
    <row r="897" ht="14" customHeight="1" x14ac:dyDescent="0.15"/>
    <row r="898" ht="14" customHeight="1" x14ac:dyDescent="0.15"/>
    <row r="899" ht="14" customHeight="1" x14ac:dyDescent="0.15"/>
    <row r="900" ht="14" customHeight="1" x14ac:dyDescent="0.15"/>
    <row r="901" ht="14" customHeight="1" x14ac:dyDescent="0.15"/>
    <row r="902" ht="14" customHeight="1" x14ac:dyDescent="0.15"/>
    <row r="903" ht="14" customHeight="1" x14ac:dyDescent="0.15"/>
    <row r="904" ht="14" customHeight="1" x14ac:dyDescent="0.15"/>
    <row r="905" ht="14" customHeight="1" x14ac:dyDescent="0.15"/>
    <row r="906" ht="14" customHeight="1" x14ac:dyDescent="0.15"/>
    <row r="907" ht="14" customHeight="1" x14ac:dyDescent="0.15"/>
    <row r="908" ht="14" customHeight="1" x14ac:dyDescent="0.15"/>
    <row r="909" ht="14" customHeight="1" x14ac:dyDescent="0.15"/>
    <row r="910" ht="14" customHeight="1" x14ac:dyDescent="0.15"/>
    <row r="911" ht="14" customHeight="1" x14ac:dyDescent="0.15"/>
    <row r="912" ht="14" customHeight="1" x14ac:dyDescent="0.15"/>
    <row r="913" ht="14" customHeight="1" x14ac:dyDescent="0.15"/>
    <row r="914" ht="14" customHeight="1" x14ac:dyDescent="0.15"/>
    <row r="915" ht="14" customHeight="1" x14ac:dyDescent="0.15"/>
    <row r="916" ht="14" customHeight="1" x14ac:dyDescent="0.15"/>
    <row r="917" ht="14" customHeight="1" x14ac:dyDescent="0.15"/>
    <row r="918" ht="14" customHeight="1" x14ac:dyDescent="0.15"/>
    <row r="919" ht="14" customHeight="1" x14ac:dyDescent="0.15"/>
    <row r="920" ht="14" customHeight="1" x14ac:dyDescent="0.15"/>
    <row r="921" ht="14" customHeight="1" x14ac:dyDescent="0.15"/>
    <row r="922" ht="14" customHeight="1" x14ac:dyDescent="0.15"/>
    <row r="923" ht="14" customHeight="1" x14ac:dyDescent="0.15"/>
    <row r="924" ht="14" customHeight="1" x14ac:dyDescent="0.15"/>
    <row r="925" ht="14" customHeight="1" x14ac:dyDescent="0.15"/>
    <row r="926" ht="14" customHeight="1" x14ac:dyDescent="0.15"/>
    <row r="927" ht="14" customHeight="1" x14ac:dyDescent="0.15"/>
    <row r="928" ht="14" customHeight="1" x14ac:dyDescent="0.15"/>
    <row r="929" ht="14" customHeight="1" x14ac:dyDescent="0.15"/>
    <row r="930" ht="14" customHeight="1" x14ac:dyDescent="0.15"/>
    <row r="931" ht="14" customHeight="1" x14ac:dyDescent="0.15"/>
    <row r="932" ht="14" customHeight="1" x14ac:dyDescent="0.15"/>
    <row r="933" ht="14" customHeight="1" x14ac:dyDescent="0.15"/>
    <row r="934" ht="14" customHeight="1" x14ac:dyDescent="0.15"/>
    <row r="935" ht="14" customHeight="1" x14ac:dyDescent="0.15"/>
    <row r="936" ht="14" customHeight="1" x14ac:dyDescent="0.15"/>
    <row r="937" ht="14" customHeight="1" x14ac:dyDescent="0.15"/>
    <row r="938" ht="14" customHeight="1" x14ac:dyDescent="0.15"/>
    <row r="939" ht="14" customHeight="1" x14ac:dyDescent="0.15"/>
    <row r="940" ht="14" customHeight="1" x14ac:dyDescent="0.15"/>
    <row r="941" ht="14" customHeight="1" x14ac:dyDescent="0.15"/>
    <row r="942" ht="14" customHeight="1" x14ac:dyDescent="0.15"/>
    <row r="943" ht="14" customHeight="1" x14ac:dyDescent="0.15"/>
    <row r="944" ht="14" customHeight="1" x14ac:dyDescent="0.15"/>
    <row r="945" ht="14" customHeight="1" x14ac:dyDescent="0.15"/>
    <row r="946" ht="14" customHeight="1" x14ac:dyDescent="0.15"/>
    <row r="947" ht="14" customHeight="1" x14ac:dyDescent="0.15"/>
    <row r="948" ht="14" customHeight="1" x14ac:dyDescent="0.15"/>
    <row r="949" ht="14" customHeight="1" x14ac:dyDescent="0.15"/>
    <row r="950" ht="14" customHeight="1" x14ac:dyDescent="0.15"/>
    <row r="951" ht="14" customHeight="1" x14ac:dyDescent="0.15"/>
    <row r="952" ht="14" customHeight="1" x14ac:dyDescent="0.15"/>
    <row r="953" ht="14" customHeight="1" x14ac:dyDescent="0.15"/>
    <row r="954" ht="14" customHeight="1" x14ac:dyDescent="0.15"/>
    <row r="955" ht="14" customHeight="1" x14ac:dyDescent="0.15"/>
    <row r="956" ht="14" customHeight="1" x14ac:dyDescent="0.15"/>
    <row r="957" ht="14" customHeight="1" x14ac:dyDescent="0.15"/>
    <row r="958" ht="14" customHeight="1" x14ac:dyDescent="0.15"/>
    <row r="959" ht="14" customHeight="1" x14ac:dyDescent="0.15"/>
    <row r="960" ht="14" customHeight="1" x14ac:dyDescent="0.15"/>
    <row r="961" ht="14" customHeight="1" x14ac:dyDescent="0.15"/>
    <row r="962" ht="14" customHeight="1" x14ac:dyDescent="0.15"/>
    <row r="963" ht="14" customHeight="1" x14ac:dyDescent="0.15"/>
    <row r="964" ht="14" customHeight="1" x14ac:dyDescent="0.15"/>
    <row r="965" ht="14" customHeight="1" x14ac:dyDescent="0.15"/>
    <row r="966" ht="14" customHeight="1" x14ac:dyDescent="0.15"/>
    <row r="967" ht="14" customHeight="1" x14ac:dyDescent="0.15"/>
    <row r="968" ht="14" customHeight="1" x14ac:dyDescent="0.15"/>
    <row r="969" ht="14" customHeight="1" x14ac:dyDescent="0.15"/>
    <row r="970" ht="14" customHeight="1" x14ac:dyDescent="0.15"/>
    <row r="971" ht="14" customHeight="1" x14ac:dyDescent="0.15"/>
    <row r="972" ht="14" customHeight="1" x14ac:dyDescent="0.15"/>
    <row r="973" ht="14" customHeight="1" x14ac:dyDescent="0.15"/>
    <row r="974" ht="14" customHeight="1" x14ac:dyDescent="0.15"/>
    <row r="975" ht="14" customHeight="1" x14ac:dyDescent="0.15"/>
    <row r="976" ht="14" customHeight="1" x14ac:dyDescent="0.15"/>
    <row r="977" ht="14" customHeight="1" x14ac:dyDescent="0.15"/>
    <row r="978" ht="14" customHeight="1" x14ac:dyDescent="0.15"/>
    <row r="979" ht="14" customHeight="1" x14ac:dyDescent="0.15"/>
    <row r="980" ht="14" customHeight="1" x14ac:dyDescent="0.15"/>
    <row r="981" ht="14" customHeight="1" x14ac:dyDescent="0.15"/>
    <row r="982" ht="14" customHeight="1" x14ac:dyDescent="0.15"/>
    <row r="983" ht="14" customHeight="1" x14ac:dyDescent="0.15"/>
    <row r="984" ht="14" customHeight="1" x14ac:dyDescent="0.15"/>
    <row r="985" ht="14" customHeight="1" x14ac:dyDescent="0.15"/>
    <row r="986" ht="14" customHeight="1" x14ac:dyDescent="0.15"/>
    <row r="987" ht="14" customHeight="1" x14ac:dyDescent="0.15"/>
    <row r="988" ht="14" customHeight="1" x14ac:dyDescent="0.15"/>
    <row r="989" ht="14" customHeight="1" x14ac:dyDescent="0.15"/>
    <row r="990" ht="14" customHeight="1" x14ac:dyDescent="0.15"/>
    <row r="991" ht="14" customHeight="1" x14ac:dyDescent="0.15"/>
    <row r="992" ht="14" customHeight="1" x14ac:dyDescent="0.15"/>
    <row r="993" ht="14" customHeight="1" x14ac:dyDescent="0.15"/>
    <row r="994" ht="14" customHeight="1" x14ac:dyDescent="0.15"/>
    <row r="995" ht="14" customHeight="1" x14ac:dyDescent="0.15"/>
    <row r="996" ht="14" customHeight="1" x14ac:dyDescent="0.15"/>
    <row r="997" ht="14" customHeight="1" x14ac:dyDescent="0.15"/>
    <row r="998" ht="14" customHeight="1" x14ac:dyDescent="0.15"/>
    <row r="999" ht="14" customHeight="1" x14ac:dyDescent="0.15"/>
    <row r="1000" ht="14" customHeight="1" x14ac:dyDescent="0.15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1F497D"/>
  </sheetPr>
  <dimension ref="A1:AI1000"/>
  <sheetViews>
    <sheetView workbookViewId="0">
      <selection activeCell="B1" sqref="B1:B1048576"/>
    </sheetView>
  </sheetViews>
  <sheetFormatPr baseColWidth="10" defaultColWidth="8.83203125" defaultRowHeight="15" customHeight="1" x14ac:dyDescent="0.15"/>
  <cols>
    <col min="1" max="1" width="39.83203125" style="48" customWidth="1"/>
    <col min="2" max="2" width="17.83203125" style="30" customWidth="1"/>
    <col min="3" max="3" width="9.5" style="48" customWidth="1"/>
    <col min="4" max="35" width="9.5" style="48" bestFit="1" customWidth="1"/>
    <col min="36" max="43" width="8.83203125" style="48" customWidth="1"/>
    <col min="44" max="16384" width="8.83203125" style="48"/>
  </cols>
  <sheetData>
    <row r="1" spans="1:35" ht="14.5" customHeight="1" x14ac:dyDescent="0.2">
      <c r="A1" s="28" t="s">
        <v>177</v>
      </c>
      <c r="B1" s="29">
        <v>2020</v>
      </c>
      <c r="C1" s="29">
        <v>2021</v>
      </c>
      <c r="D1" s="29">
        <v>2022</v>
      </c>
      <c r="E1" s="29">
        <v>2023</v>
      </c>
      <c r="F1" s="29">
        <v>2024</v>
      </c>
      <c r="G1" s="29">
        <v>2025</v>
      </c>
      <c r="H1" s="29">
        <v>2026</v>
      </c>
      <c r="I1" s="29">
        <v>2027</v>
      </c>
      <c r="J1" s="29">
        <v>2028</v>
      </c>
      <c r="K1" s="29">
        <v>2029</v>
      </c>
      <c r="L1" s="29">
        <v>2030</v>
      </c>
      <c r="M1" s="29">
        <v>2031</v>
      </c>
      <c r="N1" s="29">
        <v>2032</v>
      </c>
      <c r="O1" s="29">
        <v>2033</v>
      </c>
      <c r="P1" s="29">
        <v>2034</v>
      </c>
      <c r="Q1" s="29">
        <v>2035</v>
      </c>
      <c r="R1" s="29">
        <v>2036</v>
      </c>
      <c r="S1" s="29">
        <v>2037</v>
      </c>
      <c r="T1" s="29">
        <v>2038</v>
      </c>
      <c r="U1" s="29">
        <v>2039</v>
      </c>
      <c r="V1" s="29">
        <v>2040</v>
      </c>
      <c r="W1" s="29">
        <v>2041</v>
      </c>
      <c r="X1" s="29">
        <v>2042</v>
      </c>
      <c r="Y1" s="29">
        <v>2043</v>
      </c>
      <c r="Z1" s="29">
        <v>2044</v>
      </c>
      <c r="AA1" s="29">
        <v>2045</v>
      </c>
      <c r="AB1" s="29">
        <v>2046</v>
      </c>
      <c r="AC1" s="29">
        <v>2047</v>
      </c>
      <c r="AD1" s="29">
        <v>2048</v>
      </c>
      <c r="AE1" s="29">
        <v>2049</v>
      </c>
      <c r="AF1" s="29">
        <v>2050</v>
      </c>
      <c r="AH1" s="29"/>
      <c r="AI1" s="29"/>
    </row>
    <row r="2" spans="1:35" ht="14" customHeight="1" x14ac:dyDescent="0.15">
      <c r="A2" s="48" t="s">
        <v>178</v>
      </c>
      <c r="B2">
        <v>1</v>
      </c>
      <c r="C2" s="57">
        <v>1</v>
      </c>
      <c r="D2" s="57">
        <v>1</v>
      </c>
      <c r="E2" s="57">
        <v>1</v>
      </c>
      <c r="F2" s="57">
        <v>1</v>
      </c>
      <c r="G2" s="57">
        <v>1</v>
      </c>
      <c r="H2" s="57">
        <v>1</v>
      </c>
      <c r="I2" s="57">
        <v>1</v>
      </c>
      <c r="J2" s="57">
        <v>1</v>
      </c>
      <c r="K2" s="57">
        <v>1</v>
      </c>
      <c r="L2" s="57">
        <v>1</v>
      </c>
      <c r="M2" s="57">
        <v>1</v>
      </c>
      <c r="N2" s="57">
        <v>1</v>
      </c>
      <c r="O2" s="57">
        <v>1</v>
      </c>
      <c r="P2" s="57">
        <v>1</v>
      </c>
      <c r="Q2" s="57">
        <v>1</v>
      </c>
      <c r="R2" s="57">
        <v>1</v>
      </c>
      <c r="S2" s="57">
        <v>1</v>
      </c>
      <c r="T2" s="57">
        <v>1</v>
      </c>
      <c r="U2" s="57">
        <v>1</v>
      </c>
      <c r="V2" s="57">
        <v>1</v>
      </c>
      <c r="W2" s="57">
        <v>1</v>
      </c>
      <c r="X2" s="57">
        <v>1</v>
      </c>
      <c r="Y2" s="57">
        <v>1</v>
      </c>
      <c r="Z2" s="57">
        <v>1</v>
      </c>
      <c r="AA2" s="57">
        <v>1</v>
      </c>
      <c r="AB2" s="57">
        <v>1</v>
      </c>
      <c r="AC2" s="57">
        <v>1</v>
      </c>
      <c r="AD2" s="57">
        <v>1</v>
      </c>
      <c r="AE2" s="57">
        <v>1</v>
      </c>
      <c r="AF2" s="57">
        <v>1</v>
      </c>
      <c r="AG2" s="57"/>
    </row>
    <row r="3" spans="1:35" ht="14" customHeight="1" x14ac:dyDescent="0.15">
      <c r="A3" s="48" t="s">
        <v>179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5" ht="14" customHeight="1" x14ac:dyDescent="0.15">
      <c r="A4" s="48" t="s">
        <v>135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5" ht="14" customHeight="1" x14ac:dyDescent="0.15">
      <c r="A5" s="48" t="s">
        <v>180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5" ht="14" customHeight="1" x14ac:dyDescent="0.15">
      <c r="A6" s="48" t="s">
        <v>181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5" ht="14" customHeight="1" x14ac:dyDescent="0.15">
      <c r="A7" s="48" t="s">
        <v>182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5" ht="14" customHeight="1" x14ac:dyDescent="0.15">
      <c r="A8" s="48" t="s">
        <v>183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5" ht="14" customHeight="1" x14ac:dyDescent="0.15">
      <c r="A9" s="48" t="s">
        <v>184</v>
      </c>
      <c r="B9">
        <v>1</v>
      </c>
      <c r="C9" s="57">
        <v>1</v>
      </c>
      <c r="D9" s="57">
        <v>1</v>
      </c>
      <c r="E9" s="57">
        <v>1</v>
      </c>
      <c r="F9" s="57">
        <v>1</v>
      </c>
      <c r="G9" s="57">
        <v>1</v>
      </c>
      <c r="H9" s="57">
        <v>1</v>
      </c>
      <c r="I9" s="57">
        <v>1</v>
      </c>
      <c r="J9" s="57">
        <v>1</v>
      </c>
      <c r="K9" s="57">
        <v>1</v>
      </c>
      <c r="L9" s="57">
        <v>1</v>
      </c>
      <c r="M9" s="57">
        <v>1</v>
      </c>
      <c r="N9" s="57">
        <v>1</v>
      </c>
      <c r="O9" s="57">
        <v>1</v>
      </c>
      <c r="P9" s="57">
        <v>1</v>
      </c>
      <c r="Q9" s="57">
        <v>1</v>
      </c>
      <c r="R9" s="57">
        <v>1</v>
      </c>
      <c r="S9" s="57">
        <v>1</v>
      </c>
      <c r="T9" s="57">
        <v>1</v>
      </c>
      <c r="U9" s="57">
        <v>1</v>
      </c>
      <c r="V9" s="57">
        <v>1</v>
      </c>
      <c r="W9" s="57">
        <v>1</v>
      </c>
      <c r="X9" s="57">
        <v>1</v>
      </c>
      <c r="Y9" s="57">
        <v>1</v>
      </c>
      <c r="Z9" s="57">
        <v>1</v>
      </c>
      <c r="AA9" s="57">
        <v>1</v>
      </c>
      <c r="AB9" s="57">
        <v>1</v>
      </c>
      <c r="AC9" s="57">
        <v>1</v>
      </c>
      <c r="AD9" s="57">
        <v>1</v>
      </c>
      <c r="AE9" s="57">
        <v>1</v>
      </c>
      <c r="AF9" s="57">
        <v>1</v>
      </c>
      <c r="AG9" s="57"/>
    </row>
    <row r="10" spans="1:35" ht="14" customHeight="1" x14ac:dyDescent="0.15">
      <c r="A10" s="48" t="s">
        <v>136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5" ht="14" customHeight="1" x14ac:dyDescent="0.15">
      <c r="A11" s="48" t="s">
        <v>185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5" ht="14" customHeight="1" x14ac:dyDescent="0.15">
      <c r="A12" s="48" t="s">
        <v>186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5" ht="14" customHeight="1" x14ac:dyDescent="0.15">
      <c r="A13" s="48" t="s">
        <v>187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5" ht="14" customHeight="1" x14ac:dyDescent="0.15">
      <c r="A14" s="48" t="s">
        <v>188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5" ht="14" customHeight="1" x14ac:dyDescent="0.15">
      <c r="A15" s="48" t="s">
        <v>189</v>
      </c>
      <c r="B15">
        <v>1</v>
      </c>
      <c r="C15" s="57">
        <v>1</v>
      </c>
      <c r="D15" s="57">
        <v>1</v>
      </c>
      <c r="E15" s="57">
        <v>1</v>
      </c>
      <c r="F15" s="57">
        <v>1</v>
      </c>
      <c r="G15" s="57">
        <v>1</v>
      </c>
      <c r="H15" s="57">
        <v>1</v>
      </c>
      <c r="I15" s="57">
        <v>1</v>
      </c>
      <c r="J15" s="57">
        <v>1</v>
      </c>
      <c r="K15" s="57">
        <v>1</v>
      </c>
      <c r="L15" s="57">
        <v>1</v>
      </c>
      <c r="M15" s="57">
        <v>1</v>
      </c>
      <c r="N15" s="57">
        <v>1</v>
      </c>
      <c r="O15" s="57">
        <v>1</v>
      </c>
      <c r="P15" s="57">
        <v>1</v>
      </c>
      <c r="Q15" s="57">
        <v>1</v>
      </c>
      <c r="R15" s="57">
        <v>1</v>
      </c>
      <c r="S15" s="57">
        <v>1</v>
      </c>
      <c r="T15" s="57">
        <v>1</v>
      </c>
      <c r="U15" s="57">
        <v>1</v>
      </c>
      <c r="V15" s="57">
        <v>1</v>
      </c>
      <c r="W15" s="57">
        <v>1</v>
      </c>
      <c r="X15" s="57">
        <v>1</v>
      </c>
      <c r="Y15" s="57">
        <v>1</v>
      </c>
      <c r="Z15" s="57">
        <v>1</v>
      </c>
      <c r="AA15" s="57">
        <v>1</v>
      </c>
      <c r="AB15" s="57">
        <v>1</v>
      </c>
      <c r="AC15" s="57">
        <v>1</v>
      </c>
      <c r="AD15" s="57">
        <v>1</v>
      </c>
      <c r="AE15" s="57">
        <v>1</v>
      </c>
      <c r="AF15" s="57">
        <v>1</v>
      </c>
      <c r="AG15" s="57"/>
    </row>
    <row r="16" spans="1:35" ht="14" customHeight="1" x14ac:dyDescent="0.15">
      <c r="A16" s="48" t="s">
        <v>190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3" ht="14" customHeight="1" x14ac:dyDescent="0.15">
      <c r="A17" s="48" t="s">
        <v>191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3" ht="14" customHeight="1" x14ac:dyDescent="0.15">
      <c r="A18" s="48" t="s">
        <v>192</v>
      </c>
      <c r="B18">
        <v>1</v>
      </c>
      <c r="C18" s="30">
        <v>1</v>
      </c>
      <c r="D18" s="30">
        <v>1</v>
      </c>
      <c r="E18" s="30">
        <v>1</v>
      </c>
      <c r="F18" s="30">
        <v>1</v>
      </c>
      <c r="G18" s="30">
        <v>1</v>
      </c>
      <c r="H18" s="30">
        <v>1</v>
      </c>
      <c r="I18" s="30">
        <v>1</v>
      </c>
      <c r="J18" s="30">
        <v>1</v>
      </c>
      <c r="K18" s="30">
        <v>1</v>
      </c>
      <c r="L18" s="30">
        <v>1</v>
      </c>
      <c r="M18" s="30">
        <v>1</v>
      </c>
      <c r="N18" s="30">
        <v>1</v>
      </c>
      <c r="O18" s="30">
        <v>1</v>
      </c>
      <c r="P18" s="30">
        <v>1</v>
      </c>
      <c r="Q18" s="30">
        <v>1</v>
      </c>
      <c r="R18" s="30">
        <v>1</v>
      </c>
      <c r="S18" s="30">
        <v>1</v>
      </c>
      <c r="T18" s="30">
        <v>1</v>
      </c>
      <c r="U18" s="30">
        <v>1</v>
      </c>
      <c r="V18" s="30">
        <v>1</v>
      </c>
      <c r="W18" s="30">
        <v>1</v>
      </c>
      <c r="X18" s="30">
        <v>1</v>
      </c>
      <c r="Y18" s="30">
        <v>1</v>
      </c>
      <c r="Z18" s="30">
        <v>1</v>
      </c>
      <c r="AA18" s="30">
        <v>1</v>
      </c>
      <c r="AB18" s="30">
        <v>1</v>
      </c>
      <c r="AC18" s="30">
        <v>1</v>
      </c>
      <c r="AD18" s="30">
        <v>1</v>
      </c>
      <c r="AE18" s="30">
        <v>1</v>
      </c>
      <c r="AF18" s="30">
        <v>1</v>
      </c>
      <c r="AG18" s="30"/>
    </row>
    <row r="19" spans="1:33" ht="14" customHeight="1" x14ac:dyDescent="0.15">
      <c r="A19" s="48" t="s">
        <v>193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3" ht="14" customHeight="1" x14ac:dyDescent="0.15">
      <c r="A20" s="48" t="s">
        <v>194</v>
      </c>
      <c r="B20">
        <v>1</v>
      </c>
      <c r="C20" s="57">
        <v>1</v>
      </c>
      <c r="D20" s="57">
        <v>1</v>
      </c>
      <c r="E20" s="57">
        <v>1</v>
      </c>
      <c r="F20" s="57">
        <v>1</v>
      </c>
      <c r="G20" s="57">
        <v>1</v>
      </c>
      <c r="H20" s="57">
        <v>1</v>
      </c>
      <c r="I20" s="57">
        <v>1</v>
      </c>
      <c r="J20" s="57">
        <v>1</v>
      </c>
      <c r="K20" s="57">
        <v>1</v>
      </c>
      <c r="L20" s="57">
        <v>1</v>
      </c>
      <c r="M20" s="57">
        <v>1</v>
      </c>
      <c r="N20" s="57">
        <v>1</v>
      </c>
      <c r="O20" s="57">
        <v>1</v>
      </c>
      <c r="P20" s="57">
        <v>1</v>
      </c>
      <c r="Q20" s="57">
        <v>1</v>
      </c>
      <c r="R20" s="57">
        <v>1</v>
      </c>
      <c r="S20" s="57">
        <v>1</v>
      </c>
      <c r="T20" s="57">
        <v>1</v>
      </c>
      <c r="U20" s="57">
        <v>1</v>
      </c>
      <c r="V20" s="57">
        <v>1</v>
      </c>
      <c r="W20" s="57">
        <v>1</v>
      </c>
      <c r="X20" s="57">
        <v>1</v>
      </c>
      <c r="Y20" s="57">
        <v>1</v>
      </c>
      <c r="Z20" s="57">
        <v>1</v>
      </c>
      <c r="AA20" s="57">
        <v>1</v>
      </c>
      <c r="AB20" s="57">
        <v>1</v>
      </c>
      <c r="AC20" s="57">
        <v>1</v>
      </c>
      <c r="AD20" s="57">
        <v>1</v>
      </c>
      <c r="AE20" s="57">
        <v>1</v>
      </c>
      <c r="AF20" s="57">
        <v>1</v>
      </c>
      <c r="AG20" s="57"/>
    </row>
    <row r="21" spans="1:33" ht="14" customHeight="1" x14ac:dyDescent="0.15">
      <c r="A21" s="48" t="s">
        <v>195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3" ht="14" customHeight="1" x14ac:dyDescent="0.15">
      <c r="A22" s="48" t="s">
        <v>196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3" ht="14" customHeight="1" x14ac:dyDescent="0.15">
      <c r="A23" s="48" t="s">
        <v>197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3" ht="14" customHeight="1" x14ac:dyDescent="0.15">
      <c r="A24" s="48" t="s">
        <v>198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3" ht="14" customHeight="1" x14ac:dyDescent="0.15">
      <c r="A25" s="48" t="s">
        <v>199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3" ht="14" customHeight="1" x14ac:dyDescent="0.15">
      <c r="A26" s="48" t="s">
        <v>200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  <row r="27" spans="1:33" ht="14" customHeight="1" x14ac:dyDescent="0.15"/>
    <row r="28" spans="1:33" ht="14.5" customHeight="1" x14ac:dyDescent="0.2">
      <c r="A28" s="29"/>
    </row>
    <row r="29" spans="1:33" ht="14" customHeight="1" x14ac:dyDescent="0.15"/>
    <row r="30" spans="1:33" ht="14.5" customHeight="1" x14ac:dyDescent="0.2">
      <c r="A30" s="29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 spans="1:33" ht="14" customHeight="1" x14ac:dyDescent="0.15"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 spans="1:33" ht="14" customHeight="1" x14ac:dyDescent="0.15"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 spans="1:35" ht="14.5" customHeight="1" x14ac:dyDescent="0.2">
      <c r="A33" s="29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 spans="1:35" ht="14" customHeight="1" x14ac:dyDescent="0.15">
      <c r="A34" s="31"/>
      <c r="B34" s="32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</row>
    <row r="35" spans="1:35" ht="14" customHeight="1" x14ac:dyDescent="0.15">
      <c r="A35" s="31"/>
      <c r="B35" s="32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58"/>
    </row>
    <row r="36" spans="1:35" ht="14" customHeight="1" x14ac:dyDescent="0.15">
      <c r="A36" s="31"/>
      <c r="B36" s="32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</row>
    <row r="37" spans="1:35" ht="14" customHeight="1" x14ac:dyDescent="0.15">
      <c r="A37" s="31"/>
      <c r="B37" s="32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</row>
    <row r="38" spans="1:35" ht="14" customHeight="1" x14ac:dyDescent="0.15">
      <c r="A38" s="31"/>
      <c r="B38" s="32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</row>
    <row r="39" spans="1:35" ht="14" customHeight="1" x14ac:dyDescent="0.15">
      <c r="A39" s="31"/>
      <c r="B39" s="32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</row>
    <row r="40" spans="1:35" ht="14" customHeight="1" x14ac:dyDescent="0.15">
      <c r="A40" s="31"/>
      <c r="B40" s="32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</row>
    <row r="41" spans="1:35" ht="14" customHeight="1" x14ac:dyDescent="0.15">
      <c r="A41" s="31"/>
      <c r="B41" s="32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</row>
    <row r="42" spans="1:35" ht="14" customHeight="1" x14ac:dyDescent="0.15">
      <c r="A42" s="31"/>
      <c r="B42" s="32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58"/>
      <c r="AG42" s="58"/>
      <c r="AH42" s="58"/>
      <c r="AI42" s="58"/>
    </row>
    <row r="43" spans="1:35" ht="14" customHeight="1" x14ac:dyDescent="0.15">
      <c r="A43" s="31"/>
      <c r="B43" s="32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  <c r="AD43" s="58"/>
      <c r="AE43" s="58"/>
      <c r="AF43" s="58"/>
      <c r="AG43" s="58"/>
      <c r="AH43" s="58"/>
      <c r="AI43" s="58"/>
    </row>
    <row r="44" spans="1:35" ht="14" customHeight="1" x14ac:dyDescent="0.15">
      <c r="A44" s="31"/>
      <c r="B44" s="32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</row>
    <row r="45" spans="1:35" ht="14" customHeight="1" x14ac:dyDescent="0.15">
      <c r="A45" s="31"/>
      <c r="B45" s="32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</row>
    <row r="46" spans="1:35" ht="14" customHeight="1" x14ac:dyDescent="0.15">
      <c r="A46" s="33"/>
      <c r="B46" s="34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</row>
    <row r="47" spans="1:35" ht="14.5" customHeight="1" x14ac:dyDescent="0.2">
      <c r="A47" s="29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 spans="1:35" ht="14" customHeight="1" x14ac:dyDescent="0.15">
      <c r="A48" s="31"/>
      <c r="B48" s="32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  <c r="AD48" s="58"/>
      <c r="AE48" s="58"/>
      <c r="AF48" s="58"/>
      <c r="AG48" s="58"/>
      <c r="AH48" s="58"/>
      <c r="AI48" s="58"/>
    </row>
    <row r="49" spans="1:35" ht="14" customHeight="1" x14ac:dyDescent="0.15">
      <c r="A49" s="31"/>
      <c r="B49" s="32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  <c r="AC49" s="58"/>
      <c r="AD49" s="58"/>
      <c r="AE49" s="58"/>
      <c r="AF49" s="58"/>
      <c r="AG49" s="58"/>
      <c r="AH49" s="58"/>
      <c r="AI49" s="58"/>
    </row>
    <row r="50" spans="1:35" ht="14.5" customHeight="1" x14ac:dyDescent="0.2">
      <c r="A50" s="35"/>
      <c r="B50" s="32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  <c r="AD50" s="58"/>
      <c r="AE50" s="58"/>
      <c r="AF50" s="58"/>
      <c r="AG50" s="58"/>
      <c r="AH50" s="58"/>
      <c r="AI50" s="58"/>
    </row>
    <row r="51" spans="1:35" ht="14" customHeight="1" x14ac:dyDescent="0.15">
      <c r="A51" s="31"/>
      <c r="B51" s="32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  <c r="AD51" s="58"/>
      <c r="AE51" s="58"/>
      <c r="AF51" s="58"/>
      <c r="AG51" s="58"/>
      <c r="AH51" s="58"/>
      <c r="AI51" s="58"/>
    </row>
    <row r="52" spans="1:35" ht="14" customHeight="1" x14ac:dyDescent="0.15">
      <c r="A52" s="31"/>
      <c r="B52" s="32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</row>
    <row r="53" spans="1:35" ht="14" customHeight="1" x14ac:dyDescent="0.15">
      <c r="A53" s="31"/>
      <c r="B53" s="32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</row>
    <row r="54" spans="1:35" ht="14" customHeight="1" x14ac:dyDescent="0.15">
      <c r="A54" s="31"/>
      <c r="B54" s="32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</row>
    <row r="55" spans="1:35" ht="14" customHeight="1" x14ac:dyDescent="0.15">
      <c r="A55" s="31"/>
      <c r="B55" s="32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  <c r="AB55" s="58"/>
      <c r="AC55" s="58"/>
      <c r="AD55" s="58"/>
      <c r="AE55" s="58"/>
      <c r="AF55" s="58"/>
      <c r="AG55" s="58"/>
      <c r="AH55" s="58"/>
      <c r="AI55" s="58"/>
    </row>
    <row r="56" spans="1:35" ht="14" customHeight="1" x14ac:dyDescent="0.15">
      <c r="A56" s="31"/>
      <c r="B56" s="36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  <c r="AD56" s="58"/>
      <c r="AE56" s="58"/>
      <c r="AF56" s="58"/>
      <c r="AG56" s="58"/>
      <c r="AH56" s="58"/>
      <c r="AI56" s="58"/>
    </row>
    <row r="57" spans="1:35" ht="14" customHeight="1" x14ac:dyDescent="0.15">
      <c r="A57" s="31"/>
      <c r="B57" s="36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  <c r="AI57" s="58"/>
    </row>
    <row r="58" spans="1:35" ht="14" customHeight="1" x14ac:dyDescent="0.15">
      <c r="A58" s="31"/>
      <c r="B58" s="36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</row>
    <row r="59" spans="1:35" ht="14" customHeight="1" x14ac:dyDescent="0.15">
      <c r="A59" s="31"/>
      <c r="B59" s="36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</row>
    <row r="60" spans="1:35" ht="14" customHeight="1" x14ac:dyDescent="0.15">
      <c r="A60" s="31"/>
      <c r="B60" s="36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  <c r="AB60" s="58"/>
      <c r="AC60" s="58"/>
      <c r="AD60" s="58"/>
      <c r="AE60" s="58"/>
      <c r="AF60" s="58"/>
      <c r="AG60" s="58"/>
      <c r="AH60" s="58"/>
      <c r="AI60" s="58"/>
    </row>
    <row r="61" spans="1:35" ht="14" customHeight="1" x14ac:dyDescent="0.15">
      <c r="A61" s="31"/>
      <c r="B61" s="3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</row>
    <row r="62" spans="1:35" ht="14" customHeight="1" x14ac:dyDescent="0.15">
      <c r="A62" s="33"/>
      <c r="B62" s="36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</row>
    <row r="63" spans="1:35" ht="14.5" customHeight="1" x14ac:dyDescent="0.2">
      <c r="A63" s="37"/>
      <c r="B63" s="36"/>
    </row>
    <row r="64" spans="1:35" ht="14" customHeight="1" x14ac:dyDescent="0.15">
      <c r="A64" s="31"/>
      <c r="B64" s="36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</row>
    <row r="65" spans="1:35" ht="14" customHeight="1" x14ac:dyDescent="0.15">
      <c r="A65" s="31"/>
      <c r="B65" s="36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</row>
    <row r="66" spans="1:35" ht="14" customHeight="1" x14ac:dyDescent="0.15">
      <c r="A66" s="31"/>
      <c r="B66" s="36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  <c r="AD66" s="58"/>
      <c r="AE66" s="58"/>
      <c r="AF66" s="58"/>
      <c r="AG66" s="58"/>
      <c r="AH66" s="58"/>
      <c r="AI66" s="58"/>
    </row>
    <row r="67" spans="1:35" ht="14" customHeight="1" x14ac:dyDescent="0.15">
      <c r="A67" s="31"/>
      <c r="B67" s="36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  <c r="AG67" s="58"/>
      <c r="AH67" s="58"/>
      <c r="AI67" s="58"/>
    </row>
    <row r="68" spans="1:35" ht="14" customHeight="1" x14ac:dyDescent="0.15">
      <c r="A68" s="31"/>
      <c r="B68" s="36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</row>
    <row r="69" spans="1:35" ht="14" customHeight="1" x14ac:dyDescent="0.15">
      <c r="A69" s="31"/>
      <c r="B69" s="36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</row>
    <row r="70" spans="1:35" ht="14" customHeight="1" x14ac:dyDescent="0.15">
      <c r="A70" s="31"/>
      <c r="B70" s="36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</row>
    <row r="71" spans="1:35" ht="14" customHeight="1" x14ac:dyDescent="0.15">
      <c r="A71" s="31"/>
      <c r="B71" s="36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</row>
    <row r="72" spans="1:35" ht="14" customHeight="1" x14ac:dyDescent="0.15">
      <c r="A72" s="31"/>
      <c r="B72" s="36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</row>
    <row r="73" spans="1:35" ht="14" customHeight="1" x14ac:dyDescent="0.15">
      <c r="A73" s="31"/>
      <c r="B73" s="36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  <c r="AD73" s="58"/>
      <c r="AE73" s="58"/>
      <c r="AF73" s="58"/>
      <c r="AG73" s="58"/>
      <c r="AH73" s="58"/>
      <c r="AI73" s="58"/>
    </row>
    <row r="74" spans="1:35" ht="14" customHeight="1" x14ac:dyDescent="0.15">
      <c r="A74" s="31"/>
      <c r="B74" s="36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  <c r="AD74" s="58"/>
      <c r="AE74" s="58"/>
      <c r="AF74" s="58"/>
      <c r="AG74" s="58"/>
      <c r="AH74" s="58"/>
      <c r="AI74" s="58"/>
    </row>
    <row r="75" spans="1:35" ht="14" customHeight="1" x14ac:dyDescent="0.15">
      <c r="A75" s="31"/>
      <c r="B75" s="36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</row>
    <row r="76" spans="1:35" ht="14" customHeight="1" x14ac:dyDescent="0.15">
      <c r="A76" s="33"/>
      <c r="B76" s="36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</row>
    <row r="77" spans="1:35" ht="14.5" customHeight="1" x14ac:dyDescent="0.2">
      <c r="A77" s="37"/>
      <c r="B77" s="36"/>
    </row>
    <row r="78" spans="1:35" ht="14.5" customHeight="1" x14ac:dyDescent="0.2">
      <c r="A78" s="37"/>
      <c r="B78" s="36"/>
    </row>
    <row r="79" spans="1:35" ht="14" customHeight="1" x14ac:dyDescent="0.15">
      <c r="A79" s="31"/>
      <c r="B79" s="36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  <c r="AB79" s="58"/>
      <c r="AC79" s="58"/>
      <c r="AD79" s="58"/>
      <c r="AE79" s="58"/>
      <c r="AF79" s="58"/>
      <c r="AG79" s="58"/>
      <c r="AH79" s="58"/>
      <c r="AI79" s="58"/>
    </row>
    <row r="80" spans="1:35" ht="14" customHeight="1" x14ac:dyDescent="0.15">
      <c r="A80" s="31"/>
      <c r="B80" s="36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</row>
    <row r="81" spans="1:35" ht="14" customHeight="1" x14ac:dyDescent="0.15">
      <c r="A81" s="31"/>
      <c r="B81" s="36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</row>
    <row r="82" spans="1:35" ht="14" customHeight="1" x14ac:dyDescent="0.15">
      <c r="A82" s="31"/>
      <c r="B82" s="32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  <c r="AD82" s="58"/>
      <c r="AE82" s="58"/>
      <c r="AF82" s="58"/>
      <c r="AG82" s="58"/>
      <c r="AH82" s="58"/>
      <c r="AI82" s="58"/>
    </row>
    <row r="83" spans="1:35" ht="14" customHeight="1" x14ac:dyDescent="0.15">
      <c r="A83" s="31"/>
      <c r="B83" s="32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  <c r="AB83" s="58"/>
      <c r="AC83" s="58"/>
      <c r="AD83" s="58"/>
      <c r="AE83" s="58"/>
      <c r="AF83" s="58"/>
      <c r="AG83" s="58"/>
      <c r="AH83" s="58"/>
      <c r="AI83" s="58"/>
    </row>
    <row r="84" spans="1:35" ht="14" customHeight="1" x14ac:dyDescent="0.15">
      <c r="A84" s="31"/>
      <c r="B84" s="32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</row>
    <row r="85" spans="1:35" ht="14" customHeight="1" x14ac:dyDescent="0.15">
      <c r="A85" s="31"/>
      <c r="B85" s="32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  <c r="AC85" s="58"/>
      <c r="AD85" s="58"/>
      <c r="AE85" s="58"/>
      <c r="AF85" s="58"/>
      <c r="AG85" s="58"/>
      <c r="AH85" s="58"/>
      <c r="AI85" s="58"/>
    </row>
    <row r="86" spans="1:35" ht="14" customHeight="1" x14ac:dyDescent="0.15">
      <c r="A86" s="31"/>
      <c r="B86" s="32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</row>
    <row r="87" spans="1:35" ht="14" customHeight="1" x14ac:dyDescent="0.15">
      <c r="A87" s="31"/>
      <c r="B87" s="32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  <c r="AC87" s="58"/>
      <c r="AD87" s="58"/>
      <c r="AE87" s="58"/>
      <c r="AF87" s="58"/>
      <c r="AG87" s="58"/>
      <c r="AH87" s="58"/>
      <c r="AI87" s="58"/>
    </row>
    <row r="88" spans="1:35" ht="14" customHeight="1" x14ac:dyDescent="0.15">
      <c r="A88" s="31"/>
      <c r="B88" s="32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  <c r="AB88" s="58"/>
      <c r="AC88" s="58"/>
      <c r="AD88" s="58"/>
      <c r="AE88" s="58"/>
      <c r="AF88" s="58"/>
      <c r="AG88" s="58"/>
      <c r="AH88" s="58"/>
      <c r="AI88" s="58"/>
    </row>
    <row r="89" spans="1:35" ht="14" customHeight="1" x14ac:dyDescent="0.15">
      <c r="A89" s="31"/>
      <c r="B89" s="32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  <c r="AD89" s="58"/>
      <c r="AE89" s="58"/>
      <c r="AF89" s="58"/>
      <c r="AG89" s="58"/>
      <c r="AH89" s="58"/>
      <c r="AI89" s="58"/>
    </row>
    <row r="90" spans="1:35" ht="14.5" customHeight="1" x14ac:dyDescent="0.2">
      <c r="A90" s="38"/>
      <c r="B90" s="32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  <c r="AB90" s="58"/>
      <c r="AC90" s="58"/>
      <c r="AD90" s="58"/>
      <c r="AE90" s="58"/>
      <c r="AF90" s="58"/>
      <c r="AG90" s="58"/>
      <c r="AH90" s="58"/>
      <c r="AI90" s="58"/>
    </row>
    <row r="91" spans="1:35" ht="14.5" customHeight="1" x14ac:dyDescent="0.2">
      <c r="A91" s="35"/>
      <c r="B91" s="32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</row>
    <row r="92" spans="1:35" ht="14" customHeight="1" x14ac:dyDescent="0.15">
      <c r="A92" s="31"/>
      <c r="B92" s="32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</row>
    <row r="93" spans="1:35" ht="14" customHeight="1" x14ac:dyDescent="0.15">
      <c r="A93" s="31"/>
      <c r="B93" s="32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  <c r="AB93" s="58"/>
      <c r="AC93" s="58"/>
      <c r="AD93" s="58"/>
      <c r="AE93" s="58"/>
      <c r="AF93" s="58"/>
      <c r="AG93" s="58"/>
      <c r="AH93" s="58"/>
      <c r="AI93" s="58"/>
    </row>
    <row r="94" spans="1:35" ht="14" customHeight="1" x14ac:dyDescent="0.15">
      <c r="A94" s="31"/>
      <c r="B94" s="32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  <c r="AB94" s="58"/>
      <c r="AC94" s="58"/>
      <c r="AD94" s="58"/>
      <c r="AE94" s="58"/>
      <c r="AF94" s="58"/>
      <c r="AG94" s="58"/>
      <c r="AH94" s="58"/>
      <c r="AI94" s="58"/>
    </row>
    <row r="95" spans="1:35" ht="14.5" customHeight="1" x14ac:dyDescent="0.2">
      <c r="A95" s="37"/>
    </row>
    <row r="96" spans="1:35" ht="14" customHeight="1" x14ac:dyDescent="0.15">
      <c r="A96" s="31"/>
      <c r="B96" s="32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  <c r="AB96" s="58"/>
      <c r="AC96" s="58"/>
      <c r="AD96" s="58"/>
      <c r="AE96" s="58"/>
      <c r="AF96" s="58"/>
      <c r="AG96" s="58"/>
      <c r="AH96" s="58"/>
      <c r="AI96" s="58"/>
    </row>
    <row r="97" spans="1:35" ht="14" customHeight="1" x14ac:dyDescent="0.15">
      <c r="A97" s="31"/>
      <c r="B97" s="32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  <c r="AA97" s="58"/>
      <c r="AB97" s="58"/>
      <c r="AC97" s="58"/>
      <c r="AD97" s="58"/>
      <c r="AE97" s="58"/>
      <c r="AF97" s="58"/>
      <c r="AG97" s="58"/>
      <c r="AH97" s="58"/>
      <c r="AI97" s="58"/>
    </row>
    <row r="98" spans="1:35" ht="14" customHeight="1" x14ac:dyDescent="0.15">
      <c r="A98" s="31"/>
      <c r="B98" s="32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  <c r="AA98" s="58"/>
      <c r="AB98" s="58"/>
      <c r="AC98" s="58"/>
      <c r="AD98" s="58"/>
      <c r="AE98" s="58"/>
      <c r="AF98" s="58"/>
      <c r="AG98" s="58"/>
      <c r="AH98" s="58"/>
      <c r="AI98" s="58"/>
    </row>
    <row r="99" spans="1:35" ht="14" customHeight="1" x14ac:dyDescent="0.15">
      <c r="A99" s="31"/>
      <c r="B99" s="32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  <c r="AA99" s="58"/>
      <c r="AB99" s="58"/>
      <c r="AC99" s="58"/>
      <c r="AD99" s="58"/>
      <c r="AE99" s="58"/>
      <c r="AF99" s="58"/>
      <c r="AG99" s="58"/>
      <c r="AH99" s="58"/>
      <c r="AI99" s="58"/>
    </row>
    <row r="100" spans="1:35" ht="14" customHeight="1" x14ac:dyDescent="0.15">
      <c r="A100" s="31"/>
      <c r="B100" s="32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  <c r="AB100" s="58"/>
      <c r="AC100" s="58"/>
      <c r="AD100" s="58"/>
      <c r="AE100" s="58"/>
      <c r="AF100" s="58"/>
      <c r="AG100" s="58"/>
      <c r="AH100" s="58"/>
      <c r="AI100" s="58"/>
    </row>
    <row r="101" spans="1:35" ht="14" customHeight="1" x14ac:dyDescent="0.15">
      <c r="A101" s="31"/>
      <c r="B101" s="32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  <c r="AA101" s="58"/>
      <c r="AB101" s="58"/>
      <c r="AC101" s="58"/>
      <c r="AD101" s="58"/>
      <c r="AE101" s="58"/>
      <c r="AF101" s="58"/>
      <c r="AG101" s="58"/>
      <c r="AH101" s="58"/>
      <c r="AI101" s="58"/>
    </row>
    <row r="102" spans="1:35" ht="14" customHeight="1" x14ac:dyDescent="0.15">
      <c r="A102" s="31"/>
      <c r="B102" s="32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</row>
    <row r="103" spans="1:35" ht="14" customHeight="1" x14ac:dyDescent="0.15">
      <c r="A103" s="31"/>
      <c r="B103" s="32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  <c r="AA103" s="58"/>
      <c r="AB103" s="58"/>
      <c r="AC103" s="58"/>
      <c r="AD103" s="58"/>
      <c r="AE103" s="58"/>
      <c r="AF103" s="58"/>
      <c r="AG103" s="58"/>
      <c r="AH103" s="58"/>
      <c r="AI103" s="58"/>
    </row>
    <row r="104" spans="1:35" ht="14" customHeight="1" x14ac:dyDescent="0.15">
      <c r="A104" s="31"/>
      <c r="B104" s="32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</row>
    <row r="105" spans="1:35" ht="14" customHeight="1" x14ac:dyDescent="0.15">
      <c r="A105" s="31"/>
      <c r="B105" s="32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  <c r="AH105" s="58"/>
      <c r="AI105" s="58"/>
    </row>
    <row r="106" spans="1:35" ht="14" customHeight="1" x14ac:dyDescent="0.15">
      <c r="A106" s="31"/>
      <c r="B106" s="32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</row>
    <row r="107" spans="1:35" ht="14" customHeight="1" x14ac:dyDescent="0.15">
      <c r="A107" s="33"/>
      <c r="B107" s="34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</row>
    <row r="108" spans="1:35" ht="14.5" customHeight="1" x14ac:dyDescent="0.2">
      <c r="A108" s="29"/>
    </row>
    <row r="109" spans="1:35" ht="14" customHeight="1" x14ac:dyDescent="0.15">
      <c r="A109" s="39"/>
      <c r="B109" s="40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</row>
    <row r="110" spans="1:35" ht="14" customHeight="1" x14ac:dyDescent="0.15">
      <c r="A110" s="39"/>
      <c r="B110" s="40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</row>
    <row r="111" spans="1:35" ht="14" customHeight="1" x14ac:dyDescent="0.15">
      <c r="A111" s="39"/>
      <c r="B111" s="43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</row>
    <row r="112" spans="1:35" ht="14" customHeight="1" x14ac:dyDescent="0.15">
      <c r="A112" s="39"/>
      <c r="B112" s="43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</row>
    <row r="113" spans="1:35" ht="14.5" customHeight="1" x14ac:dyDescent="0.2">
      <c r="A113" s="29"/>
    </row>
    <row r="114" spans="1:35" ht="14" customHeight="1" x14ac:dyDescent="0.15">
      <c r="A114" s="31"/>
      <c r="B114" s="32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</row>
    <row r="115" spans="1:35" ht="14" customHeight="1" x14ac:dyDescent="0.15">
      <c r="A115" s="31"/>
      <c r="B115" s="32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</row>
    <row r="116" spans="1:35" ht="14" customHeight="1" x14ac:dyDescent="0.15">
      <c r="A116" s="31"/>
      <c r="B116" s="32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</row>
    <row r="117" spans="1:35" ht="14" customHeight="1" x14ac:dyDescent="0.15">
      <c r="A117" s="31"/>
      <c r="B117" s="32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</row>
    <row r="118" spans="1:35" ht="14" customHeight="1" x14ac:dyDescent="0.15">
      <c r="A118" s="31"/>
      <c r="B118" s="32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  <c r="AA118" s="58"/>
      <c r="AB118" s="58"/>
      <c r="AC118" s="58"/>
      <c r="AD118" s="58"/>
      <c r="AE118" s="58"/>
      <c r="AF118" s="58"/>
      <c r="AG118" s="58"/>
      <c r="AH118" s="58"/>
      <c r="AI118" s="58"/>
    </row>
    <row r="119" spans="1:35" ht="14" customHeight="1" x14ac:dyDescent="0.15">
      <c r="A119" s="31"/>
      <c r="B119" s="32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  <c r="AA119" s="58"/>
      <c r="AB119" s="58"/>
      <c r="AC119" s="58"/>
      <c r="AD119" s="58"/>
      <c r="AE119" s="58"/>
      <c r="AF119" s="58"/>
      <c r="AG119" s="58"/>
      <c r="AH119" s="58"/>
      <c r="AI119" s="58"/>
    </row>
    <row r="120" spans="1:35" ht="14" customHeight="1" x14ac:dyDescent="0.15">
      <c r="A120" s="31"/>
      <c r="B120" s="32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  <c r="AA120" s="58"/>
      <c r="AB120" s="58"/>
      <c r="AC120" s="58"/>
      <c r="AD120" s="58"/>
      <c r="AE120" s="58"/>
      <c r="AF120" s="58"/>
      <c r="AG120" s="58"/>
      <c r="AH120" s="58"/>
      <c r="AI120" s="58"/>
    </row>
    <row r="121" spans="1:35" ht="14" customHeight="1" x14ac:dyDescent="0.15">
      <c r="A121" s="31"/>
      <c r="B121" s="32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</row>
    <row r="122" spans="1:35" ht="14" customHeight="1" x14ac:dyDescent="0.15">
      <c r="A122" s="31"/>
      <c r="B122" s="32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</row>
    <row r="123" spans="1:35" ht="14" customHeight="1" x14ac:dyDescent="0.15">
      <c r="A123" s="31"/>
      <c r="B123" s="32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</row>
    <row r="124" spans="1:35" ht="14" customHeight="1" x14ac:dyDescent="0.15">
      <c r="A124" s="33"/>
      <c r="B124" s="34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</row>
    <row r="125" spans="1:35" ht="14.5" customHeight="1" x14ac:dyDescent="0.2">
      <c r="A125" s="29"/>
    </row>
    <row r="126" spans="1:35" ht="14.5" customHeight="1" x14ac:dyDescent="0.2">
      <c r="A126" s="35"/>
      <c r="B126" s="32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</row>
    <row r="127" spans="1:35" ht="14" customHeight="1" x14ac:dyDescent="0.15">
      <c r="A127" s="31"/>
      <c r="B127" s="32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</row>
    <row r="128" spans="1:35" ht="14" customHeight="1" x14ac:dyDescent="0.15">
      <c r="A128" s="31"/>
      <c r="B128" s="32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</row>
    <row r="129" spans="1:35" ht="14" customHeight="1" x14ac:dyDescent="0.15">
      <c r="A129" s="31"/>
      <c r="B129" s="32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</row>
    <row r="130" spans="1:35" ht="14" customHeight="1" x14ac:dyDescent="0.15">
      <c r="A130" s="31"/>
      <c r="B130" s="32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</row>
    <row r="131" spans="1:35" ht="14" customHeight="1" x14ac:dyDescent="0.15">
      <c r="A131" s="31"/>
      <c r="B131" s="32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</row>
    <row r="132" spans="1:35" ht="14" customHeight="1" x14ac:dyDescent="0.15">
      <c r="A132" s="31"/>
      <c r="B132" s="32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</row>
    <row r="133" spans="1:35" ht="14" customHeight="1" x14ac:dyDescent="0.15">
      <c r="A133" s="31"/>
      <c r="B133" s="32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</row>
    <row r="134" spans="1:35" ht="14" customHeight="1" x14ac:dyDescent="0.15">
      <c r="A134" s="31"/>
      <c r="B134" s="32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</row>
    <row r="135" spans="1:35" ht="14" customHeight="1" x14ac:dyDescent="0.15">
      <c r="A135" s="31"/>
      <c r="B135" s="32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</row>
    <row r="136" spans="1:35" ht="14" customHeight="1" x14ac:dyDescent="0.15">
      <c r="A136" s="31"/>
      <c r="B136" s="32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</row>
    <row r="137" spans="1:35" ht="14" customHeight="1" x14ac:dyDescent="0.15">
      <c r="A137" s="31"/>
      <c r="B137" s="32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</row>
    <row r="138" spans="1:35" ht="14" customHeight="1" x14ac:dyDescent="0.15">
      <c r="A138" s="31"/>
      <c r="B138" s="32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</row>
    <row r="139" spans="1:35" ht="14" customHeight="1" x14ac:dyDescent="0.15">
      <c r="A139" s="31"/>
      <c r="B139" s="32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</row>
    <row r="140" spans="1:35" ht="14" customHeight="1" x14ac:dyDescent="0.15">
      <c r="A140" s="31"/>
      <c r="B140" s="32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</row>
    <row r="141" spans="1:35" ht="14" customHeight="1" x14ac:dyDescent="0.15">
      <c r="A141" s="31"/>
      <c r="B141" s="32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</row>
    <row r="142" spans="1:35" ht="14" customHeight="1" x14ac:dyDescent="0.15">
      <c r="A142" s="31"/>
      <c r="B142" s="32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</row>
    <row r="143" spans="1:35" ht="14" customHeight="1" x14ac:dyDescent="0.15">
      <c r="A143" s="31"/>
      <c r="B143" s="32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</row>
    <row r="144" spans="1:35" ht="14" customHeight="1" x14ac:dyDescent="0.15">
      <c r="A144" s="31"/>
      <c r="B144" s="32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</row>
    <row r="145" spans="1:35" ht="14" customHeight="1" x14ac:dyDescent="0.15">
      <c r="A145" s="31"/>
      <c r="B145" s="32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</row>
    <row r="146" spans="1:35" ht="14" customHeight="1" x14ac:dyDescent="0.15">
      <c r="A146" s="33"/>
      <c r="B146" s="34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</row>
    <row r="147" spans="1:35" ht="14" customHeight="1" x14ac:dyDescent="0.15">
      <c r="A147" s="31"/>
      <c r="B147" s="32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</row>
    <row r="148" spans="1:35" ht="14" customHeight="1" x14ac:dyDescent="0.15">
      <c r="A148" s="33"/>
      <c r="B148" s="34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</row>
    <row r="149" spans="1:35" ht="14" customHeight="1" x14ac:dyDescent="0.15"/>
    <row r="150" spans="1:35" ht="14" customHeight="1" x14ac:dyDescent="0.15">
      <c r="C150" s="60"/>
      <c r="D150" s="60"/>
      <c r="E150" s="60"/>
      <c r="F150" s="60"/>
      <c r="G150" s="60"/>
      <c r="H150" s="60"/>
      <c r="I150" s="60"/>
      <c r="J150" s="60"/>
      <c r="K150" s="60"/>
      <c r="L150" s="60"/>
    </row>
    <row r="151" spans="1:35" ht="14" customHeight="1" x14ac:dyDescent="0.15">
      <c r="C151" s="60"/>
      <c r="D151" s="60"/>
      <c r="E151" s="60"/>
      <c r="F151" s="60"/>
      <c r="G151" s="60"/>
      <c r="H151" s="60"/>
      <c r="I151" s="60"/>
      <c r="J151" s="60"/>
      <c r="K151" s="60"/>
      <c r="L151" s="60"/>
    </row>
    <row r="152" spans="1:35" ht="14" customHeight="1" x14ac:dyDescent="0.15"/>
    <row r="153" spans="1:35" ht="14" customHeight="1" x14ac:dyDescent="0.15"/>
    <row r="154" spans="1:35" ht="14" customHeight="1" x14ac:dyDescent="0.15"/>
    <row r="155" spans="1:35" ht="14" customHeight="1" x14ac:dyDescent="0.15"/>
    <row r="156" spans="1:35" ht="14" customHeight="1" x14ac:dyDescent="0.15"/>
    <row r="157" spans="1:35" ht="14" customHeight="1" x14ac:dyDescent="0.15"/>
    <row r="158" spans="1:35" ht="14" customHeight="1" x14ac:dyDescent="0.15"/>
    <row r="159" spans="1:35" ht="14" customHeight="1" x14ac:dyDescent="0.15"/>
    <row r="160" spans="1:35" ht="14" customHeight="1" x14ac:dyDescent="0.15"/>
    <row r="161" ht="14" customHeight="1" x14ac:dyDescent="0.15"/>
    <row r="162" ht="14" customHeight="1" x14ac:dyDescent="0.15"/>
    <row r="163" ht="14" customHeight="1" x14ac:dyDescent="0.15"/>
    <row r="164" ht="14" customHeight="1" x14ac:dyDescent="0.15"/>
    <row r="165" ht="14" customHeight="1" x14ac:dyDescent="0.15"/>
    <row r="166" ht="14" customHeight="1" x14ac:dyDescent="0.15"/>
    <row r="167" ht="14" customHeight="1" x14ac:dyDescent="0.15"/>
    <row r="168" ht="14" customHeight="1" x14ac:dyDescent="0.15"/>
    <row r="169" ht="14" customHeight="1" x14ac:dyDescent="0.15"/>
    <row r="170" ht="14" customHeight="1" x14ac:dyDescent="0.15"/>
    <row r="171" ht="14" customHeight="1" x14ac:dyDescent="0.15"/>
    <row r="172" ht="14" customHeight="1" x14ac:dyDescent="0.15"/>
    <row r="173" ht="14" customHeight="1" x14ac:dyDescent="0.15"/>
    <row r="174" ht="14" customHeight="1" x14ac:dyDescent="0.15"/>
    <row r="175" ht="14" customHeight="1" x14ac:dyDescent="0.15"/>
    <row r="176" ht="14" customHeight="1" x14ac:dyDescent="0.15"/>
    <row r="177" ht="14" customHeight="1" x14ac:dyDescent="0.15"/>
    <row r="178" ht="14" customHeight="1" x14ac:dyDescent="0.15"/>
    <row r="179" ht="14" customHeight="1" x14ac:dyDescent="0.15"/>
    <row r="180" ht="14" customHeight="1" x14ac:dyDescent="0.15"/>
    <row r="181" ht="14" customHeight="1" x14ac:dyDescent="0.15"/>
    <row r="182" ht="14" customHeight="1" x14ac:dyDescent="0.15"/>
    <row r="183" ht="14" customHeight="1" x14ac:dyDescent="0.15"/>
    <row r="184" ht="14" customHeight="1" x14ac:dyDescent="0.15"/>
    <row r="185" ht="14" customHeight="1" x14ac:dyDescent="0.15"/>
    <row r="186" ht="14" customHeight="1" x14ac:dyDescent="0.15"/>
    <row r="187" ht="14" customHeight="1" x14ac:dyDescent="0.15"/>
    <row r="188" ht="14" customHeight="1" x14ac:dyDescent="0.15"/>
    <row r="189" ht="14" customHeight="1" x14ac:dyDescent="0.15"/>
    <row r="190" ht="14" customHeight="1" x14ac:dyDescent="0.15"/>
    <row r="191" ht="14" customHeight="1" x14ac:dyDescent="0.15"/>
    <row r="192" ht="14" customHeight="1" x14ac:dyDescent="0.15"/>
    <row r="193" ht="14" customHeight="1" x14ac:dyDescent="0.15"/>
    <row r="194" ht="14" customHeight="1" x14ac:dyDescent="0.15"/>
    <row r="195" ht="14" customHeight="1" x14ac:dyDescent="0.15"/>
    <row r="196" ht="14" customHeight="1" x14ac:dyDescent="0.15"/>
    <row r="197" ht="14" customHeight="1" x14ac:dyDescent="0.15"/>
    <row r="198" ht="14" customHeight="1" x14ac:dyDescent="0.15"/>
    <row r="199" ht="14" customHeight="1" x14ac:dyDescent="0.15"/>
    <row r="200" ht="14" customHeight="1" x14ac:dyDescent="0.15"/>
    <row r="201" ht="14" customHeight="1" x14ac:dyDescent="0.15"/>
    <row r="202" ht="14" customHeight="1" x14ac:dyDescent="0.15"/>
    <row r="203" ht="14" customHeight="1" x14ac:dyDescent="0.15"/>
    <row r="204" ht="14" customHeight="1" x14ac:dyDescent="0.15"/>
    <row r="205" ht="14" customHeight="1" x14ac:dyDescent="0.15"/>
    <row r="206" ht="14" customHeight="1" x14ac:dyDescent="0.15"/>
    <row r="207" ht="14" customHeight="1" x14ac:dyDescent="0.15"/>
    <row r="208" ht="14" customHeight="1" x14ac:dyDescent="0.15"/>
    <row r="209" ht="14" customHeight="1" x14ac:dyDescent="0.15"/>
    <row r="210" ht="14" customHeight="1" x14ac:dyDescent="0.15"/>
    <row r="211" ht="14" customHeight="1" x14ac:dyDescent="0.15"/>
    <row r="212" ht="14" customHeight="1" x14ac:dyDescent="0.15"/>
    <row r="213" ht="14" customHeight="1" x14ac:dyDescent="0.15"/>
    <row r="214" ht="14" customHeight="1" x14ac:dyDescent="0.15"/>
    <row r="215" ht="14" customHeight="1" x14ac:dyDescent="0.15"/>
    <row r="216" ht="14" customHeight="1" x14ac:dyDescent="0.15"/>
    <row r="217" ht="14" customHeight="1" x14ac:dyDescent="0.15"/>
    <row r="218" ht="14" customHeight="1" x14ac:dyDescent="0.15"/>
    <row r="219" ht="14" customHeight="1" x14ac:dyDescent="0.15"/>
    <row r="220" ht="14" customHeight="1" x14ac:dyDescent="0.15"/>
    <row r="221" ht="14" customHeight="1" x14ac:dyDescent="0.15"/>
    <row r="222" ht="14" customHeight="1" x14ac:dyDescent="0.15"/>
    <row r="223" ht="14" customHeight="1" x14ac:dyDescent="0.15"/>
    <row r="224" ht="14" customHeight="1" x14ac:dyDescent="0.15"/>
    <row r="225" ht="14" customHeight="1" x14ac:dyDescent="0.15"/>
    <row r="226" ht="14" customHeight="1" x14ac:dyDescent="0.15"/>
    <row r="227" ht="14" customHeight="1" x14ac:dyDescent="0.15"/>
    <row r="228" ht="14" customHeight="1" x14ac:dyDescent="0.15"/>
    <row r="229" ht="14" customHeight="1" x14ac:dyDescent="0.15"/>
    <row r="230" ht="14" customHeight="1" x14ac:dyDescent="0.15"/>
    <row r="231" ht="14" customHeight="1" x14ac:dyDescent="0.15"/>
    <row r="232" ht="14" customHeight="1" x14ac:dyDescent="0.15"/>
    <row r="233" ht="14" customHeight="1" x14ac:dyDescent="0.15"/>
    <row r="234" ht="14" customHeight="1" x14ac:dyDescent="0.15"/>
    <row r="235" ht="14" customHeight="1" x14ac:dyDescent="0.15"/>
    <row r="236" ht="14" customHeight="1" x14ac:dyDescent="0.15"/>
    <row r="237" ht="14" customHeight="1" x14ac:dyDescent="0.15"/>
    <row r="238" ht="14" customHeight="1" x14ac:dyDescent="0.15"/>
    <row r="239" ht="14" customHeight="1" x14ac:dyDescent="0.15"/>
    <row r="240" ht="14" customHeight="1" x14ac:dyDescent="0.15"/>
    <row r="241" ht="14" customHeight="1" x14ac:dyDescent="0.15"/>
    <row r="242" ht="14" customHeight="1" x14ac:dyDescent="0.15"/>
    <row r="243" ht="14" customHeight="1" x14ac:dyDescent="0.15"/>
    <row r="244" ht="14" customHeight="1" x14ac:dyDescent="0.15"/>
    <row r="245" ht="14" customHeight="1" x14ac:dyDescent="0.15"/>
    <row r="246" ht="14" customHeight="1" x14ac:dyDescent="0.15"/>
    <row r="247" ht="14" customHeight="1" x14ac:dyDescent="0.15"/>
    <row r="248" ht="14" customHeight="1" x14ac:dyDescent="0.15"/>
    <row r="249" ht="14" customHeight="1" x14ac:dyDescent="0.15"/>
    <row r="250" ht="14" customHeight="1" x14ac:dyDescent="0.15"/>
    <row r="251" ht="14" customHeight="1" x14ac:dyDescent="0.15"/>
    <row r="252" ht="14" customHeight="1" x14ac:dyDescent="0.15"/>
    <row r="253" ht="14" customHeight="1" x14ac:dyDescent="0.15"/>
    <row r="254" ht="14" customHeight="1" x14ac:dyDescent="0.15"/>
    <row r="255" ht="14" customHeight="1" x14ac:dyDescent="0.15"/>
    <row r="256" ht="14" customHeight="1" x14ac:dyDescent="0.15"/>
    <row r="257" ht="14" customHeight="1" x14ac:dyDescent="0.15"/>
    <row r="258" ht="14" customHeight="1" x14ac:dyDescent="0.15"/>
    <row r="259" ht="14" customHeight="1" x14ac:dyDescent="0.15"/>
    <row r="260" ht="14" customHeight="1" x14ac:dyDescent="0.15"/>
    <row r="261" ht="14" customHeight="1" x14ac:dyDescent="0.15"/>
    <row r="262" ht="14" customHeight="1" x14ac:dyDescent="0.15"/>
    <row r="263" ht="14" customHeight="1" x14ac:dyDescent="0.15"/>
    <row r="264" ht="14" customHeight="1" x14ac:dyDescent="0.15"/>
    <row r="265" ht="14" customHeight="1" x14ac:dyDescent="0.15"/>
    <row r="266" ht="14" customHeight="1" x14ac:dyDescent="0.15"/>
    <row r="267" ht="14" customHeight="1" x14ac:dyDescent="0.15"/>
    <row r="268" ht="14" customHeight="1" x14ac:dyDescent="0.15"/>
    <row r="269" ht="14" customHeight="1" x14ac:dyDescent="0.15"/>
    <row r="270" ht="14" customHeight="1" x14ac:dyDescent="0.15"/>
    <row r="271" ht="14" customHeight="1" x14ac:dyDescent="0.15"/>
    <row r="272" ht="14" customHeight="1" x14ac:dyDescent="0.15"/>
    <row r="273" ht="14" customHeight="1" x14ac:dyDescent="0.15"/>
    <row r="274" ht="14" customHeight="1" x14ac:dyDescent="0.15"/>
    <row r="275" ht="14" customHeight="1" x14ac:dyDescent="0.15"/>
    <row r="276" ht="14" customHeight="1" x14ac:dyDescent="0.15"/>
    <row r="277" ht="14" customHeight="1" x14ac:dyDescent="0.15"/>
    <row r="278" ht="14" customHeight="1" x14ac:dyDescent="0.15"/>
    <row r="279" ht="14" customHeight="1" x14ac:dyDescent="0.15"/>
    <row r="280" ht="14" customHeight="1" x14ac:dyDescent="0.15"/>
    <row r="281" ht="14" customHeight="1" x14ac:dyDescent="0.15"/>
    <row r="282" ht="14" customHeight="1" x14ac:dyDescent="0.15"/>
    <row r="283" ht="14" customHeight="1" x14ac:dyDescent="0.15"/>
    <row r="284" ht="14" customHeight="1" x14ac:dyDescent="0.15"/>
    <row r="285" ht="14" customHeight="1" x14ac:dyDescent="0.15"/>
    <row r="286" ht="14" customHeight="1" x14ac:dyDescent="0.15"/>
    <row r="287" ht="14" customHeight="1" x14ac:dyDescent="0.15"/>
    <row r="288" ht="14" customHeight="1" x14ac:dyDescent="0.15"/>
    <row r="289" ht="14" customHeight="1" x14ac:dyDescent="0.15"/>
    <row r="290" ht="14" customHeight="1" x14ac:dyDescent="0.15"/>
    <row r="291" ht="14" customHeight="1" x14ac:dyDescent="0.15"/>
    <row r="292" ht="14" customHeight="1" x14ac:dyDescent="0.15"/>
    <row r="293" ht="14" customHeight="1" x14ac:dyDescent="0.15"/>
    <row r="294" ht="14" customHeight="1" x14ac:dyDescent="0.15"/>
    <row r="295" ht="14" customHeight="1" x14ac:dyDescent="0.15"/>
    <row r="296" ht="14" customHeight="1" x14ac:dyDescent="0.15"/>
    <row r="297" ht="14" customHeight="1" x14ac:dyDescent="0.15"/>
    <row r="298" ht="14" customHeight="1" x14ac:dyDescent="0.15"/>
    <row r="299" ht="14" customHeight="1" x14ac:dyDescent="0.15"/>
    <row r="300" ht="14" customHeight="1" x14ac:dyDescent="0.15"/>
    <row r="301" ht="14" customHeight="1" x14ac:dyDescent="0.15"/>
    <row r="302" ht="14" customHeight="1" x14ac:dyDescent="0.15"/>
    <row r="303" ht="14" customHeight="1" x14ac:dyDescent="0.15"/>
    <row r="304" ht="14" customHeight="1" x14ac:dyDescent="0.15"/>
    <row r="305" ht="14" customHeight="1" x14ac:dyDescent="0.15"/>
    <row r="306" ht="14" customHeight="1" x14ac:dyDescent="0.15"/>
    <row r="307" ht="14" customHeight="1" x14ac:dyDescent="0.15"/>
    <row r="308" ht="14" customHeight="1" x14ac:dyDescent="0.15"/>
    <row r="309" ht="14" customHeight="1" x14ac:dyDescent="0.15"/>
    <row r="310" ht="14" customHeight="1" x14ac:dyDescent="0.15"/>
    <row r="311" ht="14" customHeight="1" x14ac:dyDescent="0.15"/>
    <row r="312" ht="14" customHeight="1" x14ac:dyDescent="0.15"/>
    <row r="313" ht="14" customHeight="1" x14ac:dyDescent="0.15"/>
    <row r="314" ht="14" customHeight="1" x14ac:dyDescent="0.15"/>
    <row r="315" ht="14" customHeight="1" x14ac:dyDescent="0.15"/>
    <row r="316" ht="14" customHeight="1" x14ac:dyDescent="0.15"/>
    <row r="317" ht="14" customHeight="1" x14ac:dyDescent="0.15"/>
    <row r="318" ht="14" customHeight="1" x14ac:dyDescent="0.15"/>
    <row r="319" ht="14" customHeight="1" x14ac:dyDescent="0.15"/>
    <row r="320" ht="14" customHeight="1" x14ac:dyDescent="0.15"/>
    <row r="321" ht="14" customHeight="1" x14ac:dyDescent="0.15"/>
    <row r="322" ht="14" customHeight="1" x14ac:dyDescent="0.15"/>
    <row r="323" ht="14" customHeight="1" x14ac:dyDescent="0.15"/>
    <row r="324" ht="14" customHeight="1" x14ac:dyDescent="0.15"/>
    <row r="325" ht="14" customHeight="1" x14ac:dyDescent="0.15"/>
    <row r="326" ht="14" customHeight="1" x14ac:dyDescent="0.15"/>
    <row r="327" ht="14" customHeight="1" x14ac:dyDescent="0.15"/>
    <row r="328" ht="14" customHeight="1" x14ac:dyDescent="0.15"/>
    <row r="329" ht="14" customHeight="1" x14ac:dyDescent="0.15"/>
    <row r="330" ht="14" customHeight="1" x14ac:dyDescent="0.15"/>
    <row r="331" ht="14" customHeight="1" x14ac:dyDescent="0.15"/>
    <row r="332" ht="14" customHeight="1" x14ac:dyDescent="0.15"/>
    <row r="333" ht="14" customHeight="1" x14ac:dyDescent="0.15"/>
    <row r="334" ht="14" customHeight="1" x14ac:dyDescent="0.15"/>
    <row r="335" ht="14" customHeight="1" x14ac:dyDescent="0.15"/>
    <row r="336" ht="14" customHeight="1" x14ac:dyDescent="0.15"/>
    <row r="337" ht="14" customHeight="1" x14ac:dyDescent="0.15"/>
    <row r="338" ht="14" customHeight="1" x14ac:dyDescent="0.15"/>
    <row r="339" ht="14" customHeight="1" x14ac:dyDescent="0.15"/>
    <row r="340" ht="14" customHeight="1" x14ac:dyDescent="0.15"/>
    <row r="341" ht="14" customHeight="1" x14ac:dyDescent="0.15"/>
    <row r="342" ht="14" customHeight="1" x14ac:dyDescent="0.15"/>
    <row r="343" ht="14" customHeight="1" x14ac:dyDescent="0.15"/>
    <row r="344" ht="14" customHeight="1" x14ac:dyDescent="0.15"/>
    <row r="345" ht="14" customHeight="1" x14ac:dyDescent="0.15"/>
    <row r="346" ht="14" customHeight="1" x14ac:dyDescent="0.15"/>
    <row r="347" ht="14" customHeight="1" x14ac:dyDescent="0.15"/>
    <row r="348" ht="14" customHeight="1" x14ac:dyDescent="0.15"/>
    <row r="349" ht="14" customHeight="1" x14ac:dyDescent="0.15"/>
    <row r="350" ht="14" customHeight="1" x14ac:dyDescent="0.15"/>
    <row r="351" ht="14" customHeight="1" x14ac:dyDescent="0.15"/>
    <row r="352" ht="14" customHeight="1" x14ac:dyDescent="0.15"/>
    <row r="353" ht="14" customHeight="1" x14ac:dyDescent="0.15"/>
    <row r="354" ht="14" customHeight="1" x14ac:dyDescent="0.15"/>
    <row r="355" ht="14" customHeight="1" x14ac:dyDescent="0.15"/>
    <row r="356" ht="14" customHeight="1" x14ac:dyDescent="0.15"/>
    <row r="357" ht="14" customHeight="1" x14ac:dyDescent="0.15"/>
    <row r="358" ht="14" customHeight="1" x14ac:dyDescent="0.15"/>
    <row r="359" ht="14" customHeight="1" x14ac:dyDescent="0.15"/>
    <row r="360" ht="14" customHeight="1" x14ac:dyDescent="0.15"/>
    <row r="361" ht="14" customHeight="1" x14ac:dyDescent="0.15"/>
    <row r="362" ht="14" customHeight="1" x14ac:dyDescent="0.15"/>
    <row r="363" ht="14" customHeight="1" x14ac:dyDescent="0.15"/>
    <row r="364" ht="14" customHeight="1" x14ac:dyDescent="0.15"/>
    <row r="365" ht="14" customHeight="1" x14ac:dyDescent="0.15"/>
    <row r="366" ht="14" customHeight="1" x14ac:dyDescent="0.15"/>
    <row r="367" ht="14" customHeight="1" x14ac:dyDescent="0.15"/>
    <row r="368" ht="14" customHeight="1" x14ac:dyDescent="0.15"/>
    <row r="369" ht="14" customHeight="1" x14ac:dyDescent="0.15"/>
    <row r="370" ht="14" customHeight="1" x14ac:dyDescent="0.15"/>
    <row r="371" ht="14" customHeight="1" x14ac:dyDescent="0.15"/>
    <row r="372" ht="14" customHeight="1" x14ac:dyDescent="0.15"/>
    <row r="373" ht="14" customHeight="1" x14ac:dyDescent="0.15"/>
    <row r="374" ht="14" customHeight="1" x14ac:dyDescent="0.15"/>
    <row r="375" ht="14" customHeight="1" x14ac:dyDescent="0.15"/>
    <row r="376" ht="14" customHeight="1" x14ac:dyDescent="0.15"/>
    <row r="377" ht="14" customHeight="1" x14ac:dyDescent="0.15"/>
    <row r="378" ht="14" customHeight="1" x14ac:dyDescent="0.15"/>
    <row r="379" ht="14" customHeight="1" x14ac:dyDescent="0.15"/>
    <row r="380" ht="14" customHeight="1" x14ac:dyDescent="0.15"/>
    <row r="381" ht="14" customHeight="1" x14ac:dyDescent="0.15"/>
    <row r="382" ht="14" customHeight="1" x14ac:dyDescent="0.15"/>
    <row r="383" ht="14" customHeight="1" x14ac:dyDescent="0.15"/>
    <row r="384" ht="14" customHeight="1" x14ac:dyDescent="0.15"/>
    <row r="385" ht="14" customHeight="1" x14ac:dyDescent="0.15"/>
    <row r="386" ht="14" customHeight="1" x14ac:dyDescent="0.15"/>
    <row r="387" ht="14" customHeight="1" x14ac:dyDescent="0.15"/>
    <row r="388" ht="14" customHeight="1" x14ac:dyDescent="0.15"/>
    <row r="389" ht="14" customHeight="1" x14ac:dyDescent="0.15"/>
    <row r="390" ht="14" customHeight="1" x14ac:dyDescent="0.15"/>
    <row r="391" ht="14" customHeight="1" x14ac:dyDescent="0.15"/>
    <row r="392" ht="14" customHeight="1" x14ac:dyDescent="0.15"/>
    <row r="393" ht="14" customHeight="1" x14ac:dyDescent="0.15"/>
    <row r="394" ht="14" customHeight="1" x14ac:dyDescent="0.15"/>
    <row r="395" ht="14" customHeight="1" x14ac:dyDescent="0.15"/>
    <row r="396" ht="14" customHeight="1" x14ac:dyDescent="0.15"/>
    <row r="397" ht="14" customHeight="1" x14ac:dyDescent="0.15"/>
    <row r="398" ht="14" customHeight="1" x14ac:dyDescent="0.15"/>
    <row r="399" ht="14" customHeight="1" x14ac:dyDescent="0.15"/>
    <row r="400" ht="14" customHeight="1" x14ac:dyDescent="0.15"/>
    <row r="401" ht="14" customHeight="1" x14ac:dyDescent="0.15"/>
    <row r="402" ht="14" customHeight="1" x14ac:dyDescent="0.15"/>
    <row r="403" ht="14" customHeight="1" x14ac:dyDescent="0.15"/>
    <row r="404" ht="14" customHeight="1" x14ac:dyDescent="0.15"/>
    <row r="405" ht="14" customHeight="1" x14ac:dyDescent="0.15"/>
    <row r="406" ht="14" customHeight="1" x14ac:dyDescent="0.15"/>
    <row r="407" ht="14" customHeight="1" x14ac:dyDescent="0.15"/>
    <row r="408" ht="14" customHeight="1" x14ac:dyDescent="0.15"/>
    <row r="409" ht="14" customHeight="1" x14ac:dyDescent="0.15"/>
    <row r="410" ht="14" customHeight="1" x14ac:dyDescent="0.15"/>
    <row r="411" ht="14" customHeight="1" x14ac:dyDescent="0.15"/>
    <row r="412" ht="14" customHeight="1" x14ac:dyDescent="0.15"/>
    <row r="413" ht="14" customHeight="1" x14ac:dyDescent="0.15"/>
    <row r="414" ht="14" customHeight="1" x14ac:dyDescent="0.15"/>
    <row r="415" ht="14" customHeight="1" x14ac:dyDescent="0.15"/>
    <row r="416" ht="14" customHeight="1" x14ac:dyDescent="0.15"/>
    <row r="417" ht="14" customHeight="1" x14ac:dyDescent="0.15"/>
    <row r="418" ht="14" customHeight="1" x14ac:dyDescent="0.15"/>
    <row r="419" ht="14" customHeight="1" x14ac:dyDescent="0.15"/>
    <row r="420" ht="14" customHeight="1" x14ac:dyDescent="0.15"/>
    <row r="421" ht="14" customHeight="1" x14ac:dyDescent="0.15"/>
    <row r="422" ht="14" customHeight="1" x14ac:dyDescent="0.15"/>
    <row r="423" ht="14" customHeight="1" x14ac:dyDescent="0.15"/>
    <row r="424" ht="14" customHeight="1" x14ac:dyDescent="0.15"/>
    <row r="425" ht="14" customHeight="1" x14ac:dyDescent="0.15"/>
    <row r="426" ht="14" customHeight="1" x14ac:dyDescent="0.15"/>
    <row r="427" ht="14" customHeight="1" x14ac:dyDescent="0.15"/>
    <row r="428" ht="14" customHeight="1" x14ac:dyDescent="0.15"/>
    <row r="429" ht="14" customHeight="1" x14ac:dyDescent="0.15"/>
    <row r="430" ht="14" customHeight="1" x14ac:dyDescent="0.15"/>
    <row r="431" ht="14" customHeight="1" x14ac:dyDescent="0.15"/>
    <row r="432" ht="14" customHeight="1" x14ac:dyDescent="0.15"/>
    <row r="433" ht="14" customHeight="1" x14ac:dyDescent="0.15"/>
    <row r="434" ht="14" customHeight="1" x14ac:dyDescent="0.15"/>
    <row r="435" ht="14" customHeight="1" x14ac:dyDescent="0.15"/>
    <row r="436" ht="14" customHeight="1" x14ac:dyDescent="0.15"/>
    <row r="437" ht="14" customHeight="1" x14ac:dyDescent="0.15"/>
    <row r="438" ht="14" customHeight="1" x14ac:dyDescent="0.15"/>
    <row r="439" ht="14" customHeight="1" x14ac:dyDescent="0.15"/>
    <row r="440" ht="14" customHeight="1" x14ac:dyDescent="0.15"/>
    <row r="441" ht="14" customHeight="1" x14ac:dyDescent="0.15"/>
    <row r="442" ht="14" customHeight="1" x14ac:dyDescent="0.15"/>
    <row r="443" ht="14" customHeight="1" x14ac:dyDescent="0.15"/>
    <row r="444" ht="14" customHeight="1" x14ac:dyDescent="0.15"/>
    <row r="445" ht="14" customHeight="1" x14ac:dyDescent="0.15"/>
    <row r="446" ht="14" customHeight="1" x14ac:dyDescent="0.15"/>
    <row r="447" ht="14" customHeight="1" x14ac:dyDescent="0.15"/>
    <row r="448" ht="14" customHeight="1" x14ac:dyDescent="0.15"/>
    <row r="449" ht="14" customHeight="1" x14ac:dyDescent="0.15"/>
    <row r="450" ht="14" customHeight="1" x14ac:dyDescent="0.15"/>
    <row r="451" ht="14" customHeight="1" x14ac:dyDescent="0.15"/>
    <row r="452" ht="14" customHeight="1" x14ac:dyDescent="0.15"/>
    <row r="453" ht="14" customHeight="1" x14ac:dyDescent="0.15"/>
    <row r="454" ht="14" customHeight="1" x14ac:dyDescent="0.15"/>
    <row r="455" ht="14" customHeight="1" x14ac:dyDescent="0.15"/>
    <row r="456" ht="14" customHeight="1" x14ac:dyDescent="0.15"/>
    <row r="457" ht="14" customHeight="1" x14ac:dyDescent="0.15"/>
    <row r="458" ht="14" customHeight="1" x14ac:dyDescent="0.15"/>
    <row r="459" ht="14" customHeight="1" x14ac:dyDescent="0.15"/>
    <row r="460" ht="14" customHeight="1" x14ac:dyDescent="0.15"/>
    <row r="461" ht="14" customHeight="1" x14ac:dyDescent="0.15"/>
    <row r="462" ht="14" customHeight="1" x14ac:dyDescent="0.15"/>
    <row r="463" ht="14" customHeight="1" x14ac:dyDescent="0.15"/>
    <row r="464" ht="14" customHeight="1" x14ac:dyDescent="0.15"/>
    <row r="465" ht="14" customHeight="1" x14ac:dyDescent="0.15"/>
    <row r="466" ht="14" customHeight="1" x14ac:dyDescent="0.15"/>
    <row r="467" ht="14" customHeight="1" x14ac:dyDescent="0.15"/>
    <row r="468" ht="14" customHeight="1" x14ac:dyDescent="0.15"/>
    <row r="469" ht="14" customHeight="1" x14ac:dyDescent="0.15"/>
    <row r="470" ht="14" customHeight="1" x14ac:dyDescent="0.15"/>
    <row r="471" ht="14" customHeight="1" x14ac:dyDescent="0.15"/>
    <row r="472" ht="14" customHeight="1" x14ac:dyDescent="0.15"/>
    <row r="473" ht="14" customHeight="1" x14ac:dyDescent="0.15"/>
    <row r="474" ht="14" customHeight="1" x14ac:dyDescent="0.15"/>
    <row r="475" ht="14" customHeight="1" x14ac:dyDescent="0.15"/>
    <row r="476" ht="14" customHeight="1" x14ac:dyDescent="0.15"/>
    <row r="477" ht="14" customHeight="1" x14ac:dyDescent="0.15"/>
    <row r="478" ht="14" customHeight="1" x14ac:dyDescent="0.15"/>
    <row r="479" ht="14" customHeight="1" x14ac:dyDescent="0.15"/>
    <row r="480" ht="14" customHeight="1" x14ac:dyDescent="0.15"/>
    <row r="481" ht="14" customHeight="1" x14ac:dyDescent="0.15"/>
    <row r="482" ht="14" customHeight="1" x14ac:dyDescent="0.15"/>
    <row r="483" ht="14" customHeight="1" x14ac:dyDescent="0.15"/>
    <row r="484" ht="14" customHeight="1" x14ac:dyDescent="0.15"/>
    <row r="485" ht="14" customHeight="1" x14ac:dyDescent="0.15"/>
    <row r="486" ht="14" customHeight="1" x14ac:dyDescent="0.15"/>
    <row r="487" ht="14" customHeight="1" x14ac:dyDescent="0.15"/>
    <row r="488" ht="14" customHeight="1" x14ac:dyDescent="0.15"/>
    <row r="489" ht="14" customHeight="1" x14ac:dyDescent="0.15"/>
    <row r="490" ht="14" customHeight="1" x14ac:dyDescent="0.15"/>
    <row r="491" ht="14" customHeight="1" x14ac:dyDescent="0.15"/>
    <row r="492" ht="14" customHeight="1" x14ac:dyDescent="0.15"/>
    <row r="493" ht="14" customHeight="1" x14ac:dyDescent="0.15"/>
    <row r="494" ht="14" customHeight="1" x14ac:dyDescent="0.15"/>
    <row r="495" ht="14" customHeight="1" x14ac:dyDescent="0.15"/>
    <row r="496" ht="14" customHeight="1" x14ac:dyDescent="0.15"/>
    <row r="497" ht="14" customHeight="1" x14ac:dyDescent="0.15"/>
    <row r="498" ht="14" customHeight="1" x14ac:dyDescent="0.15"/>
    <row r="499" ht="14" customHeight="1" x14ac:dyDescent="0.15"/>
    <row r="500" ht="14" customHeight="1" x14ac:dyDescent="0.15"/>
    <row r="501" ht="14" customHeight="1" x14ac:dyDescent="0.15"/>
    <row r="502" ht="14" customHeight="1" x14ac:dyDescent="0.15"/>
    <row r="503" ht="14" customHeight="1" x14ac:dyDescent="0.15"/>
    <row r="504" ht="14" customHeight="1" x14ac:dyDescent="0.15"/>
    <row r="505" ht="14" customHeight="1" x14ac:dyDescent="0.15"/>
    <row r="506" ht="14" customHeight="1" x14ac:dyDescent="0.15"/>
    <row r="507" ht="14" customHeight="1" x14ac:dyDescent="0.15"/>
    <row r="508" ht="14" customHeight="1" x14ac:dyDescent="0.15"/>
    <row r="509" ht="14" customHeight="1" x14ac:dyDescent="0.15"/>
    <row r="510" ht="14" customHeight="1" x14ac:dyDescent="0.15"/>
    <row r="511" ht="14" customHeight="1" x14ac:dyDescent="0.15"/>
    <row r="512" ht="14" customHeight="1" x14ac:dyDescent="0.15"/>
    <row r="513" ht="14" customHeight="1" x14ac:dyDescent="0.15"/>
    <row r="514" ht="14" customHeight="1" x14ac:dyDescent="0.15"/>
    <row r="515" ht="14" customHeight="1" x14ac:dyDescent="0.15"/>
    <row r="516" ht="14" customHeight="1" x14ac:dyDescent="0.15"/>
    <row r="517" ht="14" customHeight="1" x14ac:dyDescent="0.15"/>
    <row r="518" ht="14" customHeight="1" x14ac:dyDescent="0.15"/>
    <row r="519" ht="14" customHeight="1" x14ac:dyDescent="0.15"/>
    <row r="520" ht="14" customHeight="1" x14ac:dyDescent="0.15"/>
    <row r="521" ht="14" customHeight="1" x14ac:dyDescent="0.15"/>
    <row r="522" ht="14" customHeight="1" x14ac:dyDescent="0.15"/>
    <row r="523" ht="14" customHeight="1" x14ac:dyDescent="0.15"/>
    <row r="524" ht="14" customHeight="1" x14ac:dyDescent="0.15"/>
    <row r="525" ht="14" customHeight="1" x14ac:dyDescent="0.15"/>
    <row r="526" ht="14" customHeight="1" x14ac:dyDescent="0.15"/>
    <row r="527" ht="14" customHeight="1" x14ac:dyDescent="0.15"/>
    <row r="528" ht="14" customHeight="1" x14ac:dyDescent="0.15"/>
    <row r="529" ht="14" customHeight="1" x14ac:dyDescent="0.15"/>
    <row r="530" ht="14" customHeight="1" x14ac:dyDescent="0.15"/>
    <row r="531" ht="14" customHeight="1" x14ac:dyDescent="0.15"/>
    <row r="532" ht="14" customHeight="1" x14ac:dyDescent="0.15"/>
    <row r="533" ht="14" customHeight="1" x14ac:dyDescent="0.15"/>
    <row r="534" ht="14" customHeight="1" x14ac:dyDescent="0.15"/>
    <row r="535" ht="14" customHeight="1" x14ac:dyDescent="0.15"/>
    <row r="536" ht="14" customHeight="1" x14ac:dyDescent="0.15"/>
    <row r="537" ht="14" customHeight="1" x14ac:dyDescent="0.15"/>
    <row r="538" ht="14" customHeight="1" x14ac:dyDescent="0.15"/>
    <row r="539" ht="14" customHeight="1" x14ac:dyDescent="0.15"/>
    <row r="540" ht="14" customHeight="1" x14ac:dyDescent="0.15"/>
    <row r="541" ht="14" customHeight="1" x14ac:dyDescent="0.15"/>
    <row r="542" ht="14" customHeight="1" x14ac:dyDescent="0.15"/>
    <row r="543" ht="14" customHeight="1" x14ac:dyDescent="0.15"/>
    <row r="544" ht="14" customHeight="1" x14ac:dyDescent="0.15"/>
    <row r="545" ht="14" customHeight="1" x14ac:dyDescent="0.15"/>
    <row r="546" ht="14" customHeight="1" x14ac:dyDescent="0.15"/>
    <row r="547" ht="14" customHeight="1" x14ac:dyDescent="0.15"/>
    <row r="548" ht="14" customHeight="1" x14ac:dyDescent="0.15"/>
    <row r="549" ht="14" customHeight="1" x14ac:dyDescent="0.15"/>
    <row r="550" ht="14" customHeight="1" x14ac:dyDescent="0.15"/>
    <row r="551" ht="14" customHeight="1" x14ac:dyDescent="0.15"/>
    <row r="552" ht="14" customHeight="1" x14ac:dyDescent="0.15"/>
    <row r="553" ht="14" customHeight="1" x14ac:dyDescent="0.15"/>
    <row r="554" ht="14" customHeight="1" x14ac:dyDescent="0.15"/>
    <row r="555" ht="14" customHeight="1" x14ac:dyDescent="0.15"/>
    <row r="556" ht="14" customHeight="1" x14ac:dyDescent="0.15"/>
    <row r="557" ht="14" customHeight="1" x14ac:dyDescent="0.15"/>
    <row r="558" ht="14" customHeight="1" x14ac:dyDescent="0.15"/>
    <row r="559" ht="14" customHeight="1" x14ac:dyDescent="0.15"/>
    <row r="560" ht="14" customHeight="1" x14ac:dyDescent="0.15"/>
    <row r="561" ht="14" customHeight="1" x14ac:dyDescent="0.15"/>
    <row r="562" ht="14" customHeight="1" x14ac:dyDescent="0.15"/>
    <row r="563" ht="14" customHeight="1" x14ac:dyDescent="0.15"/>
    <row r="564" ht="14" customHeight="1" x14ac:dyDescent="0.15"/>
    <row r="565" ht="14" customHeight="1" x14ac:dyDescent="0.15"/>
    <row r="566" ht="14" customHeight="1" x14ac:dyDescent="0.15"/>
    <row r="567" ht="14" customHeight="1" x14ac:dyDescent="0.15"/>
    <row r="568" ht="14" customHeight="1" x14ac:dyDescent="0.15"/>
    <row r="569" ht="14" customHeight="1" x14ac:dyDescent="0.15"/>
    <row r="570" ht="14" customHeight="1" x14ac:dyDescent="0.15"/>
    <row r="571" ht="14" customHeight="1" x14ac:dyDescent="0.15"/>
    <row r="572" ht="14" customHeight="1" x14ac:dyDescent="0.15"/>
    <row r="573" ht="14" customHeight="1" x14ac:dyDescent="0.15"/>
    <row r="574" ht="14" customHeight="1" x14ac:dyDescent="0.15"/>
    <row r="575" ht="14" customHeight="1" x14ac:dyDescent="0.15"/>
    <row r="576" ht="14" customHeight="1" x14ac:dyDescent="0.15"/>
    <row r="577" ht="14" customHeight="1" x14ac:dyDescent="0.15"/>
    <row r="578" ht="14" customHeight="1" x14ac:dyDescent="0.15"/>
    <row r="579" ht="14" customHeight="1" x14ac:dyDescent="0.15"/>
    <row r="580" ht="14" customHeight="1" x14ac:dyDescent="0.15"/>
    <row r="581" ht="14" customHeight="1" x14ac:dyDescent="0.15"/>
    <row r="582" ht="14" customHeight="1" x14ac:dyDescent="0.15"/>
    <row r="583" ht="14" customHeight="1" x14ac:dyDescent="0.15"/>
    <row r="584" ht="14" customHeight="1" x14ac:dyDescent="0.15"/>
    <row r="585" ht="14" customHeight="1" x14ac:dyDescent="0.15"/>
    <row r="586" ht="14" customHeight="1" x14ac:dyDescent="0.15"/>
    <row r="587" ht="14" customHeight="1" x14ac:dyDescent="0.15"/>
    <row r="588" ht="14" customHeight="1" x14ac:dyDescent="0.15"/>
    <row r="589" ht="14" customHeight="1" x14ac:dyDescent="0.15"/>
    <row r="590" ht="14" customHeight="1" x14ac:dyDescent="0.15"/>
    <row r="591" ht="14" customHeight="1" x14ac:dyDescent="0.15"/>
    <row r="592" ht="14" customHeight="1" x14ac:dyDescent="0.15"/>
    <row r="593" ht="14" customHeight="1" x14ac:dyDescent="0.15"/>
    <row r="594" ht="14" customHeight="1" x14ac:dyDescent="0.15"/>
    <row r="595" ht="14" customHeight="1" x14ac:dyDescent="0.15"/>
    <row r="596" ht="14" customHeight="1" x14ac:dyDescent="0.15"/>
    <row r="597" ht="14" customHeight="1" x14ac:dyDescent="0.15"/>
    <row r="598" ht="14" customHeight="1" x14ac:dyDescent="0.15"/>
    <row r="599" ht="14" customHeight="1" x14ac:dyDescent="0.15"/>
    <row r="600" ht="14" customHeight="1" x14ac:dyDescent="0.15"/>
    <row r="601" ht="14" customHeight="1" x14ac:dyDescent="0.15"/>
    <row r="602" ht="14" customHeight="1" x14ac:dyDescent="0.15"/>
    <row r="603" ht="14" customHeight="1" x14ac:dyDescent="0.15"/>
    <row r="604" ht="14" customHeight="1" x14ac:dyDescent="0.15"/>
    <row r="605" ht="14" customHeight="1" x14ac:dyDescent="0.15"/>
    <row r="606" ht="14" customHeight="1" x14ac:dyDescent="0.15"/>
    <row r="607" ht="14" customHeight="1" x14ac:dyDescent="0.15"/>
    <row r="608" ht="14" customHeight="1" x14ac:dyDescent="0.15"/>
    <row r="609" ht="14" customHeight="1" x14ac:dyDescent="0.15"/>
    <row r="610" ht="14" customHeight="1" x14ac:dyDescent="0.15"/>
    <row r="611" ht="14" customHeight="1" x14ac:dyDescent="0.15"/>
    <row r="612" ht="14" customHeight="1" x14ac:dyDescent="0.15"/>
    <row r="613" ht="14" customHeight="1" x14ac:dyDescent="0.15"/>
    <row r="614" ht="14" customHeight="1" x14ac:dyDescent="0.15"/>
    <row r="615" ht="14" customHeight="1" x14ac:dyDescent="0.15"/>
    <row r="616" ht="14" customHeight="1" x14ac:dyDescent="0.15"/>
    <row r="617" ht="14" customHeight="1" x14ac:dyDescent="0.15"/>
    <row r="618" ht="14" customHeight="1" x14ac:dyDescent="0.15"/>
    <row r="619" ht="14" customHeight="1" x14ac:dyDescent="0.15"/>
    <row r="620" ht="14" customHeight="1" x14ac:dyDescent="0.15"/>
    <row r="621" ht="14" customHeight="1" x14ac:dyDescent="0.15"/>
    <row r="622" ht="14" customHeight="1" x14ac:dyDescent="0.15"/>
    <row r="623" ht="14" customHeight="1" x14ac:dyDescent="0.15"/>
    <row r="624" ht="14" customHeight="1" x14ac:dyDescent="0.15"/>
    <row r="625" ht="14" customHeight="1" x14ac:dyDescent="0.15"/>
    <row r="626" ht="14" customHeight="1" x14ac:dyDescent="0.15"/>
    <row r="627" ht="14" customHeight="1" x14ac:dyDescent="0.15"/>
    <row r="628" ht="14" customHeight="1" x14ac:dyDescent="0.15"/>
    <row r="629" ht="14" customHeight="1" x14ac:dyDescent="0.15"/>
    <row r="630" ht="14" customHeight="1" x14ac:dyDescent="0.15"/>
    <row r="631" ht="14" customHeight="1" x14ac:dyDescent="0.15"/>
    <row r="632" ht="14" customHeight="1" x14ac:dyDescent="0.15"/>
    <row r="633" ht="14" customHeight="1" x14ac:dyDescent="0.15"/>
    <row r="634" ht="14" customHeight="1" x14ac:dyDescent="0.15"/>
    <row r="635" ht="14" customHeight="1" x14ac:dyDescent="0.15"/>
    <row r="636" ht="14" customHeight="1" x14ac:dyDescent="0.15"/>
    <row r="637" ht="14" customHeight="1" x14ac:dyDescent="0.15"/>
    <row r="638" ht="14" customHeight="1" x14ac:dyDescent="0.15"/>
    <row r="639" ht="14" customHeight="1" x14ac:dyDescent="0.15"/>
    <row r="640" ht="14" customHeight="1" x14ac:dyDescent="0.15"/>
    <row r="641" ht="14" customHeight="1" x14ac:dyDescent="0.15"/>
    <row r="642" ht="14" customHeight="1" x14ac:dyDescent="0.15"/>
    <row r="643" ht="14" customHeight="1" x14ac:dyDescent="0.15"/>
    <row r="644" ht="14" customHeight="1" x14ac:dyDescent="0.15"/>
    <row r="645" ht="14" customHeight="1" x14ac:dyDescent="0.15"/>
    <row r="646" ht="14" customHeight="1" x14ac:dyDescent="0.15"/>
    <row r="647" ht="14" customHeight="1" x14ac:dyDescent="0.15"/>
    <row r="648" ht="14" customHeight="1" x14ac:dyDescent="0.15"/>
    <row r="649" ht="14" customHeight="1" x14ac:dyDescent="0.15"/>
    <row r="650" ht="14" customHeight="1" x14ac:dyDescent="0.15"/>
    <row r="651" ht="14" customHeight="1" x14ac:dyDescent="0.15"/>
    <row r="652" ht="14" customHeight="1" x14ac:dyDescent="0.15"/>
    <row r="653" ht="14" customHeight="1" x14ac:dyDescent="0.15"/>
    <row r="654" ht="14" customHeight="1" x14ac:dyDescent="0.15"/>
    <row r="655" ht="14" customHeight="1" x14ac:dyDescent="0.15"/>
    <row r="656" ht="14" customHeight="1" x14ac:dyDescent="0.15"/>
    <row r="657" ht="14" customHeight="1" x14ac:dyDescent="0.15"/>
    <row r="658" ht="14" customHeight="1" x14ac:dyDescent="0.15"/>
    <row r="659" ht="14" customHeight="1" x14ac:dyDescent="0.15"/>
    <row r="660" ht="14" customHeight="1" x14ac:dyDescent="0.15"/>
    <row r="661" ht="14" customHeight="1" x14ac:dyDescent="0.15"/>
    <row r="662" ht="14" customHeight="1" x14ac:dyDescent="0.15"/>
    <row r="663" ht="14" customHeight="1" x14ac:dyDescent="0.15"/>
    <row r="664" ht="14" customHeight="1" x14ac:dyDescent="0.15"/>
    <row r="665" ht="14" customHeight="1" x14ac:dyDescent="0.15"/>
    <row r="666" ht="14" customHeight="1" x14ac:dyDescent="0.15"/>
    <row r="667" ht="14" customHeight="1" x14ac:dyDescent="0.15"/>
    <row r="668" ht="14" customHeight="1" x14ac:dyDescent="0.15"/>
    <row r="669" ht="14" customHeight="1" x14ac:dyDescent="0.15"/>
    <row r="670" ht="14" customHeight="1" x14ac:dyDescent="0.15"/>
    <row r="671" ht="14" customHeight="1" x14ac:dyDescent="0.15"/>
    <row r="672" ht="14" customHeight="1" x14ac:dyDescent="0.15"/>
    <row r="673" ht="14" customHeight="1" x14ac:dyDescent="0.15"/>
    <row r="674" ht="14" customHeight="1" x14ac:dyDescent="0.15"/>
    <row r="675" ht="14" customHeight="1" x14ac:dyDescent="0.15"/>
    <row r="676" ht="14" customHeight="1" x14ac:dyDescent="0.15"/>
    <row r="677" ht="14" customHeight="1" x14ac:dyDescent="0.15"/>
    <row r="678" ht="14" customHeight="1" x14ac:dyDescent="0.15"/>
    <row r="679" ht="14" customHeight="1" x14ac:dyDescent="0.15"/>
    <row r="680" ht="14" customHeight="1" x14ac:dyDescent="0.15"/>
    <row r="681" ht="14" customHeight="1" x14ac:dyDescent="0.15"/>
    <row r="682" ht="14" customHeight="1" x14ac:dyDescent="0.15"/>
    <row r="683" ht="14" customHeight="1" x14ac:dyDescent="0.15"/>
    <row r="684" ht="14" customHeight="1" x14ac:dyDescent="0.15"/>
    <row r="685" ht="14" customHeight="1" x14ac:dyDescent="0.15"/>
    <row r="686" ht="14" customHeight="1" x14ac:dyDescent="0.15"/>
    <row r="687" ht="14" customHeight="1" x14ac:dyDescent="0.15"/>
    <row r="688" ht="14" customHeight="1" x14ac:dyDescent="0.15"/>
    <row r="689" ht="14" customHeight="1" x14ac:dyDescent="0.15"/>
    <row r="690" ht="14" customHeight="1" x14ac:dyDescent="0.15"/>
    <row r="691" ht="14" customHeight="1" x14ac:dyDescent="0.15"/>
    <row r="692" ht="14" customHeight="1" x14ac:dyDescent="0.15"/>
    <row r="693" ht="14" customHeight="1" x14ac:dyDescent="0.15"/>
    <row r="694" ht="14" customHeight="1" x14ac:dyDescent="0.15"/>
    <row r="695" ht="14" customHeight="1" x14ac:dyDescent="0.15"/>
    <row r="696" ht="14" customHeight="1" x14ac:dyDescent="0.15"/>
    <row r="697" ht="14" customHeight="1" x14ac:dyDescent="0.15"/>
    <row r="698" ht="14" customHeight="1" x14ac:dyDescent="0.15"/>
    <row r="699" ht="14" customHeight="1" x14ac:dyDescent="0.15"/>
    <row r="700" ht="14" customHeight="1" x14ac:dyDescent="0.15"/>
    <row r="701" ht="14" customHeight="1" x14ac:dyDescent="0.15"/>
    <row r="702" ht="14" customHeight="1" x14ac:dyDescent="0.15"/>
    <row r="703" ht="14" customHeight="1" x14ac:dyDescent="0.15"/>
    <row r="704" ht="14" customHeight="1" x14ac:dyDescent="0.15"/>
    <row r="705" ht="14" customHeight="1" x14ac:dyDescent="0.15"/>
    <row r="706" ht="14" customHeight="1" x14ac:dyDescent="0.15"/>
    <row r="707" ht="14" customHeight="1" x14ac:dyDescent="0.15"/>
    <row r="708" ht="14" customHeight="1" x14ac:dyDescent="0.15"/>
    <row r="709" ht="14" customHeight="1" x14ac:dyDescent="0.15"/>
    <row r="710" ht="14" customHeight="1" x14ac:dyDescent="0.15"/>
    <row r="711" ht="14" customHeight="1" x14ac:dyDescent="0.15"/>
    <row r="712" ht="14" customHeight="1" x14ac:dyDescent="0.15"/>
    <row r="713" ht="14" customHeight="1" x14ac:dyDescent="0.15"/>
    <row r="714" ht="14" customHeight="1" x14ac:dyDescent="0.15"/>
    <row r="715" ht="14" customHeight="1" x14ac:dyDescent="0.15"/>
    <row r="716" ht="14" customHeight="1" x14ac:dyDescent="0.15"/>
    <row r="717" ht="14" customHeight="1" x14ac:dyDescent="0.15"/>
    <row r="718" ht="14" customHeight="1" x14ac:dyDescent="0.15"/>
    <row r="719" ht="14" customHeight="1" x14ac:dyDescent="0.15"/>
    <row r="720" ht="14" customHeight="1" x14ac:dyDescent="0.15"/>
    <row r="721" ht="14" customHeight="1" x14ac:dyDescent="0.15"/>
    <row r="722" ht="14" customHeight="1" x14ac:dyDescent="0.15"/>
    <row r="723" ht="14" customHeight="1" x14ac:dyDescent="0.15"/>
    <row r="724" ht="14" customHeight="1" x14ac:dyDescent="0.15"/>
    <row r="725" ht="14" customHeight="1" x14ac:dyDescent="0.15"/>
    <row r="726" ht="14" customHeight="1" x14ac:dyDescent="0.15"/>
    <row r="727" ht="14" customHeight="1" x14ac:dyDescent="0.15"/>
    <row r="728" ht="14" customHeight="1" x14ac:dyDescent="0.15"/>
    <row r="729" ht="14" customHeight="1" x14ac:dyDescent="0.15"/>
    <row r="730" ht="14" customHeight="1" x14ac:dyDescent="0.15"/>
    <row r="731" ht="14" customHeight="1" x14ac:dyDescent="0.15"/>
    <row r="732" ht="14" customHeight="1" x14ac:dyDescent="0.15"/>
    <row r="733" ht="14" customHeight="1" x14ac:dyDescent="0.15"/>
    <row r="734" ht="14" customHeight="1" x14ac:dyDescent="0.15"/>
    <row r="735" ht="14" customHeight="1" x14ac:dyDescent="0.15"/>
    <row r="736" ht="14" customHeight="1" x14ac:dyDescent="0.15"/>
    <row r="737" ht="14" customHeight="1" x14ac:dyDescent="0.15"/>
    <row r="738" ht="14" customHeight="1" x14ac:dyDescent="0.15"/>
    <row r="739" ht="14" customHeight="1" x14ac:dyDescent="0.15"/>
    <row r="740" ht="14" customHeight="1" x14ac:dyDescent="0.15"/>
    <row r="741" ht="14" customHeight="1" x14ac:dyDescent="0.15"/>
    <row r="742" ht="14" customHeight="1" x14ac:dyDescent="0.15"/>
    <row r="743" ht="14" customHeight="1" x14ac:dyDescent="0.15"/>
    <row r="744" ht="14" customHeight="1" x14ac:dyDescent="0.15"/>
    <row r="745" ht="14" customHeight="1" x14ac:dyDescent="0.15"/>
    <row r="746" ht="14" customHeight="1" x14ac:dyDescent="0.15"/>
    <row r="747" ht="14" customHeight="1" x14ac:dyDescent="0.15"/>
    <row r="748" ht="14" customHeight="1" x14ac:dyDescent="0.15"/>
    <row r="749" ht="14" customHeight="1" x14ac:dyDescent="0.15"/>
    <row r="750" ht="14" customHeight="1" x14ac:dyDescent="0.15"/>
    <row r="751" ht="14" customHeight="1" x14ac:dyDescent="0.15"/>
    <row r="752" ht="14" customHeight="1" x14ac:dyDescent="0.15"/>
    <row r="753" ht="14" customHeight="1" x14ac:dyDescent="0.15"/>
    <row r="754" ht="14" customHeight="1" x14ac:dyDescent="0.15"/>
    <row r="755" ht="14" customHeight="1" x14ac:dyDescent="0.15"/>
    <row r="756" ht="14" customHeight="1" x14ac:dyDescent="0.15"/>
    <row r="757" ht="14" customHeight="1" x14ac:dyDescent="0.15"/>
    <row r="758" ht="14" customHeight="1" x14ac:dyDescent="0.15"/>
    <row r="759" ht="14" customHeight="1" x14ac:dyDescent="0.15"/>
    <row r="760" ht="14" customHeight="1" x14ac:dyDescent="0.15"/>
    <row r="761" ht="14" customHeight="1" x14ac:dyDescent="0.15"/>
    <row r="762" ht="14" customHeight="1" x14ac:dyDescent="0.15"/>
    <row r="763" ht="14" customHeight="1" x14ac:dyDescent="0.15"/>
    <row r="764" ht="14" customHeight="1" x14ac:dyDescent="0.15"/>
    <row r="765" ht="14" customHeight="1" x14ac:dyDescent="0.15"/>
    <row r="766" ht="14" customHeight="1" x14ac:dyDescent="0.15"/>
    <row r="767" ht="14" customHeight="1" x14ac:dyDescent="0.15"/>
    <row r="768" ht="14" customHeight="1" x14ac:dyDescent="0.15"/>
    <row r="769" ht="14" customHeight="1" x14ac:dyDescent="0.15"/>
    <row r="770" ht="14" customHeight="1" x14ac:dyDescent="0.15"/>
    <row r="771" ht="14" customHeight="1" x14ac:dyDescent="0.15"/>
    <row r="772" ht="14" customHeight="1" x14ac:dyDescent="0.15"/>
    <row r="773" ht="14" customHeight="1" x14ac:dyDescent="0.15"/>
    <row r="774" ht="14" customHeight="1" x14ac:dyDescent="0.15"/>
    <row r="775" ht="14" customHeight="1" x14ac:dyDescent="0.15"/>
    <row r="776" ht="14" customHeight="1" x14ac:dyDescent="0.15"/>
    <row r="777" ht="14" customHeight="1" x14ac:dyDescent="0.15"/>
    <row r="778" ht="14" customHeight="1" x14ac:dyDescent="0.15"/>
    <row r="779" ht="14" customHeight="1" x14ac:dyDescent="0.15"/>
    <row r="780" ht="14" customHeight="1" x14ac:dyDescent="0.15"/>
    <row r="781" ht="14" customHeight="1" x14ac:dyDescent="0.15"/>
    <row r="782" ht="14" customHeight="1" x14ac:dyDescent="0.15"/>
    <row r="783" ht="14" customHeight="1" x14ac:dyDescent="0.15"/>
    <row r="784" ht="14" customHeight="1" x14ac:dyDescent="0.15"/>
    <row r="785" ht="14" customHeight="1" x14ac:dyDescent="0.15"/>
    <row r="786" ht="14" customHeight="1" x14ac:dyDescent="0.15"/>
    <row r="787" ht="14" customHeight="1" x14ac:dyDescent="0.15"/>
    <row r="788" ht="14" customHeight="1" x14ac:dyDescent="0.15"/>
    <row r="789" ht="14" customHeight="1" x14ac:dyDescent="0.15"/>
    <row r="790" ht="14" customHeight="1" x14ac:dyDescent="0.15"/>
    <row r="791" ht="14" customHeight="1" x14ac:dyDescent="0.15"/>
    <row r="792" ht="14" customHeight="1" x14ac:dyDescent="0.15"/>
    <row r="793" ht="14" customHeight="1" x14ac:dyDescent="0.15"/>
    <row r="794" ht="14" customHeight="1" x14ac:dyDescent="0.15"/>
    <row r="795" ht="14" customHeight="1" x14ac:dyDescent="0.15"/>
    <row r="796" ht="14" customHeight="1" x14ac:dyDescent="0.15"/>
    <row r="797" ht="14" customHeight="1" x14ac:dyDescent="0.15"/>
    <row r="798" ht="14" customHeight="1" x14ac:dyDescent="0.15"/>
    <row r="799" ht="14" customHeight="1" x14ac:dyDescent="0.15"/>
    <row r="800" ht="14" customHeight="1" x14ac:dyDescent="0.15"/>
    <row r="801" ht="14" customHeight="1" x14ac:dyDescent="0.15"/>
    <row r="802" ht="14" customHeight="1" x14ac:dyDescent="0.15"/>
    <row r="803" ht="14" customHeight="1" x14ac:dyDescent="0.15"/>
    <row r="804" ht="14" customHeight="1" x14ac:dyDescent="0.15"/>
    <row r="805" ht="14" customHeight="1" x14ac:dyDescent="0.15"/>
    <row r="806" ht="14" customHeight="1" x14ac:dyDescent="0.15"/>
    <row r="807" ht="14" customHeight="1" x14ac:dyDescent="0.15"/>
    <row r="808" ht="14" customHeight="1" x14ac:dyDescent="0.15"/>
    <row r="809" ht="14" customHeight="1" x14ac:dyDescent="0.15"/>
    <row r="810" ht="14" customHeight="1" x14ac:dyDescent="0.15"/>
    <row r="811" ht="14" customHeight="1" x14ac:dyDescent="0.15"/>
    <row r="812" ht="14" customHeight="1" x14ac:dyDescent="0.15"/>
    <row r="813" ht="14" customHeight="1" x14ac:dyDescent="0.15"/>
    <row r="814" ht="14" customHeight="1" x14ac:dyDescent="0.15"/>
    <row r="815" ht="14" customHeight="1" x14ac:dyDescent="0.15"/>
    <row r="816" ht="14" customHeight="1" x14ac:dyDescent="0.15"/>
    <row r="817" ht="14" customHeight="1" x14ac:dyDescent="0.15"/>
    <row r="818" ht="14" customHeight="1" x14ac:dyDescent="0.15"/>
    <row r="819" ht="14" customHeight="1" x14ac:dyDescent="0.15"/>
    <row r="820" ht="14" customHeight="1" x14ac:dyDescent="0.15"/>
    <row r="821" ht="14" customHeight="1" x14ac:dyDescent="0.15"/>
    <row r="822" ht="14" customHeight="1" x14ac:dyDescent="0.15"/>
    <row r="823" ht="14" customHeight="1" x14ac:dyDescent="0.15"/>
    <row r="824" ht="14" customHeight="1" x14ac:dyDescent="0.15"/>
    <row r="825" ht="14" customHeight="1" x14ac:dyDescent="0.15"/>
    <row r="826" ht="14" customHeight="1" x14ac:dyDescent="0.15"/>
    <row r="827" ht="14" customHeight="1" x14ac:dyDescent="0.15"/>
    <row r="828" ht="14" customHeight="1" x14ac:dyDescent="0.15"/>
    <row r="829" ht="14" customHeight="1" x14ac:dyDescent="0.15"/>
    <row r="830" ht="14" customHeight="1" x14ac:dyDescent="0.15"/>
    <row r="831" ht="14" customHeight="1" x14ac:dyDescent="0.15"/>
    <row r="832" ht="14" customHeight="1" x14ac:dyDescent="0.15"/>
    <row r="833" ht="14" customHeight="1" x14ac:dyDescent="0.15"/>
    <row r="834" ht="14" customHeight="1" x14ac:dyDescent="0.15"/>
    <row r="835" ht="14" customHeight="1" x14ac:dyDescent="0.15"/>
    <row r="836" ht="14" customHeight="1" x14ac:dyDescent="0.15"/>
    <row r="837" ht="14" customHeight="1" x14ac:dyDescent="0.15"/>
    <row r="838" ht="14" customHeight="1" x14ac:dyDescent="0.15"/>
    <row r="839" ht="14" customHeight="1" x14ac:dyDescent="0.15"/>
    <row r="840" ht="14" customHeight="1" x14ac:dyDescent="0.15"/>
    <row r="841" ht="14" customHeight="1" x14ac:dyDescent="0.15"/>
    <row r="842" ht="14" customHeight="1" x14ac:dyDescent="0.15"/>
    <row r="843" ht="14" customHeight="1" x14ac:dyDescent="0.15"/>
    <row r="844" ht="14" customHeight="1" x14ac:dyDescent="0.15"/>
    <row r="845" ht="14" customHeight="1" x14ac:dyDescent="0.15"/>
    <row r="846" ht="14" customHeight="1" x14ac:dyDescent="0.15"/>
    <row r="847" ht="14" customHeight="1" x14ac:dyDescent="0.15"/>
    <row r="848" ht="14" customHeight="1" x14ac:dyDescent="0.15"/>
    <row r="849" ht="14" customHeight="1" x14ac:dyDescent="0.15"/>
    <row r="850" ht="14" customHeight="1" x14ac:dyDescent="0.15"/>
    <row r="851" ht="14" customHeight="1" x14ac:dyDescent="0.15"/>
    <row r="852" ht="14" customHeight="1" x14ac:dyDescent="0.15"/>
    <row r="853" ht="14" customHeight="1" x14ac:dyDescent="0.15"/>
    <row r="854" ht="14" customHeight="1" x14ac:dyDescent="0.15"/>
    <row r="855" ht="14" customHeight="1" x14ac:dyDescent="0.15"/>
    <row r="856" ht="14" customHeight="1" x14ac:dyDescent="0.15"/>
    <row r="857" ht="14" customHeight="1" x14ac:dyDescent="0.15"/>
    <row r="858" ht="14" customHeight="1" x14ac:dyDescent="0.15"/>
    <row r="859" ht="14" customHeight="1" x14ac:dyDescent="0.15"/>
    <row r="860" ht="14" customHeight="1" x14ac:dyDescent="0.15"/>
    <row r="861" ht="14" customHeight="1" x14ac:dyDescent="0.15"/>
    <row r="862" ht="14" customHeight="1" x14ac:dyDescent="0.15"/>
    <row r="863" ht="14" customHeight="1" x14ac:dyDescent="0.15"/>
    <row r="864" ht="14" customHeight="1" x14ac:dyDescent="0.15"/>
    <row r="865" ht="14" customHeight="1" x14ac:dyDescent="0.15"/>
    <row r="866" ht="14" customHeight="1" x14ac:dyDescent="0.15"/>
    <row r="867" ht="14" customHeight="1" x14ac:dyDescent="0.15"/>
    <row r="868" ht="14" customHeight="1" x14ac:dyDescent="0.15"/>
    <row r="869" ht="14" customHeight="1" x14ac:dyDescent="0.15"/>
    <row r="870" ht="14" customHeight="1" x14ac:dyDescent="0.15"/>
    <row r="871" ht="14" customHeight="1" x14ac:dyDescent="0.15"/>
    <row r="872" ht="14" customHeight="1" x14ac:dyDescent="0.15"/>
    <row r="873" ht="14" customHeight="1" x14ac:dyDescent="0.15"/>
    <row r="874" ht="14" customHeight="1" x14ac:dyDescent="0.15"/>
    <row r="875" ht="14" customHeight="1" x14ac:dyDescent="0.15"/>
    <row r="876" ht="14" customHeight="1" x14ac:dyDescent="0.15"/>
    <row r="877" ht="14" customHeight="1" x14ac:dyDescent="0.15"/>
    <row r="878" ht="14" customHeight="1" x14ac:dyDescent="0.15"/>
    <row r="879" ht="14" customHeight="1" x14ac:dyDescent="0.15"/>
    <row r="880" ht="14" customHeight="1" x14ac:dyDescent="0.15"/>
    <row r="881" ht="14" customHeight="1" x14ac:dyDescent="0.15"/>
    <row r="882" ht="14" customHeight="1" x14ac:dyDescent="0.15"/>
    <row r="883" ht="14" customHeight="1" x14ac:dyDescent="0.15"/>
    <row r="884" ht="14" customHeight="1" x14ac:dyDescent="0.15"/>
    <row r="885" ht="14" customHeight="1" x14ac:dyDescent="0.15"/>
    <row r="886" ht="14" customHeight="1" x14ac:dyDescent="0.15"/>
    <row r="887" ht="14" customHeight="1" x14ac:dyDescent="0.15"/>
    <row r="888" ht="14" customHeight="1" x14ac:dyDescent="0.15"/>
    <row r="889" ht="14" customHeight="1" x14ac:dyDescent="0.15"/>
    <row r="890" ht="14" customHeight="1" x14ac:dyDescent="0.15"/>
    <row r="891" ht="14" customHeight="1" x14ac:dyDescent="0.15"/>
    <row r="892" ht="14" customHeight="1" x14ac:dyDescent="0.15"/>
    <row r="893" ht="14" customHeight="1" x14ac:dyDescent="0.15"/>
    <row r="894" ht="14" customHeight="1" x14ac:dyDescent="0.15"/>
    <row r="895" ht="14" customHeight="1" x14ac:dyDescent="0.15"/>
    <row r="896" ht="14" customHeight="1" x14ac:dyDescent="0.15"/>
    <row r="897" ht="14" customHeight="1" x14ac:dyDescent="0.15"/>
    <row r="898" ht="14" customHeight="1" x14ac:dyDescent="0.15"/>
    <row r="899" ht="14" customHeight="1" x14ac:dyDescent="0.15"/>
    <row r="900" ht="14" customHeight="1" x14ac:dyDescent="0.15"/>
    <row r="901" ht="14" customHeight="1" x14ac:dyDescent="0.15"/>
    <row r="902" ht="14" customHeight="1" x14ac:dyDescent="0.15"/>
    <row r="903" ht="14" customHeight="1" x14ac:dyDescent="0.15"/>
    <row r="904" ht="14" customHeight="1" x14ac:dyDescent="0.15"/>
    <row r="905" ht="14" customHeight="1" x14ac:dyDescent="0.15"/>
    <row r="906" ht="14" customHeight="1" x14ac:dyDescent="0.15"/>
    <row r="907" ht="14" customHeight="1" x14ac:dyDescent="0.15"/>
    <row r="908" ht="14" customHeight="1" x14ac:dyDescent="0.15"/>
    <row r="909" ht="14" customHeight="1" x14ac:dyDescent="0.15"/>
    <row r="910" ht="14" customHeight="1" x14ac:dyDescent="0.15"/>
    <row r="911" ht="14" customHeight="1" x14ac:dyDescent="0.15"/>
    <row r="912" ht="14" customHeight="1" x14ac:dyDescent="0.15"/>
    <row r="913" ht="14" customHeight="1" x14ac:dyDescent="0.15"/>
    <row r="914" ht="14" customHeight="1" x14ac:dyDescent="0.15"/>
    <row r="915" ht="14" customHeight="1" x14ac:dyDescent="0.15"/>
    <row r="916" ht="14" customHeight="1" x14ac:dyDescent="0.15"/>
    <row r="917" ht="14" customHeight="1" x14ac:dyDescent="0.15"/>
    <row r="918" ht="14" customHeight="1" x14ac:dyDescent="0.15"/>
    <row r="919" ht="14" customHeight="1" x14ac:dyDescent="0.15"/>
    <row r="920" ht="14" customHeight="1" x14ac:dyDescent="0.15"/>
    <row r="921" ht="14" customHeight="1" x14ac:dyDescent="0.15"/>
    <row r="922" ht="14" customHeight="1" x14ac:dyDescent="0.15"/>
    <row r="923" ht="14" customHeight="1" x14ac:dyDescent="0.15"/>
    <row r="924" ht="14" customHeight="1" x14ac:dyDescent="0.15"/>
    <row r="925" ht="14" customHeight="1" x14ac:dyDescent="0.15"/>
    <row r="926" ht="14" customHeight="1" x14ac:dyDescent="0.15"/>
    <row r="927" ht="14" customHeight="1" x14ac:dyDescent="0.15"/>
    <row r="928" ht="14" customHeight="1" x14ac:dyDescent="0.15"/>
    <row r="929" ht="14" customHeight="1" x14ac:dyDescent="0.15"/>
    <row r="930" ht="14" customHeight="1" x14ac:dyDescent="0.15"/>
    <row r="931" ht="14" customHeight="1" x14ac:dyDescent="0.15"/>
    <row r="932" ht="14" customHeight="1" x14ac:dyDescent="0.15"/>
    <row r="933" ht="14" customHeight="1" x14ac:dyDescent="0.15"/>
    <row r="934" ht="14" customHeight="1" x14ac:dyDescent="0.15"/>
    <row r="935" ht="14" customHeight="1" x14ac:dyDescent="0.15"/>
    <row r="936" ht="14" customHeight="1" x14ac:dyDescent="0.15"/>
    <row r="937" ht="14" customHeight="1" x14ac:dyDescent="0.15"/>
    <row r="938" ht="14" customHeight="1" x14ac:dyDescent="0.15"/>
    <row r="939" ht="14" customHeight="1" x14ac:dyDescent="0.15"/>
    <row r="940" ht="14" customHeight="1" x14ac:dyDescent="0.15"/>
    <row r="941" ht="14" customHeight="1" x14ac:dyDescent="0.15"/>
    <row r="942" ht="14" customHeight="1" x14ac:dyDescent="0.15"/>
    <row r="943" ht="14" customHeight="1" x14ac:dyDescent="0.15"/>
    <row r="944" ht="14" customHeight="1" x14ac:dyDescent="0.15"/>
    <row r="945" ht="14" customHeight="1" x14ac:dyDescent="0.15"/>
    <row r="946" ht="14" customHeight="1" x14ac:dyDescent="0.15"/>
    <row r="947" ht="14" customHeight="1" x14ac:dyDescent="0.15"/>
    <row r="948" ht="14" customHeight="1" x14ac:dyDescent="0.15"/>
    <row r="949" ht="14" customHeight="1" x14ac:dyDescent="0.15"/>
    <row r="950" ht="14" customHeight="1" x14ac:dyDescent="0.15"/>
    <row r="951" ht="14" customHeight="1" x14ac:dyDescent="0.15"/>
    <row r="952" ht="14" customHeight="1" x14ac:dyDescent="0.15"/>
    <row r="953" ht="14" customHeight="1" x14ac:dyDescent="0.15"/>
    <row r="954" ht="14" customHeight="1" x14ac:dyDescent="0.15"/>
    <row r="955" ht="14" customHeight="1" x14ac:dyDescent="0.15"/>
    <row r="956" ht="14" customHeight="1" x14ac:dyDescent="0.15"/>
    <row r="957" ht="14" customHeight="1" x14ac:dyDescent="0.15"/>
    <row r="958" ht="14" customHeight="1" x14ac:dyDescent="0.15"/>
    <row r="959" ht="14" customHeight="1" x14ac:dyDescent="0.15"/>
    <row r="960" ht="14" customHeight="1" x14ac:dyDescent="0.15"/>
    <row r="961" ht="14" customHeight="1" x14ac:dyDescent="0.15"/>
    <row r="962" ht="14" customHeight="1" x14ac:dyDescent="0.15"/>
    <row r="963" ht="14" customHeight="1" x14ac:dyDescent="0.15"/>
    <row r="964" ht="14" customHeight="1" x14ac:dyDescent="0.15"/>
    <row r="965" ht="14" customHeight="1" x14ac:dyDescent="0.15"/>
    <row r="966" ht="14" customHeight="1" x14ac:dyDescent="0.15"/>
    <row r="967" ht="14" customHeight="1" x14ac:dyDescent="0.15"/>
    <row r="968" ht="14" customHeight="1" x14ac:dyDescent="0.15"/>
    <row r="969" ht="14" customHeight="1" x14ac:dyDescent="0.15"/>
    <row r="970" ht="14" customHeight="1" x14ac:dyDescent="0.15"/>
    <row r="971" ht="14" customHeight="1" x14ac:dyDescent="0.15"/>
    <row r="972" ht="14" customHeight="1" x14ac:dyDescent="0.15"/>
    <row r="973" ht="14" customHeight="1" x14ac:dyDescent="0.15"/>
    <row r="974" ht="14" customHeight="1" x14ac:dyDescent="0.15"/>
    <row r="975" ht="14" customHeight="1" x14ac:dyDescent="0.15"/>
    <row r="976" ht="14" customHeight="1" x14ac:dyDescent="0.15"/>
    <row r="977" ht="14" customHeight="1" x14ac:dyDescent="0.15"/>
    <row r="978" ht="14" customHeight="1" x14ac:dyDescent="0.15"/>
    <row r="979" ht="14" customHeight="1" x14ac:dyDescent="0.15"/>
    <row r="980" ht="14" customHeight="1" x14ac:dyDescent="0.15"/>
    <row r="981" ht="14" customHeight="1" x14ac:dyDescent="0.15"/>
    <row r="982" ht="14" customHeight="1" x14ac:dyDescent="0.15"/>
    <row r="983" ht="14" customHeight="1" x14ac:dyDescent="0.15"/>
    <row r="984" ht="14" customHeight="1" x14ac:dyDescent="0.15"/>
    <row r="985" ht="14" customHeight="1" x14ac:dyDescent="0.15"/>
    <row r="986" ht="14" customHeight="1" x14ac:dyDescent="0.15"/>
    <row r="987" ht="14" customHeight="1" x14ac:dyDescent="0.15"/>
    <row r="988" ht="14" customHeight="1" x14ac:dyDescent="0.15"/>
    <row r="989" ht="14" customHeight="1" x14ac:dyDescent="0.15"/>
    <row r="990" ht="14" customHeight="1" x14ac:dyDescent="0.15"/>
    <row r="991" ht="14" customHeight="1" x14ac:dyDescent="0.15"/>
    <row r="992" ht="14" customHeight="1" x14ac:dyDescent="0.15"/>
    <row r="993" ht="14" customHeight="1" x14ac:dyDescent="0.15"/>
    <row r="994" ht="14" customHeight="1" x14ac:dyDescent="0.15"/>
    <row r="995" ht="14" customHeight="1" x14ac:dyDescent="0.15"/>
    <row r="996" ht="14" customHeight="1" x14ac:dyDescent="0.15"/>
    <row r="997" ht="14" customHeight="1" x14ac:dyDescent="0.15"/>
    <row r="998" ht="14" customHeight="1" x14ac:dyDescent="0.15"/>
    <row r="999" ht="14" customHeight="1" x14ac:dyDescent="0.15"/>
    <row r="1000" ht="14" customHeight="1" x14ac:dyDescent="0.15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497D"/>
  </sheetPr>
  <dimension ref="A1:AI1000"/>
  <sheetViews>
    <sheetView workbookViewId="0">
      <selection activeCell="B1" sqref="B1:B1048576"/>
    </sheetView>
  </sheetViews>
  <sheetFormatPr baseColWidth="10" defaultColWidth="8.83203125" defaultRowHeight="15" customHeight="1" x14ac:dyDescent="0.15"/>
  <cols>
    <col min="1" max="1" width="39.83203125" style="48" customWidth="1"/>
    <col min="2" max="2" width="17.83203125" style="30" customWidth="1"/>
    <col min="3" max="3" width="9.5" style="48" customWidth="1"/>
    <col min="4" max="35" width="9.5" style="48" bestFit="1" customWidth="1"/>
    <col min="36" max="43" width="8.83203125" style="48" customWidth="1"/>
    <col min="44" max="16384" width="8.83203125" style="48"/>
  </cols>
  <sheetData>
    <row r="1" spans="1:35" ht="14.5" customHeight="1" x14ac:dyDescent="0.2">
      <c r="A1" s="28" t="s">
        <v>177</v>
      </c>
      <c r="B1" s="29">
        <v>2020</v>
      </c>
      <c r="C1" s="29">
        <v>2021</v>
      </c>
      <c r="D1" s="29">
        <v>2022</v>
      </c>
      <c r="E1" s="29">
        <v>2023</v>
      </c>
      <c r="F1" s="29">
        <v>2024</v>
      </c>
      <c r="G1" s="29">
        <v>2025</v>
      </c>
      <c r="H1" s="29">
        <v>2026</v>
      </c>
      <c r="I1" s="29">
        <v>2027</v>
      </c>
      <c r="J1" s="29">
        <v>2028</v>
      </c>
      <c r="K1" s="29">
        <v>2029</v>
      </c>
      <c r="L1" s="29">
        <v>2030</v>
      </c>
      <c r="M1" s="29">
        <v>2031</v>
      </c>
      <c r="N1" s="29">
        <v>2032</v>
      </c>
      <c r="O1" s="29">
        <v>2033</v>
      </c>
      <c r="P1" s="29">
        <v>2034</v>
      </c>
      <c r="Q1" s="29">
        <v>2035</v>
      </c>
      <c r="R1" s="29">
        <v>2036</v>
      </c>
      <c r="S1" s="29">
        <v>2037</v>
      </c>
      <c r="T1" s="29">
        <v>2038</v>
      </c>
      <c r="U1" s="29">
        <v>2039</v>
      </c>
      <c r="V1" s="29">
        <v>2040</v>
      </c>
      <c r="W1" s="29">
        <v>2041</v>
      </c>
      <c r="X1" s="29">
        <v>2042</v>
      </c>
      <c r="Y1" s="29">
        <v>2043</v>
      </c>
      <c r="Z1" s="29">
        <v>2044</v>
      </c>
      <c r="AA1" s="29">
        <v>2045</v>
      </c>
      <c r="AB1" s="29">
        <v>2046</v>
      </c>
      <c r="AC1" s="29">
        <v>2047</v>
      </c>
      <c r="AD1" s="29">
        <v>2048</v>
      </c>
      <c r="AE1" s="29">
        <v>2049</v>
      </c>
      <c r="AF1" s="29">
        <v>2050</v>
      </c>
      <c r="AH1" s="29"/>
      <c r="AI1" s="29"/>
    </row>
    <row r="2" spans="1:35" ht="14" customHeight="1" x14ac:dyDescent="0.15">
      <c r="A2" s="48" t="s">
        <v>178</v>
      </c>
      <c r="B2">
        <v>0</v>
      </c>
      <c r="C2" s="57">
        <v>0</v>
      </c>
      <c r="D2" s="57">
        <v>0</v>
      </c>
      <c r="E2" s="57">
        <v>0</v>
      </c>
      <c r="F2" s="57">
        <v>0</v>
      </c>
      <c r="G2" s="57">
        <v>0</v>
      </c>
      <c r="H2" s="57">
        <v>0</v>
      </c>
      <c r="I2" s="57">
        <v>0</v>
      </c>
      <c r="J2" s="57">
        <v>0</v>
      </c>
      <c r="K2" s="57">
        <v>0</v>
      </c>
      <c r="L2" s="57">
        <v>0</v>
      </c>
      <c r="M2" s="57">
        <v>0</v>
      </c>
      <c r="N2" s="57">
        <v>0</v>
      </c>
      <c r="O2" s="57">
        <v>0</v>
      </c>
      <c r="P2" s="57">
        <v>0</v>
      </c>
      <c r="Q2" s="57">
        <v>0</v>
      </c>
      <c r="R2" s="57">
        <v>0</v>
      </c>
      <c r="S2" s="57">
        <v>0</v>
      </c>
      <c r="T2" s="57">
        <v>0</v>
      </c>
      <c r="U2" s="57">
        <v>0</v>
      </c>
      <c r="V2" s="57">
        <v>0</v>
      </c>
      <c r="W2" s="57">
        <v>0</v>
      </c>
      <c r="X2" s="57">
        <v>0</v>
      </c>
      <c r="Y2" s="57">
        <v>0</v>
      </c>
      <c r="Z2" s="57">
        <v>0</v>
      </c>
      <c r="AA2" s="57">
        <v>0</v>
      </c>
      <c r="AB2" s="57">
        <v>0</v>
      </c>
      <c r="AC2" s="57">
        <v>0</v>
      </c>
      <c r="AD2" s="57">
        <v>0</v>
      </c>
      <c r="AE2" s="57">
        <v>0</v>
      </c>
      <c r="AF2" s="57">
        <v>0</v>
      </c>
      <c r="AG2" s="57"/>
    </row>
    <row r="3" spans="1:35" ht="14" customHeight="1" x14ac:dyDescent="0.15">
      <c r="A3" s="48" t="s">
        <v>179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5" ht="14" customHeight="1" x14ac:dyDescent="0.15">
      <c r="A4" s="48" t="s">
        <v>135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5" ht="14" customHeight="1" x14ac:dyDescent="0.15">
      <c r="A5" s="48" t="s">
        <v>180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5" ht="14" customHeight="1" x14ac:dyDescent="0.15">
      <c r="A6" s="48" t="s">
        <v>181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5" ht="14" customHeight="1" x14ac:dyDescent="0.15">
      <c r="A7" s="48" t="s">
        <v>182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5" ht="14" customHeight="1" x14ac:dyDescent="0.15">
      <c r="A8" s="48" t="s">
        <v>183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5" ht="14" customHeight="1" x14ac:dyDescent="0.15">
      <c r="A9" s="48" t="s">
        <v>184</v>
      </c>
      <c r="B9">
        <v>0</v>
      </c>
      <c r="C9" s="57">
        <v>0</v>
      </c>
      <c r="D9" s="57">
        <v>0</v>
      </c>
      <c r="E9" s="57">
        <v>0</v>
      </c>
      <c r="F9" s="57">
        <v>0</v>
      </c>
      <c r="G9" s="57">
        <v>0</v>
      </c>
      <c r="H9" s="57">
        <v>0</v>
      </c>
      <c r="I9" s="57">
        <v>0</v>
      </c>
      <c r="J9" s="57">
        <v>0</v>
      </c>
      <c r="K9" s="57">
        <v>0</v>
      </c>
      <c r="L9" s="57">
        <v>0</v>
      </c>
      <c r="M9" s="57">
        <v>0</v>
      </c>
      <c r="N9" s="57">
        <v>0</v>
      </c>
      <c r="O9" s="57">
        <v>0</v>
      </c>
      <c r="P9" s="57">
        <v>0</v>
      </c>
      <c r="Q9" s="57">
        <v>0</v>
      </c>
      <c r="R9" s="57">
        <v>0</v>
      </c>
      <c r="S9" s="57">
        <v>0</v>
      </c>
      <c r="T9" s="57">
        <v>0</v>
      </c>
      <c r="U9" s="57">
        <v>0</v>
      </c>
      <c r="V9" s="57">
        <v>0</v>
      </c>
      <c r="W9" s="57">
        <v>0</v>
      </c>
      <c r="X9" s="57">
        <v>0</v>
      </c>
      <c r="Y9" s="57">
        <v>0</v>
      </c>
      <c r="Z9" s="57">
        <v>0</v>
      </c>
      <c r="AA9" s="57">
        <v>0</v>
      </c>
      <c r="AB9" s="57">
        <v>0</v>
      </c>
      <c r="AC9" s="57">
        <v>0</v>
      </c>
      <c r="AD9" s="57">
        <v>0</v>
      </c>
      <c r="AE9" s="57">
        <v>0</v>
      </c>
      <c r="AF9" s="57">
        <v>0</v>
      </c>
      <c r="AG9" s="57"/>
    </row>
    <row r="10" spans="1:35" ht="14" customHeight="1" x14ac:dyDescent="0.15">
      <c r="A10" s="48" t="s">
        <v>136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5" ht="14" customHeight="1" x14ac:dyDescent="0.15">
      <c r="A11" s="48" t="s">
        <v>185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5" ht="14" customHeight="1" x14ac:dyDescent="0.15">
      <c r="A12" s="48" t="s">
        <v>186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5" ht="14" customHeight="1" x14ac:dyDescent="0.15">
      <c r="A13" s="48" t="s">
        <v>187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5" ht="14" customHeight="1" x14ac:dyDescent="0.15">
      <c r="A14" s="48" t="s">
        <v>188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5" ht="14" customHeight="1" x14ac:dyDescent="0.15">
      <c r="A15" s="48" t="s">
        <v>189</v>
      </c>
      <c r="B15">
        <v>0</v>
      </c>
      <c r="C15" s="57">
        <v>0</v>
      </c>
      <c r="D15" s="57">
        <v>0</v>
      </c>
      <c r="E15" s="57">
        <v>0</v>
      </c>
      <c r="F15" s="57">
        <v>0</v>
      </c>
      <c r="G15" s="57">
        <v>0</v>
      </c>
      <c r="H15" s="57">
        <v>0</v>
      </c>
      <c r="I15" s="57">
        <v>0</v>
      </c>
      <c r="J15" s="57">
        <v>0</v>
      </c>
      <c r="K15" s="57">
        <v>0</v>
      </c>
      <c r="L15" s="57">
        <v>0</v>
      </c>
      <c r="M15" s="57">
        <v>0</v>
      </c>
      <c r="N15" s="57">
        <v>0</v>
      </c>
      <c r="O15" s="57">
        <v>0</v>
      </c>
      <c r="P15" s="57">
        <v>0</v>
      </c>
      <c r="Q15" s="57">
        <v>0</v>
      </c>
      <c r="R15" s="57">
        <v>0</v>
      </c>
      <c r="S15" s="57">
        <v>0</v>
      </c>
      <c r="T15" s="57">
        <v>0</v>
      </c>
      <c r="U15" s="57">
        <v>0</v>
      </c>
      <c r="V15" s="57">
        <v>0</v>
      </c>
      <c r="W15" s="57">
        <v>0</v>
      </c>
      <c r="X15" s="57">
        <v>0</v>
      </c>
      <c r="Y15" s="57">
        <v>0</v>
      </c>
      <c r="Z15" s="57">
        <v>0</v>
      </c>
      <c r="AA15" s="57">
        <v>0</v>
      </c>
      <c r="AB15" s="57">
        <v>0</v>
      </c>
      <c r="AC15" s="57">
        <v>0</v>
      </c>
      <c r="AD15" s="57">
        <v>0</v>
      </c>
      <c r="AE15" s="57">
        <v>0</v>
      </c>
      <c r="AF15" s="57">
        <v>0</v>
      </c>
      <c r="AG15" s="57"/>
    </row>
    <row r="16" spans="1:35" ht="14" customHeight="1" x14ac:dyDescent="0.15">
      <c r="A16" s="48" t="s">
        <v>190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3" ht="14" customHeight="1" x14ac:dyDescent="0.15">
      <c r="A17" s="48" t="s">
        <v>191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3" ht="14" customHeight="1" x14ac:dyDescent="0.15">
      <c r="A18" s="48" t="s">
        <v>192</v>
      </c>
      <c r="B18">
        <v>0</v>
      </c>
      <c r="C18" s="30">
        <v>0</v>
      </c>
      <c r="D18" s="30">
        <v>0</v>
      </c>
      <c r="E18" s="30">
        <v>0</v>
      </c>
      <c r="F18" s="30">
        <v>0</v>
      </c>
      <c r="G18" s="30">
        <v>0</v>
      </c>
      <c r="H18" s="30">
        <v>0</v>
      </c>
      <c r="I18" s="30">
        <v>0</v>
      </c>
      <c r="J18" s="30">
        <v>0</v>
      </c>
      <c r="K18" s="30">
        <v>0</v>
      </c>
      <c r="L18" s="30">
        <v>0</v>
      </c>
      <c r="M18" s="30">
        <v>0</v>
      </c>
      <c r="N18" s="30">
        <v>0</v>
      </c>
      <c r="O18" s="30">
        <v>0</v>
      </c>
      <c r="P18" s="30">
        <v>0</v>
      </c>
      <c r="Q18" s="30">
        <v>0</v>
      </c>
      <c r="R18" s="30">
        <v>0</v>
      </c>
      <c r="S18" s="30">
        <v>0</v>
      </c>
      <c r="T18" s="30">
        <v>0</v>
      </c>
      <c r="U18" s="30">
        <v>0</v>
      </c>
      <c r="V18" s="30">
        <v>0</v>
      </c>
      <c r="W18" s="30">
        <v>0</v>
      </c>
      <c r="X18" s="30">
        <v>0</v>
      </c>
      <c r="Y18" s="30">
        <v>0</v>
      </c>
      <c r="Z18" s="30">
        <v>0</v>
      </c>
      <c r="AA18" s="30">
        <v>0</v>
      </c>
      <c r="AB18" s="30">
        <v>0</v>
      </c>
      <c r="AC18" s="30">
        <v>0</v>
      </c>
      <c r="AD18" s="30">
        <v>0</v>
      </c>
      <c r="AE18" s="30">
        <v>0</v>
      </c>
      <c r="AF18" s="30">
        <v>0</v>
      </c>
      <c r="AG18" s="30"/>
    </row>
    <row r="19" spans="1:33" ht="14" customHeight="1" x14ac:dyDescent="0.15">
      <c r="A19" s="48" t="s">
        <v>193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3" ht="14" customHeight="1" x14ac:dyDescent="0.15">
      <c r="A20" s="48" t="s">
        <v>194</v>
      </c>
      <c r="B20">
        <v>0</v>
      </c>
      <c r="C20" s="57">
        <v>0</v>
      </c>
      <c r="D20" s="57">
        <v>0</v>
      </c>
      <c r="E20" s="57">
        <v>0</v>
      </c>
      <c r="F20" s="57">
        <v>0</v>
      </c>
      <c r="G20" s="57">
        <v>0</v>
      </c>
      <c r="H20" s="57">
        <v>0</v>
      </c>
      <c r="I20" s="57">
        <v>0</v>
      </c>
      <c r="J20" s="57">
        <v>0</v>
      </c>
      <c r="K20" s="57">
        <v>0</v>
      </c>
      <c r="L20" s="57">
        <v>0</v>
      </c>
      <c r="M20" s="57">
        <v>0</v>
      </c>
      <c r="N20" s="57">
        <v>0</v>
      </c>
      <c r="O20" s="57">
        <v>0</v>
      </c>
      <c r="P20" s="57">
        <v>0</v>
      </c>
      <c r="Q20" s="57">
        <v>0</v>
      </c>
      <c r="R20" s="57">
        <v>0</v>
      </c>
      <c r="S20" s="57">
        <v>0</v>
      </c>
      <c r="T20" s="57">
        <v>0</v>
      </c>
      <c r="U20" s="57">
        <v>0</v>
      </c>
      <c r="V20" s="57">
        <v>0</v>
      </c>
      <c r="W20" s="57">
        <v>0</v>
      </c>
      <c r="X20" s="57">
        <v>0</v>
      </c>
      <c r="Y20" s="57">
        <v>0</v>
      </c>
      <c r="Z20" s="57">
        <v>0</v>
      </c>
      <c r="AA20" s="57">
        <v>0</v>
      </c>
      <c r="AB20" s="57">
        <v>0</v>
      </c>
      <c r="AC20" s="57">
        <v>0</v>
      </c>
      <c r="AD20" s="57">
        <v>0</v>
      </c>
      <c r="AE20" s="57">
        <v>0</v>
      </c>
      <c r="AF20" s="57">
        <v>0</v>
      </c>
      <c r="AG20" s="57"/>
    </row>
    <row r="21" spans="1:33" ht="14" customHeight="1" x14ac:dyDescent="0.15">
      <c r="A21" s="48" t="s">
        <v>195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3" ht="14" customHeight="1" x14ac:dyDescent="0.15">
      <c r="A22" s="48" t="s">
        <v>196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3" ht="14" customHeight="1" x14ac:dyDescent="0.15">
      <c r="A23" s="48" t="s">
        <v>197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3" ht="14" customHeight="1" x14ac:dyDescent="0.15">
      <c r="A24" s="48" t="s">
        <v>198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3" ht="14" customHeight="1" x14ac:dyDescent="0.15">
      <c r="A25" s="48" t="s">
        <v>199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3" ht="14" customHeight="1" x14ac:dyDescent="0.15">
      <c r="A26" s="48" t="s">
        <v>200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3" ht="14" customHeight="1" x14ac:dyDescent="0.15"/>
    <row r="28" spans="1:33" ht="14.5" customHeight="1" x14ac:dyDescent="0.2">
      <c r="A28" s="29"/>
    </row>
    <row r="29" spans="1:33" ht="14" customHeight="1" x14ac:dyDescent="0.15"/>
    <row r="30" spans="1:33" ht="14.5" customHeight="1" x14ac:dyDescent="0.2">
      <c r="A30" s="29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 spans="1:33" ht="14" customHeight="1" x14ac:dyDescent="0.15"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 spans="1:33" ht="14" customHeight="1" x14ac:dyDescent="0.15"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 spans="1:35" ht="14.5" customHeight="1" x14ac:dyDescent="0.2">
      <c r="A33" s="29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 spans="1:35" ht="14" customHeight="1" x14ac:dyDescent="0.15">
      <c r="A34" s="31"/>
      <c r="B34" s="32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</row>
    <row r="35" spans="1:35" ht="14" customHeight="1" x14ac:dyDescent="0.15">
      <c r="A35" s="31"/>
      <c r="B35" s="32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58"/>
    </row>
    <row r="36" spans="1:35" ht="14" customHeight="1" x14ac:dyDescent="0.15">
      <c r="A36" s="31"/>
      <c r="B36" s="32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</row>
    <row r="37" spans="1:35" ht="14" customHeight="1" x14ac:dyDescent="0.15">
      <c r="A37" s="31"/>
      <c r="B37" s="32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</row>
    <row r="38" spans="1:35" ht="14" customHeight="1" x14ac:dyDescent="0.15">
      <c r="A38" s="31"/>
      <c r="B38" s="32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</row>
    <row r="39" spans="1:35" ht="14" customHeight="1" x14ac:dyDescent="0.15">
      <c r="A39" s="31"/>
      <c r="B39" s="32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</row>
    <row r="40" spans="1:35" ht="14" customHeight="1" x14ac:dyDescent="0.15">
      <c r="A40" s="31"/>
      <c r="B40" s="32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</row>
    <row r="41" spans="1:35" ht="14" customHeight="1" x14ac:dyDescent="0.15">
      <c r="A41" s="31"/>
      <c r="B41" s="32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</row>
    <row r="42" spans="1:35" ht="14" customHeight="1" x14ac:dyDescent="0.15">
      <c r="A42" s="31"/>
      <c r="B42" s="32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58"/>
      <c r="AG42" s="58"/>
      <c r="AH42" s="58"/>
      <c r="AI42" s="58"/>
    </row>
    <row r="43" spans="1:35" ht="14" customHeight="1" x14ac:dyDescent="0.15">
      <c r="A43" s="31"/>
      <c r="B43" s="32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  <c r="AD43" s="58"/>
      <c r="AE43" s="58"/>
      <c r="AF43" s="58"/>
      <c r="AG43" s="58"/>
      <c r="AH43" s="58"/>
      <c r="AI43" s="58"/>
    </row>
    <row r="44" spans="1:35" ht="14" customHeight="1" x14ac:dyDescent="0.15">
      <c r="A44" s="31"/>
      <c r="B44" s="32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</row>
    <row r="45" spans="1:35" ht="14" customHeight="1" x14ac:dyDescent="0.15">
      <c r="A45" s="31"/>
      <c r="B45" s="32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</row>
    <row r="46" spans="1:35" ht="14" customHeight="1" x14ac:dyDescent="0.15">
      <c r="A46" s="33"/>
      <c r="B46" s="34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</row>
    <row r="47" spans="1:35" ht="14.5" customHeight="1" x14ac:dyDescent="0.2">
      <c r="A47" s="29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 spans="1:35" ht="14" customHeight="1" x14ac:dyDescent="0.15">
      <c r="A48" s="31"/>
      <c r="B48" s="32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  <c r="AD48" s="58"/>
      <c r="AE48" s="58"/>
      <c r="AF48" s="58"/>
      <c r="AG48" s="58"/>
      <c r="AH48" s="58"/>
      <c r="AI48" s="58"/>
    </row>
    <row r="49" spans="1:35" ht="14" customHeight="1" x14ac:dyDescent="0.15">
      <c r="A49" s="31"/>
      <c r="B49" s="32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  <c r="AC49" s="58"/>
      <c r="AD49" s="58"/>
      <c r="AE49" s="58"/>
      <c r="AF49" s="58"/>
      <c r="AG49" s="58"/>
      <c r="AH49" s="58"/>
      <c r="AI49" s="58"/>
    </row>
    <row r="50" spans="1:35" ht="14.5" customHeight="1" x14ac:dyDescent="0.2">
      <c r="A50" s="35"/>
      <c r="B50" s="32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  <c r="AD50" s="58"/>
      <c r="AE50" s="58"/>
      <c r="AF50" s="58"/>
      <c r="AG50" s="58"/>
      <c r="AH50" s="58"/>
      <c r="AI50" s="58"/>
    </row>
    <row r="51" spans="1:35" ht="14" customHeight="1" x14ac:dyDescent="0.15">
      <c r="A51" s="31"/>
      <c r="B51" s="32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  <c r="AD51" s="58"/>
      <c r="AE51" s="58"/>
      <c r="AF51" s="58"/>
      <c r="AG51" s="58"/>
      <c r="AH51" s="58"/>
      <c r="AI51" s="58"/>
    </row>
    <row r="52" spans="1:35" ht="14" customHeight="1" x14ac:dyDescent="0.15">
      <c r="A52" s="31"/>
      <c r="B52" s="32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</row>
    <row r="53" spans="1:35" ht="14" customHeight="1" x14ac:dyDescent="0.15">
      <c r="A53" s="31"/>
      <c r="B53" s="32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</row>
    <row r="54" spans="1:35" ht="14" customHeight="1" x14ac:dyDescent="0.15">
      <c r="A54" s="31"/>
      <c r="B54" s="32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</row>
    <row r="55" spans="1:35" ht="14" customHeight="1" x14ac:dyDescent="0.15">
      <c r="A55" s="31"/>
      <c r="B55" s="32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  <c r="AB55" s="58"/>
      <c r="AC55" s="58"/>
      <c r="AD55" s="58"/>
      <c r="AE55" s="58"/>
      <c r="AF55" s="58"/>
      <c r="AG55" s="58"/>
      <c r="AH55" s="58"/>
      <c r="AI55" s="58"/>
    </row>
    <row r="56" spans="1:35" ht="14" customHeight="1" x14ac:dyDescent="0.15">
      <c r="A56" s="31"/>
      <c r="B56" s="36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  <c r="AD56" s="58"/>
      <c r="AE56" s="58"/>
      <c r="AF56" s="58"/>
      <c r="AG56" s="58"/>
      <c r="AH56" s="58"/>
      <c r="AI56" s="58"/>
    </row>
    <row r="57" spans="1:35" ht="14" customHeight="1" x14ac:dyDescent="0.15">
      <c r="A57" s="31"/>
      <c r="B57" s="36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  <c r="AI57" s="58"/>
    </row>
    <row r="58" spans="1:35" ht="14" customHeight="1" x14ac:dyDescent="0.15">
      <c r="A58" s="31"/>
      <c r="B58" s="36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</row>
    <row r="59" spans="1:35" ht="14" customHeight="1" x14ac:dyDescent="0.15">
      <c r="A59" s="31"/>
      <c r="B59" s="36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</row>
    <row r="60" spans="1:35" ht="14" customHeight="1" x14ac:dyDescent="0.15">
      <c r="A60" s="31"/>
      <c r="B60" s="36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  <c r="AB60" s="58"/>
      <c r="AC60" s="58"/>
      <c r="AD60" s="58"/>
      <c r="AE60" s="58"/>
      <c r="AF60" s="58"/>
      <c r="AG60" s="58"/>
      <c r="AH60" s="58"/>
      <c r="AI60" s="58"/>
    </row>
    <row r="61" spans="1:35" ht="14" customHeight="1" x14ac:dyDescent="0.15">
      <c r="A61" s="31"/>
      <c r="B61" s="3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</row>
    <row r="62" spans="1:35" ht="14" customHeight="1" x14ac:dyDescent="0.15">
      <c r="A62" s="33"/>
      <c r="B62" s="36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</row>
    <row r="63" spans="1:35" ht="14.5" customHeight="1" x14ac:dyDescent="0.2">
      <c r="A63" s="37"/>
      <c r="B63" s="36"/>
    </row>
    <row r="64" spans="1:35" ht="14" customHeight="1" x14ac:dyDescent="0.15">
      <c r="A64" s="31"/>
      <c r="B64" s="36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</row>
    <row r="65" spans="1:35" ht="14" customHeight="1" x14ac:dyDescent="0.15">
      <c r="A65" s="31"/>
      <c r="B65" s="36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</row>
    <row r="66" spans="1:35" ht="14" customHeight="1" x14ac:dyDescent="0.15">
      <c r="A66" s="31"/>
      <c r="B66" s="36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  <c r="AD66" s="58"/>
      <c r="AE66" s="58"/>
      <c r="AF66" s="58"/>
      <c r="AG66" s="58"/>
      <c r="AH66" s="58"/>
      <c r="AI66" s="58"/>
    </row>
    <row r="67" spans="1:35" ht="14" customHeight="1" x14ac:dyDescent="0.15">
      <c r="A67" s="31"/>
      <c r="B67" s="36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  <c r="AG67" s="58"/>
      <c r="AH67" s="58"/>
      <c r="AI67" s="58"/>
    </row>
    <row r="68" spans="1:35" ht="14" customHeight="1" x14ac:dyDescent="0.15">
      <c r="A68" s="31"/>
      <c r="B68" s="36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</row>
    <row r="69" spans="1:35" ht="14" customHeight="1" x14ac:dyDescent="0.15">
      <c r="A69" s="31"/>
      <c r="B69" s="36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</row>
    <row r="70" spans="1:35" ht="14" customHeight="1" x14ac:dyDescent="0.15">
      <c r="A70" s="31"/>
      <c r="B70" s="36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</row>
    <row r="71" spans="1:35" ht="14" customHeight="1" x14ac:dyDescent="0.15">
      <c r="A71" s="31"/>
      <c r="B71" s="36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</row>
    <row r="72" spans="1:35" ht="14" customHeight="1" x14ac:dyDescent="0.15">
      <c r="A72" s="31"/>
      <c r="B72" s="36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</row>
    <row r="73" spans="1:35" ht="14" customHeight="1" x14ac:dyDescent="0.15">
      <c r="A73" s="31"/>
      <c r="B73" s="36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  <c r="AD73" s="58"/>
      <c r="AE73" s="58"/>
      <c r="AF73" s="58"/>
      <c r="AG73" s="58"/>
      <c r="AH73" s="58"/>
      <c r="AI73" s="58"/>
    </row>
    <row r="74" spans="1:35" ht="14" customHeight="1" x14ac:dyDescent="0.15">
      <c r="A74" s="31"/>
      <c r="B74" s="36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  <c r="AD74" s="58"/>
      <c r="AE74" s="58"/>
      <c r="AF74" s="58"/>
      <c r="AG74" s="58"/>
      <c r="AH74" s="58"/>
      <c r="AI74" s="58"/>
    </row>
    <row r="75" spans="1:35" ht="14" customHeight="1" x14ac:dyDescent="0.15">
      <c r="A75" s="31"/>
      <c r="B75" s="36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</row>
    <row r="76" spans="1:35" ht="14" customHeight="1" x14ac:dyDescent="0.15">
      <c r="A76" s="33"/>
      <c r="B76" s="36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</row>
    <row r="77" spans="1:35" ht="14.5" customHeight="1" x14ac:dyDescent="0.2">
      <c r="A77" s="37"/>
      <c r="B77" s="36"/>
    </row>
    <row r="78" spans="1:35" ht="14.5" customHeight="1" x14ac:dyDescent="0.2">
      <c r="A78" s="37"/>
      <c r="B78" s="36"/>
    </row>
    <row r="79" spans="1:35" ht="14" customHeight="1" x14ac:dyDescent="0.15">
      <c r="A79" s="31"/>
      <c r="B79" s="36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  <c r="AB79" s="58"/>
      <c r="AC79" s="58"/>
      <c r="AD79" s="58"/>
      <c r="AE79" s="58"/>
      <c r="AF79" s="58"/>
      <c r="AG79" s="58"/>
      <c r="AH79" s="58"/>
      <c r="AI79" s="58"/>
    </row>
    <row r="80" spans="1:35" ht="14" customHeight="1" x14ac:dyDescent="0.15">
      <c r="A80" s="31"/>
      <c r="B80" s="36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</row>
    <row r="81" spans="1:35" ht="14" customHeight="1" x14ac:dyDescent="0.15">
      <c r="A81" s="31"/>
      <c r="B81" s="36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</row>
    <row r="82" spans="1:35" ht="14" customHeight="1" x14ac:dyDescent="0.15">
      <c r="A82" s="31"/>
      <c r="B82" s="32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  <c r="AD82" s="58"/>
      <c r="AE82" s="58"/>
      <c r="AF82" s="58"/>
      <c r="AG82" s="58"/>
      <c r="AH82" s="58"/>
      <c r="AI82" s="58"/>
    </row>
    <row r="83" spans="1:35" ht="14" customHeight="1" x14ac:dyDescent="0.15">
      <c r="A83" s="31"/>
      <c r="B83" s="32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  <c r="AB83" s="58"/>
      <c r="AC83" s="58"/>
      <c r="AD83" s="58"/>
      <c r="AE83" s="58"/>
      <c r="AF83" s="58"/>
      <c r="AG83" s="58"/>
      <c r="AH83" s="58"/>
      <c r="AI83" s="58"/>
    </row>
    <row r="84" spans="1:35" ht="14" customHeight="1" x14ac:dyDescent="0.15">
      <c r="A84" s="31"/>
      <c r="B84" s="32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</row>
    <row r="85" spans="1:35" ht="14" customHeight="1" x14ac:dyDescent="0.15">
      <c r="A85" s="31"/>
      <c r="B85" s="32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  <c r="AC85" s="58"/>
      <c r="AD85" s="58"/>
      <c r="AE85" s="58"/>
      <c r="AF85" s="58"/>
      <c r="AG85" s="58"/>
      <c r="AH85" s="58"/>
      <c r="AI85" s="58"/>
    </row>
    <row r="86" spans="1:35" ht="14" customHeight="1" x14ac:dyDescent="0.15">
      <c r="A86" s="31"/>
      <c r="B86" s="32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</row>
    <row r="87" spans="1:35" ht="14" customHeight="1" x14ac:dyDescent="0.15">
      <c r="A87" s="31"/>
      <c r="B87" s="32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  <c r="AC87" s="58"/>
      <c r="AD87" s="58"/>
      <c r="AE87" s="58"/>
      <c r="AF87" s="58"/>
      <c r="AG87" s="58"/>
      <c r="AH87" s="58"/>
      <c r="AI87" s="58"/>
    </row>
    <row r="88" spans="1:35" ht="14" customHeight="1" x14ac:dyDescent="0.15">
      <c r="A88" s="31"/>
      <c r="B88" s="32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  <c r="AB88" s="58"/>
      <c r="AC88" s="58"/>
      <c r="AD88" s="58"/>
      <c r="AE88" s="58"/>
      <c r="AF88" s="58"/>
      <c r="AG88" s="58"/>
      <c r="AH88" s="58"/>
      <c r="AI88" s="58"/>
    </row>
    <row r="89" spans="1:35" ht="14" customHeight="1" x14ac:dyDescent="0.15">
      <c r="A89" s="31"/>
      <c r="B89" s="32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  <c r="AD89" s="58"/>
      <c r="AE89" s="58"/>
      <c r="AF89" s="58"/>
      <c r="AG89" s="58"/>
      <c r="AH89" s="58"/>
      <c r="AI89" s="58"/>
    </row>
    <row r="90" spans="1:35" ht="14.5" customHeight="1" x14ac:dyDescent="0.2">
      <c r="A90" s="38"/>
      <c r="B90" s="32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  <c r="AB90" s="58"/>
      <c r="AC90" s="58"/>
      <c r="AD90" s="58"/>
      <c r="AE90" s="58"/>
      <c r="AF90" s="58"/>
      <c r="AG90" s="58"/>
      <c r="AH90" s="58"/>
      <c r="AI90" s="58"/>
    </row>
    <row r="91" spans="1:35" ht="14.5" customHeight="1" x14ac:dyDescent="0.2">
      <c r="A91" s="35"/>
      <c r="B91" s="32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</row>
    <row r="92" spans="1:35" ht="14" customHeight="1" x14ac:dyDescent="0.15">
      <c r="A92" s="31"/>
      <c r="B92" s="32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</row>
    <row r="93" spans="1:35" ht="14" customHeight="1" x14ac:dyDescent="0.15">
      <c r="A93" s="31"/>
      <c r="B93" s="32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  <c r="AB93" s="58"/>
      <c r="AC93" s="58"/>
      <c r="AD93" s="58"/>
      <c r="AE93" s="58"/>
      <c r="AF93" s="58"/>
      <c r="AG93" s="58"/>
      <c r="AH93" s="58"/>
      <c r="AI93" s="58"/>
    </row>
    <row r="94" spans="1:35" ht="14" customHeight="1" x14ac:dyDescent="0.15">
      <c r="A94" s="31"/>
      <c r="B94" s="32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  <c r="AB94" s="58"/>
      <c r="AC94" s="58"/>
      <c r="AD94" s="58"/>
      <c r="AE94" s="58"/>
      <c r="AF94" s="58"/>
      <c r="AG94" s="58"/>
      <c r="AH94" s="58"/>
      <c r="AI94" s="58"/>
    </row>
    <row r="95" spans="1:35" ht="14.5" customHeight="1" x14ac:dyDescent="0.2">
      <c r="A95" s="37"/>
    </row>
    <row r="96" spans="1:35" ht="14" customHeight="1" x14ac:dyDescent="0.15">
      <c r="A96" s="31"/>
      <c r="B96" s="32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  <c r="AB96" s="58"/>
      <c r="AC96" s="58"/>
      <c r="AD96" s="58"/>
      <c r="AE96" s="58"/>
      <c r="AF96" s="58"/>
      <c r="AG96" s="58"/>
      <c r="AH96" s="58"/>
      <c r="AI96" s="58"/>
    </row>
    <row r="97" spans="1:35" ht="14" customHeight="1" x14ac:dyDescent="0.15">
      <c r="A97" s="31"/>
      <c r="B97" s="32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  <c r="AA97" s="58"/>
      <c r="AB97" s="58"/>
      <c r="AC97" s="58"/>
      <c r="AD97" s="58"/>
      <c r="AE97" s="58"/>
      <c r="AF97" s="58"/>
      <c r="AG97" s="58"/>
      <c r="AH97" s="58"/>
      <c r="AI97" s="58"/>
    </row>
    <row r="98" spans="1:35" ht="14" customHeight="1" x14ac:dyDescent="0.15">
      <c r="A98" s="31"/>
      <c r="B98" s="32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  <c r="AA98" s="58"/>
      <c r="AB98" s="58"/>
      <c r="AC98" s="58"/>
      <c r="AD98" s="58"/>
      <c r="AE98" s="58"/>
      <c r="AF98" s="58"/>
      <c r="AG98" s="58"/>
      <c r="AH98" s="58"/>
      <c r="AI98" s="58"/>
    </row>
    <row r="99" spans="1:35" ht="14" customHeight="1" x14ac:dyDescent="0.15">
      <c r="A99" s="31"/>
      <c r="B99" s="32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  <c r="AA99" s="58"/>
      <c r="AB99" s="58"/>
      <c r="AC99" s="58"/>
      <c r="AD99" s="58"/>
      <c r="AE99" s="58"/>
      <c r="AF99" s="58"/>
      <c r="AG99" s="58"/>
      <c r="AH99" s="58"/>
      <c r="AI99" s="58"/>
    </row>
    <row r="100" spans="1:35" ht="14" customHeight="1" x14ac:dyDescent="0.15">
      <c r="A100" s="31"/>
      <c r="B100" s="32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  <c r="AB100" s="58"/>
      <c r="AC100" s="58"/>
      <c r="AD100" s="58"/>
      <c r="AE100" s="58"/>
      <c r="AF100" s="58"/>
      <c r="AG100" s="58"/>
      <c r="AH100" s="58"/>
      <c r="AI100" s="58"/>
    </row>
    <row r="101" spans="1:35" ht="14" customHeight="1" x14ac:dyDescent="0.15">
      <c r="A101" s="31"/>
      <c r="B101" s="32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  <c r="AA101" s="58"/>
      <c r="AB101" s="58"/>
      <c r="AC101" s="58"/>
      <c r="AD101" s="58"/>
      <c r="AE101" s="58"/>
      <c r="AF101" s="58"/>
      <c r="AG101" s="58"/>
      <c r="AH101" s="58"/>
      <c r="AI101" s="58"/>
    </row>
    <row r="102" spans="1:35" ht="14" customHeight="1" x14ac:dyDescent="0.15">
      <c r="A102" s="31"/>
      <c r="B102" s="32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</row>
    <row r="103" spans="1:35" ht="14" customHeight="1" x14ac:dyDescent="0.15">
      <c r="A103" s="31"/>
      <c r="B103" s="32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  <c r="AA103" s="58"/>
      <c r="AB103" s="58"/>
      <c r="AC103" s="58"/>
      <c r="AD103" s="58"/>
      <c r="AE103" s="58"/>
      <c r="AF103" s="58"/>
      <c r="AG103" s="58"/>
      <c r="AH103" s="58"/>
      <c r="AI103" s="58"/>
    </row>
    <row r="104" spans="1:35" ht="14" customHeight="1" x14ac:dyDescent="0.15">
      <c r="A104" s="31"/>
      <c r="B104" s="32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</row>
    <row r="105" spans="1:35" ht="14" customHeight="1" x14ac:dyDescent="0.15">
      <c r="A105" s="31"/>
      <c r="B105" s="32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  <c r="AH105" s="58"/>
      <c r="AI105" s="58"/>
    </row>
    <row r="106" spans="1:35" ht="14" customHeight="1" x14ac:dyDescent="0.15">
      <c r="A106" s="31"/>
      <c r="B106" s="32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</row>
    <row r="107" spans="1:35" ht="14" customHeight="1" x14ac:dyDescent="0.15">
      <c r="A107" s="33"/>
      <c r="B107" s="34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</row>
    <row r="108" spans="1:35" ht="14.5" customHeight="1" x14ac:dyDescent="0.2">
      <c r="A108" s="29"/>
    </row>
    <row r="109" spans="1:35" ht="14" customHeight="1" x14ac:dyDescent="0.15">
      <c r="A109" s="39"/>
      <c r="B109" s="40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</row>
    <row r="110" spans="1:35" ht="14" customHeight="1" x14ac:dyDescent="0.15">
      <c r="A110" s="39"/>
      <c r="B110" s="40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</row>
    <row r="111" spans="1:35" ht="14" customHeight="1" x14ac:dyDescent="0.15">
      <c r="A111" s="39"/>
      <c r="B111" s="43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</row>
    <row r="112" spans="1:35" ht="14" customHeight="1" x14ac:dyDescent="0.15">
      <c r="A112" s="39"/>
      <c r="B112" s="43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</row>
    <row r="113" spans="1:35" ht="14.5" customHeight="1" x14ac:dyDescent="0.2">
      <c r="A113" s="29"/>
    </row>
    <row r="114" spans="1:35" ht="14" customHeight="1" x14ac:dyDescent="0.15">
      <c r="A114" s="31"/>
      <c r="B114" s="32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</row>
    <row r="115" spans="1:35" ht="14" customHeight="1" x14ac:dyDescent="0.15">
      <c r="A115" s="31"/>
      <c r="B115" s="32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</row>
    <row r="116" spans="1:35" ht="14" customHeight="1" x14ac:dyDescent="0.15">
      <c r="A116" s="31"/>
      <c r="B116" s="32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</row>
    <row r="117" spans="1:35" ht="14" customHeight="1" x14ac:dyDescent="0.15">
      <c r="A117" s="31"/>
      <c r="B117" s="32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</row>
    <row r="118" spans="1:35" ht="14" customHeight="1" x14ac:dyDescent="0.15">
      <c r="A118" s="31"/>
      <c r="B118" s="32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  <c r="AA118" s="58"/>
      <c r="AB118" s="58"/>
      <c r="AC118" s="58"/>
      <c r="AD118" s="58"/>
      <c r="AE118" s="58"/>
      <c r="AF118" s="58"/>
      <c r="AG118" s="58"/>
      <c r="AH118" s="58"/>
      <c r="AI118" s="58"/>
    </row>
    <row r="119" spans="1:35" ht="14" customHeight="1" x14ac:dyDescent="0.15">
      <c r="A119" s="31"/>
      <c r="B119" s="32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  <c r="AA119" s="58"/>
      <c r="AB119" s="58"/>
      <c r="AC119" s="58"/>
      <c r="AD119" s="58"/>
      <c r="AE119" s="58"/>
      <c r="AF119" s="58"/>
      <c r="AG119" s="58"/>
      <c r="AH119" s="58"/>
      <c r="AI119" s="58"/>
    </row>
    <row r="120" spans="1:35" ht="14" customHeight="1" x14ac:dyDescent="0.15">
      <c r="A120" s="31"/>
      <c r="B120" s="32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  <c r="AA120" s="58"/>
      <c r="AB120" s="58"/>
      <c r="AC120" s="58"/>
      <c r="AD120" s="58"/>
      <c r="AE120" s="58"/>
      <c r="AF120" s="58"/>
      <c r="AG120" s="58"/>
      <c r="AH120" s="58"/>
      <c r="AI120" s="58"/>
    </row>
    <row r="121" spans="1:35" ht="14" customHeight="1" x14ac:dyDescent="0.15">
      <c r="A121" s="31"/>
      <c r="B121" s="32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</row>
    <row r="122" spans="1:35" ht="14" customHeight="1" x14ac:dyDescent="0.15">
      <c r="A122" s="31"/>
      <c r="B122" s="32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</row>
    <row r="123" spans="1:35" ht="14" customHeight="1" x14ac:dyDescent="0.15">
      <c r="A123" s="31"/>
      <c r="B123" s="32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</row>
    <row r="124" spans="1:35" ht="14" customHeight="1" x14ac:dyDescent="0.15">
      <c r="A124" s="33"/>
      <c r="B124" s="34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</row>
    <row r="125" spans="1:35" ht="14.5" customHeight="1" x14ac:dyDescent="0.2">
      <c r="A125" s="29"/>
    </row>
    <row r="126" spans="1:35" ht="14.5" customHeight="1" x14ac:dyDescent="0.2">
      <c r="A126" s="35"/>
      <c r="B126" s="32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</row>
    <row r="127" spans="1:35" ht="14" customHeight="1" x14ac:dyDescent="0.15">
      <c r="A127" s="31"/>
      <c r="B127" s="32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</row>
    <row r="128" spans="1:35" ht="14" customHeight="1" x14ac:dyDescent="0.15">
      <c r="A128" s="31"/>
      <c r="B128" s="32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</row>
    <row r="129" spans="1:35" ht="14" customHeight="1" x14ac:dyDescent="0.15">
      <c r="A129" s="31"/>
      <c r="B129" s="32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</row>
    <row r="130" spans="1:35" ht="14" customHeight="1" x14ac:dyDescent="0.15">
      <c r="A130" s="31"/>
      <c r="B130" s="32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</row>
    <row r="131" spans="1:35" ht="14" customHeight="1" x14ac:dyDescent="0.15">
      <c r="A131" s="31"/>
      <c r="B131" s="32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</row>
    <row r="132" spans="1:35" ht="14" customHeight="1" x14ac:dyDescent="0.15">
      <c r="A132" s="31"/>
      <c r="B132" s="32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</row>
    <row r="133" spans="1:35" ht="14" customHeight="1" x14ac:dyDescent="0.15">
      <c r="A133" s="31"/>
      <c r="B133" s="32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</row>
    <row r="134" spans="1:35" ht="14" customHeight="1" x14ac:dyDescent="0.15">
      <c r="A134" s="31"/>
      <c r="B134" s="32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</row>
    <row r="135" spans="1:35" ht="14" customHeight="1" x14ac:dyDescent="0.15">
      <c r="A135" s="31"/>
      <c r="B135" s="32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</row>
    <row r="136" spans="1:35" ht="14" customHeight="1" x14ac:dyDescent="0.15">
      <c r="A136" s="31"/>
      <c r="B136" s="32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</row>
    <row r="137" spans="1:35" ht="14" customHeight="1" x14ac:dyDescent="0.15">
      <c r="A137" s="31"/>
      <c r="B137" s="32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</row>
    <row r="138" spans="1:35" ht="14" customHeight="1" x14ac:dyDescent="0.15">
      <c r="A138" s="31"/>
      <c r="B138" s="32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</row>
    <row r="139" spans="1:35" ht="14" customHeight="1" x14ac:dyDescent="0.15">
      <c r="A139" s="31"/>
      <c r="B139" s="32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</row>
    <row r="140" spans="1:35" ht="14" customHeight="1" x14ac:dyDescent="0.15">
      <c r="A140" s="31"/>
      <c r="B140" s="32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</row>
    <row r="141" spans="1:35" ht="14" customHeight="1" x14ac:dyDescent="0.15">
      <c r="A141" s="31"/>
      <c r="B141" s="32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</row>
    <row r="142" spans="1:35" ht="14" customHeight="1" x14ac:dyDescent="0.15">
      <c r="A142" s="31"/>
      <c r="B142" s="32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</row>
    <row r="143" spans="1:35" ht="14" customHeight="1" x14ac:dyDescent="0.15">
      <c r="A143" s="31"/>
      <c r="B143" s="32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</row>
    <row r="144" spans="1:35" ht="14" customHeight="1" x14ac:dyDescent="0.15">
      <c r="A144" s="31"/>
      <c r="B144" s="32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</row>
    <row r="145" spans="1:35" ht="14" customHeight="1" x14ac:dyDescent="0.15">
      <c r="A145" s="31"/>
      <c r="B145" s="32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</row>
    <row r="146" spans="1:35" ht="14" customHeight="1" x14ac:dyDescent="0.15">
      <c r="A146" s="33"/>
      <c r="B146" s="34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</row>
    <row r="147" spans="1:35" ht="14" customHeight="1" x14ac:dyDescent="0.15">
      <c r="A147" s="31"/>
      <c r="B147" s="32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</row>
    <row r="148" spans="1:35" ht="14" customHeight="1" x14ac:dyDescent="0.15">
      <c r="A148" s="33"/>
      <c r="B148" s="34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</row>
    <row r="149" spans="1:35" ht="14" customHeight="1" x14ac:dyDescent="0.15"/>
    <row r="150" spans="1:35" ht="14" customHeight="1" x14ac:dyDescent="0.15">
      <c r="C150" s="60"/>
      <c r="D150" s="60"/>
      <c r="E150" s="60"/>
      <c r="F150" s="60"/>
      <c r="G150" s="60"/>
      <c r="H150" s="60"/>
      <c r="I150" s="60"/>
      <c r="J150" s="60"/>
      <c r="K150" s="60"/>
      <c r="L150" s="60"/>
    </row>
    <row r="151" spans="1:35" ht="14" customHeight="1" x14ac:dyDescent="0.15">
      <c r="C151" s="60"/>
      <c r="D151" s="60"/>
      <c r="E151" s="60"/>
      <c r="F151" s="60"/>
      <c r="G151" s="60"/>
      <c r="H151" s="60"/>
      <c r="I151" s="60"/>
      <c r="J151" s="60"/>
      <c r="K151" s="60"/>
      <c r="L151" s="60"/>
    </row>
    <row r="152" spans="1:35" ht="14" customHeight="1" x14ac:dyDescent="0.15"/>
    <row r="153" spans="1:35" ht="14" customHeight="1" x14ac:dyDescent="0.15"/>
    <row r="154" spans="1:35" ht="14" customHeight="1" x14ac:dyDescent="0.15"/>
    <row r="155" spans="1:35" ht="14" customHeight="1" x14ac:dyDescent="0.15"/>
    <row r="156" spans="1:35" ht="14" customHeight="1" x14ac:dyDescent="0.15"/>
    <row r="157" spans="1:35" ht="14" customHeight="1" x14ac:dyDescent="0.15"/>
    <row r="158" spans="1:35" ht="14" customHeight="1" x14ac:dyDescent="0.15"/>
    <row r="159" spans="1:35" ht="14" customHeight="1" x14ac:dyDescent="0.15"/>
    <row r="160" spans="1:35" ht="14" customHeight="1" x14ac:dyDescent="0.15"/>
    <row r="161" ht="14" customHeight="1" x14ac:dyDescent="0.15"/>
    <row r="162" ht="14" customHeight="1" x14ac:dyDescent="0.15"/>
    <row r="163" ht="14" customHeight="1" x14ac:dyDescent="0.15"/>
    <row r="164" ht="14" customHeight="1" x14ac:dyDescent="0.15"/>
    <row r="165" ht="14" customHeight="1" x14ac:dyDescent="0.15"/>
    <row r="166" ht="14" customHeight="1" x14ac:dyDescent="0.15"/>
    <row r="167" ht="14" customHeight="1" x14ac:dyDescent="0.15"/>
    <row r="168" ht="14" customHeight="1" x14ac:dyDescent="0.15"/>
    <row r="169" ht="14" customHeight="1" x14ac:dyDescent="0.15"/>
    <row r="170" ht="14" customHeight="1" x14ac:dyDescent="0.15"/>
    <row r="171" ht="14" customHeight="1" x14ac:dyDescent="0.15"/>
    <row r="172" ht="14" customHeight="1" x14ac:dyDescent="0.15"/>
    <row r="173" ht="14" customHeight="1" x14ac:dyDescent="0.15"/>
    <row r="174" ht="14" customHeight="1" x14ac:dyDescent="0.15"/>
    <row r="175" ht="14" customHeight="1" x14ac:dyDescent="0.15"/>
    <row r="176" ht="14" customHeight="1" x14ac:dyDescent="0.15"/>
    <row r="177" ht="14" customHeight="1" x14ac:dyDescent="0.15"/>
    <row r="178" ht="14" customHeight="1" x14ac:dyDescent="0.15"/>
    <row r="179" ht="14" customHeight="1" x14ac:dyDescent="0.15"/>
    <row r="180" ht="14" customHeight="1" x14ac:dyDescent="0.15"/>
    <row r="181" ht="14" customHeight="1" x14ac:dyDescent="0.15"/>
    <row r="182" ht="14" customHeight="1" x14ac:dyDescent="0.15"/>
    <row r="183" ht="14" customHeight="1" x14ac:dyDescent="0.15"/>
    <row r="184" ht="14" customHeight="1" x14ac:dyDescent="0.15"/>
    <row r="185" ht="14" customHeight="1" x14ac:dyDescent="0.15"/>
    <row r="186" ht="14" customHeight="1" x14ac:dyDescent="0.15"/>
    <row r="187" ht="14" customHeight="1" x14ac:dyDescent="0.15"/>
    <row r="188" ht="14" customHeight="1" x14ac:dyDescent="0.15"/>
    <row r="189" ht="14" customHeight="1" x14ac:dyDescent="0.15"/>
    <row r="190" ht="14" customHeight="1" x14ac:dyDescent="0.15"/>
    <row r="191" ht="14" customHeight="1" x14ac:dyDescent="0.15"/>
    <row r="192" ht="14" customHeight="1" x14ac:dyDescent="0.15"/>
    <row r="193" ht="14" customHeight="1" x14ac:dyDescent="0.15"/>
    <row r="194" ht="14" customHeight="1" x14ac:dyDescent="0.15"/>
    <row r="195" ht="14" customHeight="1" x14ac:dyDescent="0.15"/>
    <row r="196" ht="14" customHeight="1" x14ac:dyDescent="0.15"/>
    <row r="197" ht="14" customHeight="1" x14ac:dyDescent="0.15"/>
    <row r="198" ht="14" customHeight="1" x14ac:dyDescent="0.15"/>
    <row r="199" ht="14" customHeight="1" x14ac:dyDescent="0.15"/>
    <row r="200" ht="14" customHeight="1" x14ac:dyDescent="0.15"/>
    <row r="201" ht="14" customHeight="1" x14ac:dyDescent="0.15"/>
    <row r="202" ht="14" customHeight="1" x14ac:dyDescent="0.15"/>
    <row r="203" ht="14" customHeight="1" x14ac:dyDescent="0.15"/>
    <row r="204" ht="14" customHeight="1" x14ac:dyDescent="0.15"/>
    <row r="205" ht="14" customHeight="1" x14ac:dyDescent="0.15"/>
    <row r="206" ht="14" customHeight="1" x14ac:dyDescent="0.15"/>
    <row r="207" ht="14" customHeight="1" x14ac:dyDescent="0.15"/>
    <row r="208" ht="14" customHeight="1" x14ac:dyDescent="0.15"/>
    <row r="209" ht="14" customHeight="1" x14ac:dyDescent="0.15"/>
    <row r="210" ht="14" customHeight="1" x14ac:dyDescent="0.15"/>
    <row r="211" ht="14" customHeight="1" x14ac:dyDescent="0.15"/>
    <row r="212" ht="14" customHeight="1" x14ac:dyDescent="0.15"/>
    <row r="213" ht="14" customHeight="1" x14ac:dyDescent="0.15"/>
    <row r="214" ht="14" customHeight="1" x14ac:dyDescent="0.15"/>
    <row r="215" ht="14" customHeight="1" x14ac:dyDescent="0.15"/>
    <row r="216" ht="14" customHeight="1" x14ac:dyDescent="0.15"/>
    <row r="217" ht="14" customHeight="1" x14ac:dyDescent="0.15"/>
    <row r="218" ht="14" customHeight="1" x14ac:dyDescent="0.15"/>
    <row r="219" ht="14" customHeight="1" x14ac:dyDescent="0.15"/>
    <row r="220" ht="14" customHeight="1" x14ac:dyDescent="0.15"/>
    <row r="221" ht="14" customHeight="1" x14ac:dyDescent="0.15"/>
    <row r="222" ht="14" customHeight="1" x14ac:dyDescent="0.15"/>
    <row r="223" ht="14" customHeight="1" x14ac:dyDescent="0.15"/>
    <row r="224" ht="14" customHeight="1" x14ac:dyDescent="0.15"/>
    <row r="225" ht="14" customHeight="1" x14ac:dyDescent="0.15"/>
    <row r="226" ht="14" customHeight="1" x14ac:dyDescent="0.15"/>
    <row r="227" ht="14" customHeight="1" x14ac:dyDescent="0.15"/>
    <row r="228" ht="14" customHeight="1" x14ac:dyDescent="0.15"/>
    <row r="229" ht="14" customHeight="1" x14ac:dyDescent="0.15"/>
    <row r="230" ht="14" customHeight="1" x14ac:dyDescent="0.15"/>
    <row r="231" ht="14" customHeight="1" x14ac:dyDescent="0.15"/>
    <row r="232" ht="14" customHeight="1" x14ac:dyDescent="0.15"/>
    <row r="233" ht="14" customHeight="1" x14ac:dyDescent="0.15"/>
    <row r="234" ht="14" customHeight="1" x14ac:dyDescent="0.15"/>
    <row r="235" ht="14" customHeight="1" x14ac:dyDescent="0.15"/>
    <row r="236" ht="14" customHeight="1" x14ac:dyDescent="0.15"/>
    <row r="237" ht="14" customHeight="1" x14ac:dyDescent="0.15"/>
    <row r="238" ht="14" customHeight="1" x14ac:dyDescent="0.15"/>
    <row r="239" ht="14" customHeight="1" x14ac:dyDescent="0.15"/>
    <row r="240" ht="14" customHeight="1" x14ac:dyDescent="0.15"/>
    <row r="241" ht="14" customHeight="1" x14ac:dyDescent="0.15"/>
    <row r="242" ht="14" customHeight="1" x14ac:dyDescent="0.15"/>
    <row r="243" ht="14" customHeight="1" x14ac:dyDescent="0.15"/>
    <row r="244" ht="14" customHeight="1" x14ac:dyDescent="0.15"/>
    <row r="245" ht="14" customHeight="1" x14ac:dyDescent="0.15"/>
    <row r="246" ht="14" customHeight="1" x14ac:dyDescent="0.15"/>
    <row r="247" ht="14" customHeight="1" x14ac:dyDescent="0.15"/>
    <row r="248" ht="14" customHeight="1" x14ac:dyDescent="0.15"/>
    <row r="249" ht="14" customHeight="1" x14ac:dyDescent="0.15"/>
    <row r="250" ht="14" customHeight="1" x14ac:dyDescent="0.15"/>
    <row r="251" ht="14" customHeight="1" x14ac:dyDescent="0.15"/>
    <row r="252" ht="14" customHeight="1" x14ac:dyDescent="0.15"/>
    <row r="253" ht="14" customHeight="1" x14ac:dyDescent="0.15"/>
    <row r="254" ht="14" customHeight="1" x14ac:dyDescent="0.15"/>
    <row r="255" ht="14" customHeight="1" x14ac:dyDescent="0.15"/>
    <row r="256" ht="14" customHeight="1" x14ac:dyDescent="0.15"/>
    <row r="257" ht="14" customHeight="1" x14ac:dyDescent="0.15"/>
    <row r="258" ht="14" customHeight="1" x14ac:dyDescent="0.15"/>
    <row r="259" ht="14" customHeight="1" x14ac:dyDescent="0.15"/>
    <row r="260" ht="14" customHeight="1" x14ac:dyDescent="0.15"/>
    <row r="261" ht="14" customHeight="1" x14ac:dyDescent="0.15"/>
    <row r="262" ht="14" customHeight="1" x14ac:dyDescent="0.15"/>
    <row r="263" ht="14" customHeight="1" x14ac:dyDescent="0.15"/>
    <row r="264" ht="14" customHeight="1" x14ac:dyDescent="0.15"/>
    <row r="265" ht="14" customHeight="1" x14ac:dyDescent="0.15"/>
    <row r="266" ht="14" customHeight="1" x14ac:dyDescent="0.15"/>
    <row r="267" ht="14" customHeight="1" x14ac:dyDescent="0.15"/>
    <row r="268" ht="14" customHeight="1" x14ac:dyDescent="0.15"/>
    <row r="269" ht="14" customHeight="1" x14ac:dyDescent="0.15"/>
    <row r="270" ht="14" customHeight="1" x14ac:dyDescent="0.15"/>
    <row r="271" ht="14" customHeight="1" x14ac:dyDescent="0.15"/>
    <row r="272" ht="14" customHeight="1" x14ac:dyDescent="0.15"/>
    <row r="273" ht="14" customHeight="1" x14ac:dyDescent="0.15"/>
    <row r="274" ht="14" customHeight="1" x14ac:dyDescent="0.15"/>
    <row r="275" ht="14" customHeight="1" x14ac:dyDescent="0.15"/>
    <row r="276" ht="14" customHeight="1" x14ac:dyDescent="0.15"/>
    <row r="277" ht="14" customHeight="1" x14ac:dyDescent="0.15"/>
    <row r="278" ht="14" customHeight="1" x14ac:dyDescent="0.15"/>
    <row r="279" ht="14" customHeight="1" x14ac:dyDescent="0.15"/>
    <row r="280" ht="14" customHeight="1" x14ac:dyDescent="0.15"/>
    <row r="281" ht="14" customHeight="1" x14ac:dyDescent="0.15"/>
    <row r="282" ht="14" customHeight="1" x14ac:dyDescent="0.15"/>
    <row r="283" ht="14" customHeight="1" x14ac:dyDescent="0.15"/>
    <row r="284" ht="14" customHeight="1" x14ac:dyDescent="0.15"/>
    <row r="285" ht="14" customHeight="1" x14ac:dyDescent="0.15"/>
    <row r="286" ht="14" customHeight="1" x14ac:dyDescent="0.15"/>
    <row r="287" ht="14" customHeight="1" x14ac:dyDescent="0.15"/>
    <row r="288" ht="14" customHeight="1" x14ac:dyDescent="0.15"/>
    <row r="289" ht="14" customHeight="1" x14ac:dyDescent="0.15"/>
    <row r="290" ht="14" customHeight="1" x14ac:dyDescent="0.15"/>
    <row r="291" ht="14" customHeight="1" x14ac:dyDescent="0.15"/>
    <row r="292" ht="14" customHeight="1" x14ac:dyDescent="0.15"/>
    <row r="293" ht="14" customHeight="1" x14ac:dyDescent="0.15"/>
    <row r="294" ht="14" customHeight="1" x14ac:dyDescent="0.15"/>
    <row r="295" ht="14" customHeight="1" x14ac:dyDescent="0.15"/>
    <row r="296" ht="14" customHeight="1" x14ac:dyDescent="0.15"/>
    <row r="297" ht="14" customHeight="1" x14ac:dyDescent="0.15"/>
    <row r="298" ht="14" customHeight="1" x14ac:dyDescent="0.15"/>
    <row r="299" ht="14" customHeight="1" x14ac:dyDescent="0.15"/>
    <row r="300" ht="14" customHeight="1" x14ac:dyDescent="0.15"/>
    <row r="301" ht="14" customHeight="1" x14ac:dyDescent="0.15"/>
    <row r="302" ht="14" customHeight="1" x14ac:dyDescent="0.15"/>
    <row r="303" ht="14" customHeight="1" x14ac:dyDescent="0.15"/>
    <row r="304" ht="14" customHeight="1" x14ac:dyDescent="0.15"/>
    <row r="305" ht="14" customHeight="1" x14ac:dyDescent="0.15"/>
    <row r="306" ht="14" customHeight="1" x14ac:dyDescent="0.15"/>
    <row r="307" ht="14" customHeight="1" x14ac:dyDescent="0.15"/>
    <row r="308" ht="14" customHeight="1" x14ac:dyDescent="0.15"/>
    <row r="309" ht="14" customHeight="1" x14ac:dyDescent="0.15"/>
    <row r="310" ht="14" customHeight="1" x14ac:dyDescent="0.15"/>
    <row r="311" ht="14" customHeight="1" x14ac:dyDescent="0.15"/>
    <row r="312" ht="14" customHeight="1" x14ac:dyDescent="0.15"/>
    <row r="313" ht="14" customHeight="1" x14ac:dyDescent="0.15"/>
    <row r="314" ht="14" customHeight="1" x14ac:dyDescent="0.15"/>
    <row r="315" ht="14" customHeight="1" x14ac:dyDescent="0.15"/>
    <row r="316" ht="14" customHeight="1" x14ac:dyDescent="0.15"/>
    <row r="317" ht="14" customHeight="1" x14ac:dyDescent="0.15"/>
    <row r="318" ht="14" customHeight="1" x14ac:dyDescent="0.15"/>
    <row r="319" ht="14" customHeight="1" x14ac:dyDescent="0.15"/>
    <row r="320" ht="14" customHeight="1" x14ac:dyDescent="0.15"/>
    <row r="321" ht="14" customHeight="1" x14ac:dyDescent="0.15"/>
    <row r="322" ht="14" customHeight="1" x14ac:dyDescent="0.15"/>
    <row r="323" ht="14" customHeight="1" x14ac:dyDescent="0.15"/>
    <row r="324" ht="14" customHeight="1" x14ac:dyDescent="0.15"/>
    <row r="325" ht="14" customHeight="1" x14ac:dyDescent="0.15"/>
    <row r="326" ht="14" customHeight="1" x14ac:dyDescent="0.15"/>
    <row r="327" ht="14" customHeight="1" x14ac:dyDescent="0.15"/>
    <row r="328" ht="14" customHeight="1" x14ac:dyDescent="0.15"/>
    <row r="329" ht="14" customHeight="1" x14ac:dyDescent="0.15"/>
    <row r="330" ht="14" customHeight="1" x14ac:dyDescent="0.15"/>
    <row r="331" ht="14" customHeight="1" x14ac:dyDescent="0.15"/>
    <row r="332" ht="14" customHeight="1" x14ac:dyDescent="0.15"/>
    <row r="333" ht="14" customHeight="1" x14ac:dyDescent="0.15"/>
    <row r="334" ht="14" customHeight="1" x14ac:dyDescent="0.15"/>
    <row r="335" ht="14" customHeight="1" x14ac:dyDescent="0.15"/>
    <row r="336" ht="14" customHeight="1" x14ac:dyDescent="0.15"/>
    <row r="337" ht="14" customHeight="1" x14ac:dyDescent="0.15"/>
    <row r="338" ht="14" customHeight="1" x14ac:dyDescent="0.15"/>
    <row r="339" ht="14" customHeight="1" x14ac:dyDescent="0.15"/>
    <row r="340" ht="14" customHeight="1" x14ac:dyDescent="0.15"/>
    <row r="341" ht="14" customHeight="1" x14ac:dyDescent="0.15"/>
    <row r="342" ht="14" customHeight="1" x14ac:dyDescent="0.15"/>
    <row r="343" ht="14" customHeight="1" x14ac:dyDescent="0.15"/>
    <row r="344" ht="14" customHeight="1" x14ac:dyDescent="0.15"/>
    <row r="345" ht="14" customHeight="1" x14ac:dyDescent="0.15"/>
    <row r="346" ht="14" customHeight="1" x14ac:dyDescent="0.15"/>
    <row r="347" ht="14" customHeight="1" x14ac:dyDescent="0.15"/>
    <row r="348" ht="14" customHeight="1" x14ac:dyDescent="0.15"/>
    <row r="349" ht="14" customHeight="1" x14ac:dyDescent="0.15"/>
    <row r="350" ht="14" customHeight="1" x14ac:dyDescent="0.15"/>
    <row r="351" ht="14" customHeight="1" x14ac:dyDescent="0.15"/>
    <row r="352" ht="14" customHeight="1" x14ac:dyDescent="0.15"/>
    <row r="353" ht="14" customHeight="1" x14ac:dyDescent="0.15"/>
    <row r="354" ht="14" customHeight="1" x14ac:dyDescent="0.15"/>
    <row r="355" ht="14" customHeight="1" x14ac:dyDescent="0.15"/>
    <row r="356" ht="14" customHeight="1" x14ac:dyDescent="0.15"/>
    <row r="357" ht="14" customHeight="1" x14ac:dyDescent="0.15"/>
    <row r="358" ht="14" customHeight="1" x14ac:dyDescent="0.15"/>
    <row r="359" ht="14" customHeight="1" x14ac:dyDescent="0.15"/>
    <row r="360" ht="14" customHeight="1" x14ac:dyDescent="0.15"/>
    <row r="361" ht="14" customHeight="1" x14ac:dyDescent="0.15"/>
    <row r="362" ht="14" customHeight="1" x14ac:dyDescent="0.15"/>
    <row r="363" ht="14" customHeight="1" x14ac:dyDescent="0.15"/>
    <row r="364" ht="14" customHeight="1" x14ac:dyDescent="0.15"/>
    <row r="365" ht="14" customHeight="1" x14ac:dyDescent="0.15"/>
    <row r="366" ht="14" customHeight="1" x14ac:dyDescent="0.15"/>
    <row r="367" ht="14" customHeight="1" x14ac:dyDescent="0.15"/>
    <row r="368" ht="14" customHeight="1" x14ac:dyDescent="0.15"/>
    <row r="369" ht="14" customHeight="1" x14ac:dyDescent="0.15"/>
    <row r="370" ht="14" customHeight="1" x14ac:dyDescent="0.15"/>
    <row r="371" ht="14" customHeight="1" x14ac:dyDescent="0.15"/>
    <row r="372" ht="14" customHeight="1" x14ac:dyDescent="0.15"/>
    <row r="373" ht="14" customHeight="1" x14ac:dyDescent="0.15"/>
    <row r="374" ht="14" customHeight="1" x14ac:dyDescent="0.15"/>
    <row r="375" ht="14" customHeight="1" x14ac:dyDescent="0.15"/>
    <row r="376" ht="14" customHeight="1" x14ac:dyDescent="0.15"/>
    <row r="377" ht="14" customHeight="1" x14ac:dyDescent="0.15"/>
    <row r="378" ht="14" customHeight="1" x14ac:dyDescent="0.15"/>
    <row r="379" ht="14" customHeight="1" x14ac:dyDescent="0.15"/>
    <row r="380" ht="14" customHeight="1" x14ac:dyDescent="0.15"/>
    <row r="381" ht="14" customHeight="1" x14ac:dyDescent="0.15"/>
    <row r="382" ht="14" customHeight="1" x14ac:dyDescent="0.15"/>
    <row r="383" ht="14" customHeight="1" x14ac:dyDescent="0.15"/>
    <row r="384" ht="14" customHeight="1" x14ac:dyDescent="0.15"/>
    <row r="385" ht="14" customHeight="1" x14ac:dyDescent="0.15"/>
    <row r="386" ht="14" customHeight="1" x14ac:dyDescent="0.15"/>
    <row r="387" ht="14" customHeight="1" x14ac:dyDescent="0.15"/>
    <row r="388" ht="14" customHeight="1" x14ac:dyDescent="0.15"/>
    <row r="389" ht="14" customHeight="1" x14ac:dyDescent="0.15"/>
    <row r="390" ht="14" customHeight="1" x14ac:dyDescent="0.15"/>
    <row r="391" ht="14" customHeight="1" x14ac:dyDescent="0.15"/>
    <row r="392" ht="14" customHeight="1" x14ac:dyDescent="0.15"/>
    <row r="393" ht="14" customHeight="1" x14ac:dyDescent="0.15"/>
    <row r="394" ht="14" customHeight="1" x14ac:dyDescent="0.15"/>
    <row r="395" ht="14" customHeight="1" x14ac:dyDescent="0.15"/>
    <row r="396" ht="14" customHeight="1" x14ac:dyDescent="0.15"/>
    <row r="397" ht="14" customHeight="1" x14ac:dyDescent="0.15"/>
    <row r="398" ht="14" customHeight="1" x14ac:dyDescent="0.15"/>
    <row r="399" ht="14" customHeight="1" x14ac:dyDescent="0.15"/>
    <row r="400" ht="14" customHeight="1" x14ac:dyDescent="0.15"/>
    <row r="401" ht="14" customHeight="1" x14ac:dyDescent="0.15"/>
    <row r="402" ht="14" customHeight="1" x14ac:dyDescent="0.15"/>
    <row r="403" ht="14" customHeight="1" x14ac:dyDescent="0.15"/>
    <row r="404" ht="14" customHeight="1" x14ac:dyDescent="0.15"/>
    <row r="405" ht="14" customHeight="1" x14ac:dyDescent="0.15"/>
    <row r="406" ht="14" customHeight="1" x14ac:dyDescent="0.15"/>
    <row r="407" ht="14" customHeight="1" x14ac:dyDescent="0.15"/>
    <row r="408" ht="14" customHeight="1" x14ac:dyDescent="0.15"/>
    <row r="409" ht="14" customHeight="1" x14ac:dyDescent="0.15"/>
    <row r="410" ht="14" customHeight="1" x14ac:dyDescent="0.15"/>
    <row r="411" ht="14" customHeight="1" x14ac:dyDescent="0.15"/>
    <row r="412" ht="14" customHeight="1" x14ac:dyDescent="0.15"/>
    <row r="413" ht="14" customHeight="1" x14ac:dyDescent="0.15"/>
    <row r="414" ht="14" customHeight="1" x14ac:dyDescent="0.15"/>
    <row r="415" ht="14" customHeight="1" x14ac:dyDescent="0.15"/>
    <row r="416" ht="14" customHeight="1" x14ac:dyDescent="0.15"/>
    <row r="417" ht="14" customHeight="1" x14ac:dyDescent="0.15"/>
    <row r="418" ht="14" customHeight="1" x14ac:dyDescent="0.15"/>
    <row r="419" ht="14" customHeight="1" x14ac:dyDescent="0.15"/>
    <row r="420" ht="14" customHeight="1" x14ac:dyDescent="0.15"/>
    <row r="421" ht="14" customHeight="1" x14ac:dyDescent="0.15"/>
    <row r="422" ht="14" customHeight="1" x14ac:dyDescent="0.15"/>
    <row r="423" ht="14" customHeight="1" x14ac:dyDescent="0.15"/>
    <row r="424" ht="14" customHeight="1" x14ac:dyDescent="0.15"/>
    <row r="425" ht="14" customHeight="1" x14ac:dyDescent="0.15"/>
    <row r="426" ht="14" customHeight="1" x14ac:dyDescent="0.15"/>
    <row r="427" ht="14" customHeight="1" x14ac:dyDescent="0.15"/>
    <row r="428" ht="14" customHeight="1" x14ac:dyDescent="0.15"/>
    <row r="429" ht="14" customHeight="1" x14ac:dyDescent="0.15"/>
    <row r="430" ht="14" customHeight="1" x14ac:dyDescent="0.15"/>
    <row r="431" ht="14" customHeight="1" x14ac:dyDescent="0.15"/>
    <row r="432" ht="14" customHeight="1" x14ac:dyDescent="0.15"/>
    <row r="433" ht="14" customHeight="1" x14ac:dyDescent="0.15"/>
    <row r="434" ht="14" customHeight="1" x14ac:dyDescent="0.15"/>
    <row r="435" ht="14" customHeight="1" x14ac:dyDescent="0.15"/>
    <row r="436" ht="14" customHeight="1" x14ac:dyDescent="0.15"/>
    <row r="437" ht="14" customHeight="1" x14ac:dyDescent="0.15"/>
    <row r="438" ht="14" customHeight="1" x14ac:dyDescent="0.15"/>
    <row r="439" ht="14" customHeight="1" x14ac:dyDescent="0.15"/>
    <row r="440" ht="14" customHeight="1" x14ac:dyDescent="0.15"/>
    <row r="441" ht="14" customHeight="1" x14ac:dyDescent="0.15"/>
    <row r="442" ht="14" customHeight="1" x14ac:dyDescent="0.15"/>
    <row r="443" ht="14" customHeight="1" x14ac:dyDescent="0.15"/>
    <row r="444" ht="14" customHeight="1" x14ac:dyDescent="0.15"/>
    <row r="445" ht="14" customHeight="1" x14ac:dyDescent="0.15"/>
    <row r="446" ht="14" customHeight="1" x14ac:dyDescent="0.15"/>
    <row r="447" ht="14" customHeight="1" x14ac:dyDescent="0.15"/>
    <row r="448" ht="14" customHeight="1" x14ac:dyDescent="0.15"/>
    <row r="449" ht="14" customHeight="1" x14ac:dyDescent="0.15"/>
    <row r="450" ht="14" customHeight="1" x14ac:dyDescent="0.15"/>
    <row r="451" ht="14" customHeight="1" x14ac:dyDescent="0.15"/>
    <row r="452" ht="14" customHeight="1" x14ac:dyDescent="0.15"/>
    <row r="453" ht="14" customHeight="1" x14ac:dyDescent="0.15"/>
    <row r="454" ht="14" customHeight="1" x14ac:dyDescent="0.15"/>
    <row r="455" ht="14" customHeight="1" x14ac:dyDescent="0.15"/>
    <row r="456" ht="14" customHeight="1" x14ac:dyDescent="0.15"/>
    <row r="457" ht="14" customHeight="1" x14ac:dyDescent="0.15"/>
    <row r="458" ht="14" customHeight="1" x14ac:dyDescent="0.15"/>
    <row r="459" ht="14" customHeight="1" x14ac:dyDescent="0.15"/>
    <row r="460" ht="14" customHeight="1" x14ac:dyDescent="0.15"/>
    <row r="461" ht="14" customHeight="1" x14ac:dyDescent="0.15"/>
    <row r="462" ht="14" customHeight="1" x14ac:dyDescent="0.15"/>
    <row r="463" ht="14" customHeight="1" x14ac:dyDescent="0.15"/>
    <row r="464" ht="14" customHeight="1" x14ac:dyDescent="0.15"/>
    <row r="465" ht="14" customHeight="1" x14ac:dyDescent="0.15"/>
    <row r="466" ht="14" customHeight="1" x14ac:dyDescent="0.15"/>
    <row r="467" ht="14" customHeight="1" x14ac:dyDescent="0.15"/>
    <row r="468" ht="14" customHeight="1" x14ac:dyDescent="0.15"/>
    <row r="469" ht="14" customHeight="1" x14ac:dyDescent="0.15"/>
    <row r="470" ht="14" customHeight="1" x14ac:dyDescent="0.15"/>
    <row r="471" ht="14" customHeight="1" x14ac:dyDescent="0.15"/>
    <row r="472" ht="14" customHeight="1" x14ac:dyDescent="0.15"/>
    <row r="473" ht="14" customHeight="1" x14ac:dyDescent="0.15"/>
    <row r="474" ht="14" customHeight="1" x14ac:dyDescent="0.15"/>
    <row r="475" ht="14" customHeight="1" x14ac:dyDescent="0.15"/>
    <row r="476" ht="14" customHeight="1" x14ac:dyDescent="0.15"/>
    <row r="477" ht="14" customHeight="1" x14ac:dyDescent="0.15"/>
    <row r="478" ht="14" customHeight="1" x14ac:dyDescent="0.15"/>
    <row r="479" ht="14" customHeight="1" x14ac:dyDescent="0.15"/>
    <row r="480" ht="14" customHeight="1" x14ac:dyDescent="0.15"/>
    <row r="481" ht="14" customHeight="1" x14ac:dyDescent="0.15"/>
    <row r="482" ht="14" customHeight="1" x14ac:dyDescent="0.15"/>
    <row r="483" ht="14" customHeight="1" x14ac:dyDescent="0.15"/>
    <row r="484" ht="14" customHeight="1" x14ac:dyDescent="0.15"/>
    <row r="485" ht="14" customHeight="1" x14ac:dyDescent="0.15"/>
    <row r="486" ht="14" customHeight="1" x14ac:dyDescent="0.15"/>
    <row r="487" ht="14" customHeight="1" x14ac:dyDescent="0.15"/>
    <row r="488" ht="14" customHeight="1" x14ac:dyDescent="0.15"/>
    <row r="489" ht="14" customHeight="1" x14ac:dyDescent="0.15"/>
    <row r="490" ht="14" customHeight="1" x14ac:dyDescent="0.15"/>
    <row r="491" ht="14" customHeight="1" x14ac:dyDescent="0.15"/>
    <row r="492" ht="14" customHeight="1" x14ac:dyDescent="0.15"/>
    <row r="493" ht="14" customHeight="1" x14ac:dyDescent="0.15"/>
    <row r="494" ht="14" customHeight="1" x14ac:dyDescent="0.15"/>
    <row r="495" ht="14" customHeight="1" x14ac:dyDescent="0.15"/>
    <row r="496" ht="14" customHeight="1" x14ac:dyDescent="0.15"/>
    <row r="497" ht="14" customHeight="1" x14ac:dyDescent="0.15"/>
    <row r="498" ht="14" customHeight="1" x14ac:dyDescent="0.15"/>
    <row r="499" ht="14" customHeight="1" x14ac:dyDescent="0.15"/>
    <row r="500" ht="14" customHeight="1" x14ac:dyDescent="0.15"/>
    <row r="501" ht="14" customHeight="1" x14ac:dyDescent="0.15"/>
    <row r="502" ht="14" customHeight="1" x14ac:dyDescent="0.15"/>
    <row r="503" ht="14" customHeight="1" x14ac:dyDescent="0.15"/>
    <row r="504" ht="14" customHeight="1" x14ac:dyDescent="0.15"/>
    <row r="505" ht="14" customHeight="1" x14ac:dyDescent="0.15"/>
    <row r="506" ht="14" customHeight="1" x14ac:dyDescent="0.15"/>
    <row r="507" ht="14" customHeight="1" x14ac:dyDescent="0.15"/>
    <row r="508" ht="14" customHeight="1" x14ac:dyDescent="0.15"/>
    <row r="509" ht="14" customHeight="1" x14ac:dyDescent="0.15"/>
    <row r="510" ht="14" customHeight="1" x14ac:dyDescent="0.15"/>
    <row r="511" ht="14" customHeight="1" x14ac:dyDescent="0.15"/>
    <row r="512" ht="14" customHeight="1" x14ac:dyDescent="0.15"/>
    <row r="513" ht="14" customHeight="1" x14ac:dyDescent="0.15"/>
    <row r="514" ht="14" customHeight="1" x14ac:dyDescent="0.15"/>
    <row r="515" ht="14" customHeight="1" x14ac:dyDescent="0.15"/>
    <row r="516" ht="14" customHeight="1" x14ac:dyDescent="0.15"/>
    <row r="517" ht="14" customHeight="1" x14ac:dyDescent="0.15"/>
    <row r="518" ht="14" customHeight="1" x14ac:dyDescent="0.15"/>
    <row r="519" ht="14" customHeight="1" x14ac:dyDescent="0.15"/>
    <row r="520" ht="14" customHeight="1" x14ac:dyDescent="0.15"/>
    <row r="521" ht="14" customHeight="1" x14ac:dyDescent="0.15"/>
    <row r="522" ht="14" customHeight="1" x14ac:dyDescent="0.15"/>
    <row r="523" ht="14" customHeight="1" x14ac:dyDescent="0.15"/>
    <row r="524" ht="14" customHeight="1" x14ac:dyDescent="0.15"/>
    <row r="525" ht="14" customHeight="1" x14ac:dyDescent="0.15"/>
    <row r="526" ht="14" customHeight="1" x14ac:dyDescent="0.15"/>
    <row r="527" ht="14" customHeight="1" x14ac:dyDescent="0.15"/>
    <row r="528" ht="14" customHeight="1" x14ac:dyDescent="0.15"/>
    <row r="529" ht="14" customHeight="1" x14ac:dyDescent="0.15"/>
    <row r="530" ht="14" customHeight="1" x14ac:dyDescent="0.15"/>
    <row r="531" ht="14" customHeight="1" x14ac:dyDescent="0.15"/>
    <row r="532" ht="14" customHeight="1" x14ac:dyDescent="0.15"/>
    <row r="533" ht="14" customHeight="1" x14ac:dyDescent="0.15"/>
    <row r="534" ht="14" customHeight="1" x14ac:dyDescent="0.15"/>
    <row r="535" ht="14" customHeight="1" x14ac:dyDescent="0.15"/>
    <row r="536" ht="14" customHeight="1" x14ac:dyDescent="0.15"/>
    <row r="537" ht="14" customHeight="1" x14ac:dyDescent="0.15"/>
    <row r="538" ht="14" customHeight="1" x14ac:dyDescent="0.15"/>
    <row r="539" ht="14" customHeight="1" x14ac:dyDescent="0.15"/>
    <row r="540" ht="14" customHeight="1" x14ac:dyDescent="0.15"/>
    <row r="541" ht="14" customHeight="1" x14ac:dyDescent="0.15"/>
    <row r="542" ht="14" customHeight="1" x14ac:dyDescent="0.15"/>
    <row r="543" ht="14" customHeight="1" x14ac:dyDescent="0.15"/>
    <row r="544" ht="14" customHeight="1" x14ac:dyDescent="0.15"/>
    <row r="545" ht="14" customHeight="1" x14ac:dyDescent="0.15"/>
    <row r="546" ht="14" customHeight="1" x14ac:dyDescent="0.15"/>
    <row r="547" ht="14" customHeight="1" x14ac:dyDescent="0.15"/>
    <row r="548" ht="14" customHeight="1" x14ac:dyDescent="0.15"/>
    <row r="549" ht="14" customHeight="1" x14ac:dyDescent="0.15"/>
    <row r="550" ht="14" customHeight="1" x14ac:dyDescent="0.15"/>
    <row r="551" ht="14" customHeight="1" x14ac:dyDescent="0.15"/>
    <row r="552" ht="14" customHeight="1" x14ac:dyDescent="0.15"/>
    <row r="553" ht="14" customHeight="1" x14ac:dyDescent="0.15"/>
    <row r="554" ht="14" customHeight="1" x14ac:dyDescent="0.15"/>
    <row r="555" ht="14" customHeight="1" x14ac:dyDescent="0.15"/>
    <row r="556" ht="14" customHeight="1" x14ac:dyDescent="0.15"/>
    <row r="557" ht="14" customHeight="1" x14ac:dyDescent="0.15"/>
    <row r="558" ht="14" customHeight="1" x14ac:dyDescent="0.15"/>
    <row r="559" ht="14" customHeight="1" x14ac:dyDescent="0.15"/>
    <row r="560" ht="14" customHeight="1" x14ac:dyDescent="0.15"/>
    <row r="561" ht="14" customHeight="1" x14ac:dyDescent="0.15"/>
    <row r="562" ht="14" customHeight="1" x14ac:dyDescent="0.15"/>
    <row r="563" ht="14" customHeight="1" x14ac:dyDescent="0.15"/>
    <row r="564" ht="14" customHeight="1" x14ac:dyDescent="0.15"/>
    <row r="565" ht="14" customHeight="1" x14ac:dyDescent="0.15"/>
    <row r="566" ht="14" customHeight="1" x14ac:dyDescent="0.15"/>
    <row r="567" ht="14" customHeight="1" x14ac:dyDescent="0.15"/>
    <row r="568" ht="14" customHeight="1" x14ac:dyDescent="0.15"/>
    <row r="569" ht="14" customHeight="1" x14ac:dyDescent="0.15"/>
    <row r="570" ht="14" customHeight="1" x14ac:dyDescent="0.15"/>
    <row r="571" ht="14" customHeight="1" x14ac:dyDescent="0.15"/>
    <row r="572" ht="14" customHeight="1" x14ac:dyDescent="0.15"/>
    <row r="573" ht="14" customHeight="1" x14ac:dyDescent="0.15"/>
    <row r="574" ht="14" customHeight="1" x14ac:dyDescent="0.15"/>
    <row r="575" ht="14" customHeight="1" x14ac:dyDescent="0.15"/>
    <row r="576" ht="14" customHeight="1" x14ac:dyDescent="0.15"/>
    <row r="577" ht="14" customHeight="1" x14ac:dyDescent="0.15"/>
    <row r="578" ht="14" customHeight="1" x14ac:dyDescent="0.15"/>
    <row r="579" ht="14" customHeight="1" x14ac:dyDescent="0.15"/>
    <row r="580" ht="14" customHeight="1" x14ac:dyDescent="0.15"/>
    <row r="581" ht="14" customHeight="1" x14ac:dyDescent="0.15"/>
    <row r="582" ht="14" customHeight="1" x14ac:dyDescent="0.15"/>
    <row r="583" ht="14" customHeight="1" x14ac:dyDescent="0.15"/>
    <row r="584" ht="14" customHeight="1" x14ac:dyDescent="0.15"/>
    <row r="585" ht="14" customHeight="1" x14ac:dyDescent="0.15"/>
    <row r="586" ht="14" customHeight="1" x14ac:dyDescent="0.15"/>
    <row r="587" ht="14" customHeight="1" x14ac:dyDescent="0.15"/>
    <row r="588" ht="14" customHeight="1" x14ac:dyDescent="0.15"/>
    <row r="589" ht="14" customHeight="1" x14ac:dyDescent="0.15"/>
    <row r="590" ht="14" customHeight="1" x14ac:dyDescent="0.15"/>
    <row r="591" ht="14" customHeight="1" x14ac:dyDescent="0.15"/>
    <row r="592" ht="14" customHeight="1" x14ac:dyDescent="0.15"/>
    <row r="593" ht="14" customHeight="1" x14ac:dyDescent="0.15"/>
    <row r="594" ht="14" customHeight="1" x14ac:dyDescent="0.15"/>
    <row r="595" ht="14" customHeight="1" x14ac:dyDescent="0.15"/>
    <row r="596" ht="14" customHeight="1" x14ac:dyDescent="0.15"/>
    <row r="597" ht="14" customHeight="1" x14ac:dyDescent="0.15"/>
    <row r="598" ht="14" customHeight="1" x14ac:dyDescent="0.15"/>
    <row r="599" ht="14" customHeight="1" x14ac:dyDescent="0.15"/>
    <row r="600" ht="14" customHeight="1" x14ac:dyDescent="0.15"/>
    <row r="601" ht="14" customHeight="1" x14ac:dyDescent="0.15"/>
    <row r="602" ht="14" customHeight="1" x14ac:dyDescent="0.15"/>
    <row r="603" ht="14" customHeight="1" x14ac:dyDescent="0.15"/>
    <row r="604" ht="14" customHeight="1" x14ac:dyDescent="0.15"/>
    <row r="605" ht="14" customHeight="1" x14ac:dyDescent="0.15"/>
    <row r="606" ht="14" customHeight="1" x14ac:dyDescent="0.15"/>
    <row r="607" ht="14" customHeight="1" x14ac:dyDescent="0.15"/>
    <row r="608" ht="14" customHeight="1" x14ac:dyDescent="0.15"/>
    <row r="609" ht="14" customHeight="1" x14ac:dyDescent="0.15"/>
    <row r="610" ht="14" customHeight="1" x14ac:dyDescent="0.15"/>
    <row r="611" ht="14" customHeight="1" x14ac:dyDescent="0.15"/>
    <row r="612" ht="14" customHeight="1" x14ac:dyDescent="0.15"/>
    <row r="613" ht="14" customHeight="1" x14ac:dyDescent="0.15"/>
    <row r="614" ht="14" customHeight="1" x14ac:dyDescent="0.15"/>
    <row r="615" ht="14" customHeight="1" x14ac:dyDescent="0.15"/>
    <row r="616" ht="14" customHeight="1" x14ac:dyDescent="0.15"/>
    <row r="617" ht="14" customHeight="1" x14ac:dyDescent="0.15"/>
    <row r="618" ht="14" customHeight="1" x14ac:dyDescent="0.15"/>
    <row r="619" ht="14" customHeight="1" x14ac:dyDescent="0.15"/>
    <row r="620" ht="14" customHeight="1" x14ac:dyDescent="0.15"/>
    <row r="621" ht="14" customHeight="1" x14ac:dyDescent="0.15"/>
    <row r="622" ht="14" customHeight="1" x14ac:dyDescent="0.15"/>
    <row r="623" ht="14" customHeight="1" x14ac:dyDescent="0.15"/>
    <row r="624" ht="14" customHeight="1" x14ac:dyDescent="0.15"/>
    <row r="625" ht="14" customHeight="1" x14ac:dyDescent="0.15"/>
    <row r="626" ht="14" customHeight="1" x14ac:dyDescent="0.15"/>
    <row r="627" ht="14" customHeight="1" x14ac:dyDescent="0.15"/>
    <row r="628" ht="14" customHeight="1" x14ac:dyDescent="0.15"/>
    <row r="629" ht="14" customHeight="1" x14ac:dyDescent="0.15"/>
    <row r="630" ht="14" customHeight="1" x14ac:dyDescent="0.15"/>
    <row r="631" ht="14" customHeight="1" x14ac:dyDescent="0.15"/>
    <row r="632" ht="14" customHeight="1" x14ac:dyDescent="0.15"/>
    <row r="633" ht="14" customHeight="1" x14ac:dyDescent="0.15"/>
    <row r="634" ht="14" customHeight="1" x14ac:dyDescent="0.15"/>
    <row r="635" ht="14" customHeight="1" x14ac:dyDescent="0.15"/>
    <row r="636" ht="14" customHeight="1" x14ac:dyDescent="0.15"/>
    <row r="637" ht="14" customHeight="1" x14ac:dyDescent="0.15"/>
    <row r="638" ht="14" customHeight="1" x14ac:dyDescent="0.15"/>
    <row r="639" ht="14" customHeight="1" x14ac:dyDescent="0.15"/>
    <row r="640" ht="14" customHeight="1" x14ac:dyDescent="0.15"/>
    <row r="641" ht="14" customHeight="1" x14ac:dyDescent="0.15"/>
    <row r="642" ht="14" customHeight="1" x14ac:dyDescent="0.15"/>
    <row r="643" ht="14" customHeight="1" x14ac:dyDescent="0.15"/>
    <row r="644" ht="14" customHeight="1" x14ac:dyDescent="0.15"/>
    <row r="645" ht="14" customHeight="1" x14ac:dyDescent="0.15"/>
    <row r="646" ht="14" customHeight="1" x14ac:dyDescent="0.15"/>
    <row r="647" ht="14" customHeight="1" x14ac:dyDescent="0.15"/>
    <row r="648" ht="14" customHeight="1" x14ac:dyDescent="0.15"/>
    <row r="649" ht="14" customHeight="1" x14ac:dyDescent="0.15"/>
    <row r="650" ht="14" customHeight="1" x14ac:dyDescent="0.15"/>
    <row r="651" ht="14" customHeight="1" x14ac:dyDescent="0.15"/>
    <row r="652" ht="14" customHeight="1" x14ac:dyDescent="0.15"/>
    <row r="653" ht="14" customHeight="1" x14ac:dyDescent="0.15"/>
    <row r="654" ht="14" customHeight="1" x14ac:dyDescent="0.15"/>
    <row r="655" ht="14" customHeight="1" x14ac:dyDescent="0.15"/>
    <row r="656" ht="14" customHeight="1" x14ac:dyDescent="0.15"/>
    <row r="657" ht="14" customHeight="1" x14ac:dyDescent="0.15"/>
    <row r="658" ht="14" customHeight="1" x14ac:dyDescent="0.15"/>
    <row r="659" ht="14" customHeight="1" x14ac:dyDescent="0.15"/>
    <row r="660" ht="14" customHeight="1" x14ac:dyDescent="0.15"/>
    <row r="661" ht="14" customHeight="1" x14ac:dyDescent="0.15"/>
    <row r="662" ht="14" customHeight="1" x14ac:dyDescent="0.15"/>
    <row r="663" ht="14" customHeight="1" x14ac:dyDescent="0.15"/>
    <row r="664" ht="14" customHeight="1" x14ac:dyDescent="0.15"/>
    <row r="665" ht="14" customHeight="1" x14ac:dyDescent="0.15"/>
    <row r="666" ht="14" customHeight="1" x14ac:dyDescent="0.15"/>
    <row r="667" ht="14" customHeight="1" x14ac:dyDescent="0.15"/>
    <row r="668" ht="14" customHeight="1" x14ac:dyDescent="0.15"/>
    <row r="669" ht="14" customHeight="1" x14ac:dyDescent="0.15"/>
    <row r="670" ht="14" customHeight="1" x14ac:dyDescent="0.15"/>
    <row r="671" ht="14" customHeight="1" x14ac:dyDescent="0.15"/>
    <row r="672" ht="14" customHeight="1" x14ac:dyDescent="0.15"/>
    <row r="673" ht="14" customHeight="1" x14ac:dyDescent="0.15"/>
    <row r="674" ht="14" customHeight="1" x14ac:dyDescent="0.15"/>
    <row r="675" ht="14" customHeight="1" x14ac:dyDescent="0.15"/>
    <row r="676" ht="14" customHeight="1" x14ac:dyDescent="0.15"/>
    <row r="677" ht="14" customHeight="1" x14ac:dyDescent="0.15"/>
    <row r="678" ht="14" customHeight="1" x14ac:dyDescent="0.15"/>
    <row r="679" ht="14" customHeight="1" x14ac:dyDescent="0.15"/>
    <row r="680" ht="14" customHeight="1" x14ac:dyDescent="0.15"/>
    <row r="681" ht="14" customHeight="1" x14ac:dyDescent="0.15"/>
    <row r="682" ht="14" customHeight="1" x14ac:dyDescent="0.15"/>
    <row r="683" ht="14" customHeight="1" x14ac:dyDescent="0.15"/>
    <row r="684" ht="14" customHeight="1" x14ac:dyDescent="0.15"/>
    <row r="685" ht="14" customHeight="1" x14ac:dyDescent="0.15"/>
    <row r="686" ht="14" customHeight="1" x14ac:dyDescent="0.15"/>
    <row r="687" ht="14" customHeight="1" x14ac:dyDescent="0.15"/>
    <row r="688" ht="14" customHeight="1" x14ac:dyDescent="0.15"/>
    <row r="689" ht="14" customHeight="1" x14ac:dyDescent="0.15"/>
    <row r="690" ht="14" customHeight="1" x14ac:dyDescent="0.15"/>
    <row r="691" ht="14" customHeight="1" x14ac:dyDescent="0.15"/>
    <row r="692" ht="14" customHeight="1" x14ac:dyDescent="0.15"/>
    <row r="693" ht="14" customHeight="1" x14ac:dyDescent="0.15"/>
    <row r="694" ht="14" customHeight="1" x14ac:dyDescent="0.15"/>
    <row r="695" ht="14" customHeight="1" x14ac:dyDescent="0.15"/>
    <row r="696" ht="14" customHeight="1" x14ac:dyDescent="0.15"/>
    <row r="697" ht="14" customHeight="1" x14ac:dyDescent="0.15"/>
    <row r="698" ht="14" customHeight="1" x14ac:dyDescent="0.15"/>
    <row r="699" ht="14" customHeight="1" x14ac:dyDescent="0.15"/>
    <row r="700" ht="14" customHeight="1" x14ac:dyDescent="0.15"/>
    <row r="701" ht="14" customHeight="1" x14ac:dyDescent="0.15"/>
    <row r="702" ht="14" customHeight="1" x14ac:dyDescent="0.15"/>
    <row r="703" ht="14" customHeight="1" x14ac:dyDescent="0.15"/>
    <row r="704" ht="14" customHeight="1" x14ac:dyDescent="0.15"/>
    <row r="705" ht="14" customHeight="1" x14ac:dyDescent="0.15"/>
    <row r="706" ht="14" customHeight="1" x14ac:dyDescent="0.15"/>
    <row r="707" ht="14" customHeight="1" x14ac:dyDescent="0.15"/>
    <row r="708" ht="14" customHeight="1" x14ac:dyDescent="0.15"/>
    <row r="709" ht="14" customHeight="1" x14ac:dyDescent="0.15"/>
    <row r="710" ht="14" customHeight="1" x14ac:dyDescent="0.15"/>
    <row r="711" ht="14" customHeight="1" x14ac:dyDescent="0.15"/>
    <row r="712" ht="14" customHeight="1" x14ac:dyDescent="0.15"/>
    <row r="713" ht="14" customHeight="1" x14ac:dyDescent="0.15"/>
    <row r="714" ht="14" customHeight="1" x14ac:dyDescent="0.15"/>
    <row r="715" ht="14" customHeight="1" x14ac:dyDescent="0.15"/>
    <row r="716" ht="14" customHeight="1" x14ac:dyDescent="0.15"/>
    <row r="717" ht="14" customHeight="1" x14ac:dyDescent="0.15"/>
    <row r="718" ht="14" customHeight="1" x14ac:dyDescent="0.15"/>
    <row r="719" ht="14" customHeight="1" x14ac:dyDescent="0.15"/>
    <row r="720" ht="14" customHeight="1" x14ac:dyDescent="0.15"/>
    <row r="721" ht="14" customHeight="1" x14ac:dyDescent="0.15"/>
    <row r="722" ht="14" customHeight="1" x14ac:dyDescent="0.15"/>
    <row r="723" ht="14" customHeight="1" x14ac:dyDescent="0.15"/>
    <row r="724" ht="14" customHeight="1" x14ac:dyDescent="0.15"/>
    <row r="725" ht="14" customHeight="1" x14ac:dyDescent="0.15"/>
    <row r="726" ht="14" customHeight="1" x14ac:dyDescent="0.15"/>
    <row r="727" ht="14" customHeight="1" x14ac:dyDescent="0.15"/>
    <row r="728" ht="14" customHeight="1" x14ac:dyDescent="0.15"/>
    <row r="729" ht="14" customHeight="1" x14ac:dyDescent="0.15"/>
    <row r="730" ht="14" customHeight="1" x14ac:dyDescent="0.15"/>
    <row r="731" ht="14" customHeight="1" x14ac:dyDescent="0.15"/>
    <row r="732" ht="14" customHeight="1" x14ac:dyDescent="0.15"/>
    <row r="733" ht="14" customHeight="1" x14ac:dyDescent="0.15"/>
    <row r="734" ht="14" customHeight="1" x14ac:dyDescent="0.15"/>
    <row r="735" ht="14" customHeight="1" x14ac:dyDescent="0.15"/>
    <row r="736" ht="14" customHeight="1" x14ac:dyDescent="0.15"/>
    <row r="737" ht="14" customHeight="1" x14ac:dyDescent="0.15"/>
    <row r="738" ht="14" customHeight="1" x14ac:dyDescent="0.15"/>
    <row r="739" ht="14" customHeight="1" x14ac:dyDescent="0.15"/>
    <row r="740" ht="14" customHeight="1" x14ac:dyDescent="0.15"/>
    <row r="741" ht="14" customHeight="1" x14ac:dyDescent="0.15"/>
    <row r="742" ht="14" customHeight="1" x14ac:dyDescent="0.15"/>
    <row r="743" ht="14" customHeight="1" x14ac:dyDescent="0.15"/>
    <row r="744" ht="14" customHeight="1" x14ac:dyDescent="0.15"/>
    <row r="745" ht="14" customHeight="1" x14ac:dyDescent="0.15"/>
    <row r="746" ht="14" customHeight="1" x14ac:dyDescent="0.15"/>
    <row r="747" ht="14" customHeight="1" x14ac:dyDescent="0.15"/>
    <row r="748" ht="14" customHeight="1" x14ac:dyDescent="0.15"/>
    <row r="749" ht="14" customHeight="1" x14ac:dyDescent="0.15"/>
    <row r="750" ht="14" customHeight="1" x14ac:dyDescent="0.15"/>
    <row r="751" ht="14" customHeight="1" x14ac:dyDescent="0.15"/>
    <row r="752" ht="14" customHeight="1" x14ac:dyDescent="0.15"/>
    <row r="753" ht="14" customHeight="1" x14ac:dyDescent="0.15"/>
    <row r="754" ht="14" customHeight="1" x14ac:dyDescent="0.15"/>
    <row r="755" ht="14" customHeight="1" x14ac:dyDescent="0.15"/>
    <row r="756" ht="14" customHeight="1" x14ac:dyDescent="0.15"/>
    <row r="757" ht="14" customHeight="1" x14ac:dyDescent="0.15"/>
    <row r="758" ht="14" customHeight="1" x14ac:dyDescent="0.15"/>
    <row r="759" ht="14" customHeight="1" x14ac:dyDescent="0.15"/>
    <row r="760" ht="14" customHeight="1" x14ac:dyDescent="0.15"/>
    <row r="761" ht="14" customHeight="1" x14ac:dyDescent="0.15"/>
    <row r="762" ht="14" customHeight="1" x14ac:dyDescent="0.15"/>
    <row r="763" ht="14" customHeight="1" x14ac:dyDescent="0.15"/>
    <row r="764" ht="14" customHeight="1" x14ac:dyDescent="0.15"/>
    <row r="765" ht="14" customHeight="1" x14ac:dyDescent="0.15"/>
    <row r="766" ht="14" customHeight="1" x14ac:dyDescent="0.15"/>
    <row r="767" ht="14" customHeight="1" x14ac:dyDescent="0.15"/>
    <row r="768" ht="14" customHeight="1" x14ac:dyDescent="0.15"/>
    <row r="769" ht="14" customHeight="1" x14ac:dyDescent="0.15"/>
    <row r="770" ht="14" customHeight="1" x14ac:dyDescent="0.15"/>
    <row r="771" ht="14" customHeight="1" x14ac:dyDescent="0.15"/>
    <row r="772" ht="14" customHeight="1" x14ac:dyDescent="0.15"/>
    <row r="773" ht="14" customHeight="1" x14ac:dyDescent="0.15"/>
    <row r="774" ht="14" customHeight="1" x14ac:dyDescent="0.15"/>
    <row r="775" ht="14" customHeight="1" x14ac:dyDescent="0.15"/>
    <row r="776" ht="14" customHeight="1" x14ac:dyDescent="0.15"/>
    <row r="777" ht="14" customHeight="1" x14ac:dyDescent="0.15"/>
    <row r="778" ht="14" customHeight="1" x14ac:dyDescent="0.15"/>
    <row r="779" ht="14" customHeight="1" x14ac:dyDescent="0.15"/>
    <row r="780" ht="14" customHeight="1" x14ac:dyDescent="0.15"/>
    <row r="781" ht="14" customHeight="1" x14ac:dyDescent="0.15"/>
    <row r="782" ht="14" customHeight="1" x14ac:dyDescent="0.15"/>
    <row r="783" ht="14" customHeight="1" x14ac:dyDescent="0.15"/>
    <row r="784" ht="14" customHeight="1" x14ac:dyDescent="0.15"/>
    <row r="785" ht="14" customHeight="1" x14ac:dyDescent="0.15"/>
    <row r="786" ht="14" customHeight="1" x14ac:dyDescent="0.15"/>
    <row r="787" ht="14" customHeight="1" x14ac:dyDescent="0.15"/>
    <row r="788" ht="14" customHeight="1" x14ac:dyDescent="0.15"/>
    <row r="789" ht="14" customHeight="1" x14ac:dyDescent="0.15"/>
    <row r="790" ht="14" customHeight="1" x14ac:dyDescent="0.15"/>
    <row r="791" ht="14" customHeight="1" x14ac:dyDescent="0.15"/>
    <row r="792" ht="14" customHeight="1" x14ac:dyDescent="0.15"/>
    <row r="793" ht="14" customHeight="1" x14ac:dyDescent="0.15"/>
    <row r="794" ht="14" customHeight="1" x14ac:dyDescent="0.15"/>
    <row r="795" ht="14" customHeight="1" x14ac:dyDescent="0.15"/>
    <row r="796" ht="14" customHeight="1" x14ac:dyDescent="0.15"/>
    <row r="797" ht="14" customHeight="1" x14ac:dyDescent="0.15"/>
    <row r="798" ht="14" customHeight="1" x14ac:dyDescent="0.15"/>
    <row r="799" ht="14" customHeight="1" x14ac:dyDescent="0.15"/>
    <row r="800" ht="14" customHeight="1" x14ac:dyDescent="0.15"/>
    <row r="801" ht="14" customHeight="1" x14ac:dyDescent="0.15"/>
    <row r="802" ht="14" customHeight="1" x14ac:dyDescent="0.15"/>
    <row r="803" ht="14" customHeight="1" x14ac:dyDescent="0.15"/>
    <row r="804" ht="14" customHeight="1" x14ac:dyDescent="0.15"/>
    <row r="805" ht="14" customHeight="1" x14ac:dyDescent="0.15"/>
    <row r="806" ht="14" customHeight="1" x14ac:dyDescent="0.15"/>
    <row r="807" ht="14" customHeight="1" x14ac:dyDescent="0.15"/>
    <row r="808" ht="14" customHeight="1" x14ac:dyDescent="0.15"/>
    <row r="809" ht="14" customHeight="1" x14ac:dyDescent="0.15"/>
    <row r="810" ht="14" customHeight="1" x14ac:dyDescent="0.15"/>
    <row r="811" ht="14" customHeight="1" x14ac:dyDescent="0.15"/>
    <row r="812" ht="14" customHeight="1" x14ac:dyDescent="0.15"/>
    <row r="813" ht="14" customHeight="1" x14ac:dyDescent="0.15"/>
    <row r="814" ht="14" customHeight="1" x14ac:dyDescent="0.15"/>
    <row r="815" ht="14" customHeight="1" x14ac:dyDescent="0.15"/>
    <row r="816" ht="14" customHeight="1" x14ac:dyDescent="0.15"/>
    <row r="817" ht="14" customHeight="1" x14ac:dyDescent="0.15"/>
    <row r="818" ht="14" customHeight="1" x14ac:dyDescent="0.15"/>
    <row r="819" ht="14" customHeight="1" x14ac:dyDescent="0.15"/>
    <row r="820" ht="14" customHeight="1" x14ac:dyDescent="0.15"/>
    <row r="821" ht="14" customHeight="1" x14ac:dyDescent="0.15"/>
    <row r="822" ht="14" customHeight="1" x14ac:dyDescent="0.15"/>
    <row r="823" ht="14" customHeight="1" x14ac:dyDescent="0.15"/>
    <row r="824" ht="14" customHeight="1" x14ac:dyDescent="0.15"/>
    <row r="825" ht="14" customHeight="1" x14ac:dyDescent="0.15"/>
    <row r="826" ht="14" customHeight="1" x14ac:dyDescent="0.15"/>
    <row r="827" ht="14" customHeight="1" x14ac:dyDescent="0.15"/>
    <row r="828" ht="14" customHeight="1" x14ac:dyDescent="0.15"/>
    <row r="829" ht="14" customHeight="1" x14ac:dyDescent="0.15"/>
    <row r="830" ht="14" customHeight="1" x14ac:dyDescent="0.15"/>
    <row r="831" ht="14" customHeight="1" x14ac:dyDescent="0.15"/>
    <row r="832" ht="14" customHeight="1" x14ac:dyDescent="0.15"/>
    <row r="833" ht="14" customHeight="1" x14ac:dyDescent="0.15"/>
    <row r="834" ht="14" customHeight="1" x14ac:dyDescent="0.15"/>
    <row r="835" ht="14" customHeight="1" x14ac:dyDescent="0.15"/>
    <row r="836" ht="14" customHeight="1" x14ac:dyDescent="0.15"/>
    <row r="837" ht="14" customHeight="1" x14ac:dyDescent="0.15"/>
    <row r="838" ht="14" customHeight="1" x14ac:dyDescent="0.15"/>
    <row r="839" ht="14" customHeight="1" x14ac:dyDescent="0.15"/>
    <row r="840" ht="14" customHeight="1" x14ac:dyDescent="0.15"/>
    <row r="841" ht="14" customHeight="1" x14ac:dyDescent="0.15"/>
    <row r="842" ht="14" customHeight="1" x14ac:dyDescent="0.15"/>
    <row r="843" ht="14" customHeight="1" x14ac:dyDescent="0.15"/>
    <row r="844" ht="14" customHeight="1" x14ac:dyDescent="0.15"/>
    <row r="845" ht="14" customHeight="1" x14ac:dyDescent="0.15"/>
    <row r="846" ht="14" customHeight="1" x14ac:dyDescent="0.15"/>
    <row r="847" ht="14" customHeight="1" x14ac:dyDescent="0.15"/>
    <row r="848" ht="14" customHeight="1" x14ac:dyDescent="0.15"/>
    <row r="849" ht="14" customHeight="1" x14ac:dyDescent="0.15"/>
    <row r="850" ht="14" customHeight="1" x14ac:dyDescent="0.15"/>
    <row r="851" ht="14" customHeight="1" x14ac:dyDescent="0.15"/>
    <row r="852" ht="14" customHeight="1" x14ac:dyDescent="0.15"/>
    <row r="853" ht="14" customHeight="1" x14ac:dyDescent="0.15"/>
    <row r="854" ht="14" customHeight="1" x14ac:dyDescent="0.15"/>
    <row r="855" ht="14" customHeight="1" x14ac:dyDescent="0.15"/>
    <row r="856" ht="14" customHeight="1" x14ac:dyDescent="0.15"/>
    <row r="857" ht="14" customHeight="1" x14ac:dyDescent="0.15"/>
    <row r="858" ht="14" customHeight="1" x14ac:dyDescent="0.15"/>
    <row r="859" ht="14" customHeight="1" x14ac:dyDescent="0.15"/>
    <row r="860" ht="14" customHeight="1" x14ac:dyDescent="0.15"/>
    <row r="861" ht="14" customHeight="1" x14ac:dyDescent="0.15"/>
    <row r="862" ht="14" customHeight="1" x14ac:dyDescent="0.15"/>
    <row r="863" ht="14" customHeight="1" x14ac:dyDescent="0.15"/>
    <row r="864" ht="14" customHeight="1" x14ac:dyDescent="0.15"/>
    <row r="865" ht="14" customHeight="1" x14ac:dyDescent="0.15"/>
    <row r="866" ht="14" customHeight="1" x14ac:dyDescent="0.15"/>
    <row r="867" ht="14" customHeight="1" x14ac:dyDescent="0.15"/>
    <row r="868" ht="14" customHeight="1" x14ac:dyDescent="0.15"/>
    <row r="869" ht="14" customHeight="1" x14ac:dyDescent="0.15"/>
    <row r="870" ht="14" customHeight="1" x14ac:dyDescent="0.15"/>
    <row r="871" ht="14" customHeight="1" x14ac:dyDescent="0.15"/>
    <row r="872" ht="14" customHeight="1" x14ac:dyDescent="0.15"/>
    <row r="873" ht="14" customHeight="1" x14ac:dyDescent="0.15"/>
    <row r="874" ht="14" customHeight="1" x14ac:dyDescent="0.15"/>
    <row r="875" ht="14" customHeight="1" x14ac:dyDescent="0.15"/>
    <row r="876" ht="14" customHeight="1" x14ac:dyDescent="0.15"/>
    <row r="877" ht="14" customHeight="1" x14ac:dyDescent="0.15"/>
    <row r="878" ht="14" customHeight="1" x14ac:dyDescent="0.15"/>
    <row r="879" ht="14" customHeight="1" x14ac:dyDescent="0.15"/>
    <row r="880" ht="14" customHeight="1" x14ac:dyDescent="0.15"/>
    <row r="881" ht="14" customHeight="1" x14ac:dyDescent="0.15"/>
    <row r="882" ht="14" customHeight="1" x14ac:dyDescent="0.15"/>
    <row r="883" ht="14" customHeight="1" x14ac:dyDescent="0.15"/>
    <row r="884" ht="14" customHeight="1" x14ac:dyDescent="0.15"/>
    <row r="885" ht="14" customHeight="1" x14ac:dyDescent="0.15"/>
    <row r="886" ht="14" customHeight="1" x14ac:dyDescent="0.15"/>
    <row r="887" ht="14" customHeight="1" x14ac:dyDescent="0.15"/>
    <row r="888" ht="14" customHeight="1" x14ac:dyDescent="0.15"/>
    <row r="889" ht="14" customHeight="1" x14ac:dyDescent="0.15"/>
    <row r="890" ht="14" customHeight="1" x14ac:dyDescent="0.15"/>
    <row r="891" ht="14" customHeight="1" x14ac:dyDescent="0.15"/>
    <row r="892" ht="14" customHeight="1" x14ac:dyDescent="0.15"/>
    <row r="893" ht="14" customHeight="1" x14ac:dyDescent="0.15"/>
    <row r="894" ht="14" customHeight="1" x14ac:dyDescent="0.15"/>
    <row r="895" ht="14" customHeight="1" x14ac:dyDescent="0.15"/>
    <row r="896" ht="14" customHeight="1" x14ac:dyDescent="0.15"/>
    <row r="897" ht="14" customHeight="1" x14ac:dyDescent="0.15"/>
    <row r="898" ht="14" customHeight="1" x14ac:dyDescent="0.15"/>
    <row r="899" ht="14" customHeight="1" x14ac:dyDescent="0.15"/>
    <row r="900" ht="14" customHeight="1" x14ac:dyDescent="0.15"/>
    <row r="901" ht="14" customHeight="1" x14ac:dyDescent="0.15"/>
    <row r="902" ht="14" customHeight="1" x14ac:dyDescent="0.15"/>
    <row r="903" ht="14" customHeight="1" x14ac:dyDescent="0.15"/>
    <row r="904" ht="14" customHeight="1" x14ac:dyDescent="0.15"/>
    <row r="905" ht="14" customHeight="1" x14ac:dyDescent="0.15"/>
    <row r="906" ht="14" customHeight="1" x14ac:dyDescent="0.15"/>
    <row r="907" ht="14" customHeight="1" x14ac:dyDescent="0.15"/>
    <row r="908" ht="14" customHeight="1" x14ac:dyDescent="0.15"/>
    <row r="909" ht="14" customHeight="1" x14ac:dyDescent="0.15"/>
    <row r="910" ht="14" customHeight="1" x14ac:dyDescent="0.15"/>
    <row r="911" ht="14" customHeight="1" x14ac:dyDescent="0.15"/>
    <row r="912" ht="14" customHeight="1" x14ac:dyDescent="0.15"/>
    <row r="913" ht="14" customHeight="1" x14ac:dyDescent="0.15"/>
    <row r="914" ht="14" customHeight="1" x14ac:dyDescent="0.15"/>
    <row r="915" ht="14" customHeight="1" x14ac:dyDescent="0.15"/>
    <row r="916" ht="14" customHeight="1" x14ac:dyDescent="0.15"/>
    <row r="917" ht="14" customHeight="1" x14ac:dyDescent="0.15"/>
    <row r="918" ht="14" customHeight="1" x14ac:dyDescent="0.15"/>
    <row r="919" ht="14" customHeight="1" x14ac:dyDescent="0.15"/>
    <row r="920" ht="14" customHeight="1" x14ac:dyDescent="0.15"/>
    <row r="921" ht="14" customHeight="1" x14ac:dyDescent="0.15"/>
    <row r="922" ht="14" customHeight="1" x14ac:dyDescent="0.15"/>
    <row r="923" ht="14" customHeight="1" x14ac:dyDescent="0.15"/>
    <row r="924" ht="14" customHeight="1" x14ac:dyDescent="0.15"/>
    <row r="925" ht="14" customHeight="1" x14ac:dyDescent="0.15"/>
    <row r="926" ht="14" customHeight="1" x14ac:dyDescent="0.15"/>
    <row r="927" ht="14" customHeight="1" x14ac:dyDescent="0.15"/>
    <row r="928" ht="14" customHeight="1" x14ac:dyDescent="0.15"/>
    <row r="929" ht="14" customHeight="1" x14ac:dyDescent="0.15"/>
    <row r="930" ht="14" customHeight="1" x14ac:dyDescent="0.15"/>
    <row r="931" ht="14" customHeight="1" x14ac:dyDescent="0.15"/>
    <row r="932" ht="14" customHeight="1" x14ac:dyDescent="0.15"/>
    <row r="933" ht="14" customHeight="1" x14ac:dyDescent="0.15"/>
    <row r="934" ht="14" customHeight="1" x14ac:dyDescent="0.15"/>
    <row r="935" ht="14" customHeight="1" x14ac:dyDescent="0.15"/>
    <row r="936" ht="14" customHeight="1" x14ac:dyDescent="0.15"/>
    <row r="937" ht="14" customHeight="1" x14ac:dyDescent="0.15"/>
    <row r="938" ht="14" customHeight="1" x14ac:dyDescent="0.15"/>
    <row r="939" ht="14" customHeight="1" x14ac:dyDescent="0.15"/>
    <row r="940" ht="14" customHeight="1" x14ac:dyDescent="0.15"/>
    <row r="941" ht="14" customHeight="1" x14ac:dyDescent="0.15"/>
    <row r="942" ht="14" customHeight="1" x14ac:dyDescent="0.15"/>
    <row r="943" ht="14" customHeight="1" x14ac:dyDescent="0.15"/>
    <row r="944" ht="14" customHeight="1" x14ac:dyDescent="0.15"/>
    <row r="945" ht="14" customHeight="1" x14ac:dyDescent="0.15"/>
    <row r="946" ht="14" customHeight="1" x14ac:dyDescent="0.15"/>
    <row r="947" ht="14" customHeight="1" x14ac:dyDescent="0.15"/>
    <row r="948" ht="14" customHeight="1" x14ac:dyDescent="0.15"/>
    <row r="949" ht="14" customHeight="1" x14ac:dyDescent="0.15"/>
    <row r="950" ht="14" customHeight="1" x14ac:dyDescent="0.15"/>
    <row r="951" ht="14" customHeight="1" x14ac:dyDescent="0.15"/>
    <row r="952" ht="14" customHeight="1" x14ac:dyDescent="0.15"/>
    <row r="953" ht="14" customHeight="1" x14ac:dyDescent="0.15"/>
    <row r="954" ht="14" customHeight="1" x14ac:dyDescent="0.15"/>
    <row r="955" ht="14" customHeight="1" x14ac:dyDescent="0.15"/>
    <row r="956" ht="14" customHeight="1" x14ac:dyDescent="0.15"/>
    <row r="957" ht="14" customHeight="1" x14ac:dyDescent="0.15"/>
    <row r="958" ht="14" customHeight="1" x14ac:dyDescent="0.15"/>
    <row r="959" ht="14" customHeight="1" x14ac:dyDescent="0.15"/>
    <row r="960" ht="14" customHeight="1" x14ac:dyDescent="0.15"/>
    <row r="961" ht="14" customHeight="1" x14ac:dyDescent="0.15"/>
    <row r="962" ht="14" customHeight="1" x14ac:dyDescent="0.15"/>
    <row r="963" ht="14" customHeight="1" x14ac:dyDescent="0.15"/>
    <row r="964" ht="14" customHeight="1" x14ac:dyDescent="0.15"/>
    <row r="965" ht="14" customHeight="1" x14ac:dyDescent="0.15"/>
    <row r="966" ht="14" customHeight="1" x14ac:dyDescent="0.15"/>
    <row r="967" ht="14" customHeight="1" x14ac:dyDescent="0.15"/>
    <row r="968" ht="14" customHeight="1" x14ac:dyDescent="0.15"/>
    <row r="969" ht="14" customHeight="1" x14ac:dyDescent="0.15"/>
    <row r="970" ht="14" customHeight="1" x14ac:dyDescent="0.15"/>
    <row r="971" ht="14" customHeight="1" x14ac:dyDescent="0.15"/>
    <row r="972" ht="14" customHeight="1" x14ac:dyDescent="0.15"/>
    <row r="973" ht="14" customHeight="1" x14ac:dyDescent="0.15"/>
    <row r="974" ht="14" customHeight="1" x14ac:dyDescent="0.15"/>
    <row r="975" ht="14" customHeight="1" x14ac:dyDescent="0.15"/>
    <row r="976" ht="14" customHeight="1" x14ac:dyDescent="0.15"/>
    <row r="977" ht="14" customHeight="1" x14ac:dyDescent="0.15"/>
    <row r="978" ht="14" customHeight="1" x14ac:dyDescent="0.15"/>
    <row r="979" ht="14" customHeight="1" x14ac:dyDescent="0.15"/>
    <row r="980" ht="14" customHeight="1" x14ac:dyDescent="0.15"/>
    <row r="981" ht="14" customHeight="1" x14ac:dyDescent="0.15"/>
    <row r="982" ht="14" customHeight="1" x14ac:dyDescent="0.15"/>
    <row r="983" ht="14" customHeight="1" x14ac:dyDescent="0.15"/>
    <row r="984" ht="14" customHeight="1" x14ac:dyDescent="0.15"/>
    <row r="985" ht="14" customHeight="1" x14ac:dyDescent="0.15"/>
    <row r="986" ht="14" customHeight="1" x14ac:dyDescent="0.15"/>
    <row r="987" ht="14" customHeight="1" x14ac:dyDescent="0.15"/>
    <row r="988" ht="14" customHeight="1" x14ac:dyDescent="0.15"/>
    <row r="989" ht="14" customHeight="1" x14ac:dyDescent="0.15"/>
    <row r="990" ht="14" customHeight="1" x14ac:dyDescent="0.15"/>
    <row r="991" ht="14" customHeight="1" x14ac:dyDescent="0.15"/>
    <row r="992" ht="14" customHeight="1" x14ac:dyDescent="0.15"/>
    <row r="993" ht="14" customHeight="1" x14ac:dyDescent="0.15"/>
    <row r="994" ht="14" customHeight="1" x14ac:dyDescent="0.15"/>
    <row r="995" ht="14" customHeight="1" x14ac:dyDescent="0.15"/>
    <row r="996" ht="14" customHeight="1" x14ac:dyDescent="0.15"/>
    <row r="997" ht="14" customHeight="1" x14ac:dyDescent="0.15"/>
    <row r="998" ht="14" customHeight="1" x14ac:dyDescent="0.15"/>
    <row r="999" ht="14" customHeight="1" x14ac:dyDescent="0.15"/>
    <row r="1000" ht="14" customHeight="1" x14ac:dyDescent="0.15"/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1F497D"/>
  </sheetPr>
  <dimension ref="A1:AI1000"/>
  <sheetViews>
    <sheetView workbookViewId="0">
      <selection activeCell="B1" sqref="B1:B1048576"/>
    </sheetView>
  </sheetViews>
  <sheetFormatPr baseColWidth="10" defaultColWidth="8.83203125" defaultRowHeight="15" customHeight="1" x14ac:dyDescent="0.15"/>
  <cols>
    <col min="1" max="1" width="39.83203125" style="48" customWidth="1"/>
    <col min="2" max="2" width="17.83203125" style="30" customWidth="1"/>
    <col min="3" max="3" width="9.5" style="48" customWidth="1"/>
    <col min="4" max="35" width="9.5" style="48" bestFit="1" customWidth="1"/>
    <col min="36" max="43" width="8.83203125" style="48" customWidth="1"/>
    <col min="44" max="16384" width="8.83203125" style="48"/>
  </cols>
  <sheetData>
    <row r="1" spans="1:35" ht="14.5" customHeight="1" x14ac:dyDescent="0.2">
      <c r="A1" s="28" t="s">
        <v>177</v>
      </c>
      <c r="B1" s="29">
        <v>2020</v>
      </c>
      <c r="C1" s="29">
        <v>2021</v>
      </c>
      <c r="D1" s="29">
        <v>2022</v>
      </c>
      <c r="E1" s="29">
        <v>2023</v>
      </c>
      <c r="F1" s="29">
        <v>2024</v>
      </c>
      <c r="G1" s="29">
        <v>2025</v>
      </c>
      <c r="H1" s="29">
        <v>2026</v>
      </c>
      <c r="I1" s="29">
        <v>2027</v>
      </c>
      <c r="J1" s="29">
        <v>2028</v>
      </c>
      <c r="K1" s="29">
        <v>2029</v>
      </c>
      <c r="L1" s="29">
        <v>2030</v>
      </c>
      <c r="M1" s="29">
        <v>2031</v>
      </c>
      <c r="N1" s="29">
        <v>2032</v>
      </c>
      <c r="O1" s="29">
        <v>2033</v>
      </c>
      <c r="P1" s="29">
        <v>2034</v>
      </c>
      <c r="Q1" s="29">
        <v>2035</v>
      </c>
      <c r="R1" s="29">
        <v>2036</v>
      </c>
      <c r="S1" s="29">
        <v>2037</v>
      </c>
      <c r="T1" s="29">
        <v>2038</v>
      </c>
      <c r="U1" s="29">
        <v>2039</v>
      </c>
      <c r="V1" s="29">
        <v>2040</v>
      </c>
      <c r="W1" s="29">
        <v>2041</v>
      </c>
      <c r="X1" s="29">
        <v>2042</v>
      </c>
      <c r="Y1" s="29">
        <v>2043</v>
      </c>
      <c r="Z1" s="29">
        <v>2044</v>
      </c>
      <c r="AA1" s="29">
        <v>2045</v>
      </c>
      <c r="AB1" s="29">
        <v>2046</v>
      </c>
      <c r="AC1" s="29">
        <v>2047</v>
      </c>
      <c r="AD1" s="29">
        <v>2048</v>
      </c>
      <c r="AE1" s="29">
        <v>2049</v>
      </c>
      <c r="AF1" s="29">
        <v>2050</v>
      </c>
      <c r="AH1" s="29"/>
      <c r="AI1" s="29"/>
    </row>
    <row r="2" spans="1:35" ht="14" customHeight="1" x14ac:dyDescent="0.15">
      <c r="A2" s="48" t="s">
        <v>178</v>
      </c>
      <c r="B2">
        <v>0</v>
      </c>
      <c r="C2" s="57">
        <v>0</v>
      </c>
      <c r="D2" s="57">
        <v>0</v>
      </c>
      <c r="E2" s="57">
        <v>0</v>
      </c>
      <c r="F2" s="57">
        <v>0</v>
      </c>
      <c r="G2" s="57">
        <v>0</v>
      </c>
      <c r="H2" s="57">
        <v>0</v>
      </c>
      <c r="I2" s="57">
        <v>0</v>
      </c>
      <c r="J2" s="57">
        <v>0</v>
      </c>
      <c r="K2" s="57">
        <v>0</v>
      </c>
      <c r="L2" s="57">
        <v>0</v>
      </c>
      <c r="M2" s="57">
        <v>0</v>
      </c>
      <c r="N2" s="57">
        <v>0</v>
      </c>
      <c r="O2" s="57">
        <v>0</v>
      </c>
      <c r="P2" s="57">
        <v>0</v>
      </c>
      <c r="Q2" s="57">
        <v>0</v>
      </c>
      <c r="R2" s="57">
        <v>0</v>
      </c>
      <c r="S2" s="57">
        <v>0</v>
      </c>
      <c r="T2" s="57">
        <v>0</v>
      </c>
      <c r="U2" s="57">
        <v>0</v>
      </c>
      <c r="V2" s="57">
        <v>0</v>
      </c>
      <c r="W2" s="57">
        <v>0</v>
      </c>
      <c r="X2" s="57">
        <v>0</v>
      </c>
      <c r="Y2" s="57">
        <v>0</v>
      </c>
      <c r="Z2" s="57">
        <v>0</v>
      </c>
      <c r="AA2" s="57">
        <v>0</v>
      </c>
      <c r="AB2" s="57">
        <v>0</v>
      </c>
      <c r="AC2" s="57">
        <v>0</v>
      </c>
      <c r="AD2" s="57">
        <v>0</v>
      </c>
      <c r="AE2" s="57">
        <v>0</v>
      </c>
      <c r="AF2" s="57">
        <v>0</v>
      </c>
      <c r="AG2" s="57"/>
    </row>
    <row r="3" spans="1:35" ht="14" customHeight="1" x14ac:dyDescent="0.15">
      <c r="A3" s="48" t="s">
        <v>179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5" ht="14" customHeight="1" x14ac:dyDescent="0.15">
      <c r="A4" s="48" t="s">
        <v>135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5" ht="14" customHeight="1" x14ac:dyDescent="0.15">
      <c r="A5" s="48" t="s">
        <v>180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5" ht="14" customHeight="1" x14ac:dyDescent="0.15">
      <c r="A6" s="48" t="s">
        <v>181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5" ht="14" customHeight="1" x14ac:dyDescent="0.15">
      <c r="A7" s="48" t="s">
        <v>182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5" ht="14" customHeight="1" x14ac:dyDescent="0.15">
      <c r="A8" s="48" t="s">
        <v>183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5" ht="14" customHeight="1" x14ac:dyDescent="0.15">
      <c r="A9" s="48" t="s">
        <v>184</v>
      </c>
      <c r="B9">
        <v>0</v>
      </c>
      <c r="C9" s="57">
        <v>0</v>
      </c>
      <c r="D9" s="57">
        <v>0</v>
      </c>
      <c r="E9" s="57">
        <v>0</v>
      </c>
      <c r="F9" s="57">
        <v>0</v>
      </c>
      <c r="G9" s="57">
        <v>0</v>
      </c>
      <c r="H9" s="57">
        <v>0</v>
      </c>
      <c r="I9" s="57">
        <v>0</v>
      </c>
      <c r="J9" s="57">
        <v>0</v>
      </c>
      <c r="K9" s="57">
        <v>0</v>
      </c>
      <c r="L9" s="57">
        <v>0</v>
      </c>
      <c r="M9" s="57">
        <v>0</v>
      </c>
      <c r="N9" s="57">
        <v>0</v>
      </c>
      <c r="O9" s="57">
        <v>0</v>
      </c>
      <c r="P9" s="57">
        <v>0</v>
      </c>
      <c r="Q9" s="57">
        <v>0</v>
      </c>
      <c r="R9" s="57">
        <v>0</v>
      </c>
      <c r="S9" s="57">
        <v>0</v>
      </c>
      <c r="T9" s="57">
        <v>0</v>
      </c>
      <c r="U9" s="57">
        <v>0</v>
      </c>
      <c r="V9" s="57">
        <v>0</v>
      </c>
      <c r="W9" s="57">
        <v>0</v>
      </c>
      <c r="X9" s="57">
        <v>0</v>
      </c>
      <c r="Y9" s="57">
        <v>0</v>
      </c>
      <c r="Z9" s="57">
        <v>0</v>
      </c>
      <c r="AA9" s="57">
        <v>0</v>
      </c>
      <c r="AB9" s="57">
        <v>0</v>
      </c>
      <c r="AC9" s="57">
        <v>0</v>
      </c>
      <c r="AD9" s="57">
        <v>0</v>
      </c>
      <c r="AE9" s="57">
        <v>0</v>
      </c>
      <c r="AF9" s="57">
        <v>0</v>
      </c>
      <c r="AG9" s="57"/>
    </row>
    <row r="10" spans="1:35" ht="14" customHeight="1" x14ac:dyDescent="0.15">
      <c r="A10" s="48" t="s">
        <v>136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5" ht="14" customHeight="1" x14ac:dyDescent="0.15">
      <c r="A11" s="48" t="s">
        <v>185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5" ht="14" customHeight="1" x14ac:dyDescent="0.15">
      <c r="A12" s="48" t="s">
        <v>186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5" ht="14" customHeight="1" x14ac:dyDescent="0.15">
      <c r="A13" s="48" t="s">
        <v>187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5" ht="14" customHeight="1" x14ac:dyDescent="0.15">
      <c r="A14" s="48" t="s">
        <v>188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5" ht="14" customHeight="1" x14ac:dyDescent="0.15">
      <c r="A15" s="48" t="s">
        <v>189</v>
      </c>
      <c r="B15">
        <v>0</v>
      </c>
      <c r="C15" s="57">
        <v>0</v>
      </c>
      <c r="D15" s="57">
        <v>0</v>
      </c>
      <c r="E15" s="57">
        <v>0</v>
      </c>
      <c r="F15" s="57">
        <v>0</v>
      </c>
      <c r="G15" s="57">
        <v>0</v>
      </c>
      <c r="H15" s="57">
        <v>0</v>
      </c>
      <c r="I15" s="57">
        <v>0</v>
      </c>
      <c r="J15" s="57">
        <v>0</v>
      </c>
      <c r="K15" s="57">
        <v>0</v>
      </c>
      <c r="L15" s="57">
        <v>0</v>
      </c>
      <c r="M15" s="57">
        <v>0</v>
      </c>
      <c r="N15" s="57">
        <v>0</v>
      </c>
      <c r="O15" s="57">
        <v>0</v>
      </c>
      <c r="P15" s="57">
        <v>0</v>
      </c>
      <c r="Q15" s="57">
        <v>0</v>
      </c>
      <c r="R15" s="57">
        <v>0</v>
      </c>
      <c r="S15" s="57">
        <v>0</v>
      </c>
      <c r="T15" s="57">
        <v>0</v>
      </c>
      <c r="U15" s="57">
        <v>0</v>
      </c>
      <c r="V15" s="57">
        <v>0</v>
      </c>
      <c r="W15" s="57">
        <v>0</v>
      </c>
      <c r="X15" s="57">
        <v>0</v>
      </c>
      <c r="Y15" s="57">
        <v>0</v>
      </c>
      <c r="Z15" s="57">
        <v>0</v>
      </c>
      <c r="AA15" s="57">
        <v>0</v>
      </c>
      <c r="AB15" s="57">
        <v>0</v>
      </c>
      <c r="AC15" s="57">
        <v>0</v>
      </c>
      <c r="AD15" s="57">
        <v>0</v>
      </c>
      <c r="AE15" s="57">
        <v>0</v>
      </c>
      <c r="AF15" s="57">
        <v>0</v>
      </c>
      <c r="AG15" s="57"/>
    </row>
    <row r="16" spans="1:35" ht="14" customHeight="1" x14ac:dyDescent="0.15">
      <c r="A16" s="48" t="s">
        <v>190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3" ht="14" customHeight="1" x14ac:dyDescent="0.15">
      <c r="A17" s="48" t="s">
        <v>191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3" ht="14" customHeight="1" x14ac:dyDescent="0.15">
      <c r="A18" s="48" t="s">
        <v>192</v>
      </c>
      <c r="B18">
        <v>0</v>
      </c>
      <c r="C18" s="30">
        <v>0</v>
      </c>
      <c r="D18" s="30">
        <v>0</v>
      </c>
      <c r="E18" s="30">
        <v>0</v>
      </c>
      <c r="F18" s="30">
        <v>0</v>
      </c>
      <c r="G18" s="30">
        <v>0</v>
      </c>
      <c r="H18" s="30">
        <v>0</v>
      </c>
      <c r="I18" s="30">
        <v>0</v>
      </c>
      <c r="J18" s="30">
        <v>0</v>
      </c>
      <c r="K18" s="30">
        <v>0</v>
      </c>
      <c r="L18" s="30">
        <v>0</v>
      </c>
      <c r="M18" s="30">
        <v>0</v>
      </c>
      <c r="N18" s="30">
        <v>0</v>
      </c>
      <c r="O18" s="30">
        <v>0</v>
      </c>
      <c r="P18" s="30">
        <v>0</v>
      </c>
      <c r="Q18" s="30">
        <v>0</v>
      </c>
      <c r="R18" s="30">
        <v>0</v>
      </c>
      <c r="S18" s="30">
        <v>0</v>
      </c>
      <c r="T18" s="30">
        <v>0</v>
      </c>
      <c r="U18" s="30">
        <v>0</v>
      </c>
      <c r="V18" s="30">
        <v>0</v>
      </c>
      <c r="W18" s="30">
        <v>0</v>
      </c>
      <c r="X18" s="30">
        <v>0</v>
      </c>
      <c r="Y18" s="30">
        <v>0</v>
      </c>
      <c r="Z18" s="30">
        <v>0</v>
      </c>
      <c r="AA18" s="30">
        <v>0</v>
      </c>
      <c r="AB18" s="30">
        <v>0</v>
      </c>
      <c r="AC18" s="30">
        <v>0</v>
      </c>
      <c r="AD18" s="30">
        <v>0</v>
      </c>
      <c r="AE18" s="30">
        <v>0</v>
      </c>
      <c r="AF18" s="30">
        <v>0</v>
      </c>
      <c r="AG18" s="30"/>
    </row>
    <row r="19" spans="1:33" ht="14" customHeight="1" x14ac:dyDescent="0.15">
      <c r="A19" s="48" t="s">
        <v>193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3" ht="14" customHeight="1" x14ac:dyDescent="0.15">
      <c r="A20" s="48" t="s">
        <v>194</v>
      </c>
      <c r="B20">
        <v>0</v>
      </c>
      <c r="C20" s="57">
        <v>0</v>
      </c>
      <c r="D20" s="57">
        <v>0</v>
      </c>
      <c r="E20" s="57">
        <v>0</v>
      </c>
      <c r="F20" s="57">
        <v>0</v>
      </c>
      <c r="G20" s="57">
        <v>0</v>
      </c>
      <c r="H20" s="57">
        <v>0</v>
      </c>
      <c r="I20" s="57">
        <v>0</v>
      </c>
      <c r="J20" s="57">
        <v>0</v>
      </c>
      <c r="K20" s="57">
        <v>0</v>
      </c>
      <c r="L20" s="57">
        <v>0</v>
      </c>
      <c r="M20" s="57">
        <v>0</v>
      </c>
      <c r="N20" s="57">
        <v>0</v>
      </c>
      <c r="O20" s="57">
        <v>0</v>
      </c>
      <c r="P20" s="57">
        <v>0</v>
      </c>
      <c r="Q20" s="57">
        <v>0</v>
      </c>
      <c r="R20" s="57">
        <v>0</v>
      </c>
      <c r="S20" s="57">
        <v>0</v>
      </c>
      <c r="T20" s="57">
        <v>0</v>
      </c>
      <c r="U20" s="57">
        <v>0</v>
      </c>
      <c r="V20" s="57">
        <v>0</v>
      </c>
      <c r="W20" s="57">
        <v>0</v>
      </c>
      <c r="X20" s="57">
        <v>0</v>
      </c>
      <c r="Y20" s="57">
        <v>0</v>
      </c>
      <c r="Z20" s="57">
        <v>0</v>
      </c>
      <c r="AA20" s="57">
        <v>0</v>
      </c>
      <c r="AB20" s="57">
        <v>0</v>
      </c>
      <c r="AC20" s="57">
        <v>0</v>
      </c>
      <c r="AD20" s="57">
        <v>0</v>
      </c>
      <c r="AE20" s="57">
        <v>0</v>
      </c>
      <c r="AF20" s="57">
        <v>0</v>
      </c>
      <c r="AG20" s="57"/>
    </row>
    <row r="21" spans="1:33" ht="14" customHeight="1" x14ac:dyDescent="0.15">
      <c r="A21" s="48" t="s">
        <v>195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3" ht="14" customHeight="1" x14ac:dyDescent="0.15">
      <c r="A22" s="48" t="s">
        <v>196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3" ht="14" customHeight="1" x14ac:dyDescent="0.15">
      <c r="A23" s="48" t="s">
        <v>197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3" ht="14" customHeight="1" x14ac:dyDescent="0.15">
      <c r="A24" s="48" t="s">
        <v>198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3" ht="14" customHeight="1" x14ac:dyDescent="0.15">
      <c r="A25" s="48" t="s">
        <v>199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3" ht="14" customHeight="1" x14ac:dyDescent="0.15">
      <c r="A26" s="48" t="s">
        <v>200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3" ht="14" customHeight="1" x14ac:dyDescent="0.15"/>
    <row r="28" spans="1:33" ht="14.5" customHeight="1" x14ac:dyDescent="0.2">
      <c r="A28" s="29"/>
    </row>
    <row r="29" spans="1:33" ht="14" customHeight="1" x14ac:dyDescent="0.15"/>
    <row r="30" spans="1:33" ht="14.5" customHeight="1" x14ac:dyDescent="0.2">
      <c r="A30" s="29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 spans="1:33" ht="14" customHeight="1" x14ac:dyDescent="0.15"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 spans="1:33" ht="14" customHeight="1" x14ac:dyDescent="0.15"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 spans="1:35" ht="14.5" customHeight="1" x14ac:dyDescent="0.2">
      <c r="A33" s="29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 spans="1:35" ht="14" customHeight="1" x14ac:dyDescent="0.15">
      <c r="A34" s="31"/>
      <c r="B34" s="32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</row>
    <row r="35" spans="1:35" ht="14" customHeight="1" x14ac:dyDescent="0.15">
      <c r="A35" s="31"/>
      <c r="B35" s="32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58"/>
    </row>
    <row r="36" spans="1:35" ht="14" customHeight="1" x14ac:dyDescent="0.15">
      <c r="A36" s="31"/>
      <c r="B36" s="32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</row>
    <row r="37" spans="1:35" ht="14" customHeight="1" x14ac:dyDescent="0.15">
      <c r="A37" s="31"/>
      <c r="B37" s="32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</row>
    <row r="38" spans="1:35" ht="14" customHeight="1" x14ac:dyDescent="0.15">
      <c r="A38" s="31"/>
      <c r="B38" s="32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</row>
    <row r="39" spans="1:35" ht="14" customHeight="1" x14ac:dyDescent="0.15">
      <c r="A39" s="31"/>
      <c r="B39" s="32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</row>
    <row r="40" spans="1:35" ht="14" customHeight="1" x14ac:dyDescent="0.15">
      <c r="A40" s="31"/>
      <c r="B40" s="32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</row>
    <row r="41" spans="1:35" ht="14" customHeight="1" x14ac:dyDescent="0.15">
      <c r="A41" s="31"/>
      <c r="B41" s="32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</row>
    <row r="42" spans="1:35" ht="14" customHeight="1" x14ac:dyDescent="0.15">
      <c r="A42" s="31"/>
      <c r="B42" s="32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58"/>
      <c r="AG42" s="58"/>
      <c r="AH42" s="58"/>
      <c r="AI42" s="58"/>
    </row>
    <row r="43" spans="1:35" ht="14" customHeight="1" x14ac:dyDescent="0.15">
      <c r="A43" s="31"/>
      <c r="B43" s="32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  <c r="AD43" s="58"/>
      <c r="AE43" s="58"/>
      <c r="AF43" s="58"/>
      <c r="AG43" s="58"/>
      <c r="AH43" s="58"/>
      <c r="AI43" s="58"/>
    </row>
    <row r="44" spans="1:35" ht="14" customHeight="1" x14ac:dyDescent="0.15">
      <c r="A44" s="31"/>
      <c r="B44" s="32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</row>
    <row r="45" spans="1:35" ht="14" customHeight="1" x14ac:dyDescent="0.15">
      <c r="A45" s="31"/>
      <c r="B45" s="32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</row>
    <row r="46" spans="1:35" ht="14" customHeight="1" x14ac:dyDescent="0.15">
      <c r="A46" s="33"/>
      <c r="B46" s="34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</row>
    <row r="47" spans="1:35" ht="14.5" customHeight="1" x14ac:dyDescent="0.2">
      <c r="A47" s="29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 spans="1:35" ht="14" customHeight="1" x14ac:dyDescent="0.15">
      <c r="A48" s="31"/>
      <c r="B48" s="32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  <c r="AD48" s="58"/>
      <c r="AE48" s="58"/>
      <c r="AF48" s="58"/>
      <c r="AG48" s="58"/>
      <c r="AH48" s="58"/>
      <c r="AI48" s="58"/>
    </row>
    <row r="49" spans="1:35" ht="14" customHeight="1" x14ac:dyDescent="0.15">
      <c r="A49" s="31"/>
      <c r="B49" s="32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  <c r="AC49" s="58"/>
      <c r="AD49" s="58"/>
      <c r="AE49" s="58"/>
      <c r="AF49" s="58"/>
      <c r="AG49" s="58"/>
      <c r="AH49" s="58"/>
      <c r="AI49" s="58"/>
    </row>
    <row r="50" spans="1:35" ht="14.5" customHeight="1" x14ac:dyDescent="0.2">
      <c r="A50" s="35"/>
      <c r="B50" s="32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  <c r="AD50" s="58"/>
      <c r="AE50" s="58"/>
      <c r="AF50" s="58"/>
      <c r="AG50" s="58"/>
      <c r="AH50" s="58"/>
      <c r="AI50" s="58"/>
    </row>
    <row r="51" spans="1:35" ht="14" customHeight="1" x14ac:dyDescent="0.15">
      <c r="A51" s="31"/>
      <c r="B51" s="32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  <c r="AD51" s="58"/>
      <c r="AE51" s="58"/>
      <c r="AF51" s="58"/>
      <c r="AG51" s="58"/>
      <c r="AH51" s="58"/>
      <c r="AI51" s="58"/>
    </row>
    <row r="52" spans="1:35" ht="14" customHeight="1" x14ac:dyDescent="0.15">
      <c r="A52" s="31"/>
      <c r="B52" s="32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</row>
    <row r="53" spans="1:35" ht="14" customHeight="1" x14ac:dyDescent="0.15">
      <c r="A53" s="31"/>
      <c r="B53" s="32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</row>
    <row r="54" spans="1:35" ht="14" customHeight="1" x14ac:dyDescent="0.15">
      <c r="A54" s="31"/>
      <c r="B54" s="32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</row>
    <row r="55" spans="1:35" ht="14" customHeight="1" x14ac:dyDescent="0.15">
      <c r="A55" s="31"/>
      <c r="B55" s="32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  <c r="AB55" s="58"/>
      <c r="AC55" s="58"/>
      <c r="AD55" s="58"/>
      <c r="AE55" s="58"/>
      <c r="AF55" s="58"/>
      <c r="AG55" s="58"/>
      <c r="AH55" s="58"/>
      <c r="AI55" s="58"/>
    </row>
    <row r="56" spans="1:35" ht="14" customHeight="1" x14ac:dyDescent="0.15">
      <c r="A56" s="31"/>
      <c r="B56" s="36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  <c r="AD56" s="58"/>
      <c r="AE56" s="58"/>
      <c r="AF56" s="58"/>
      <c r="AG56" s="58"/>
      <c r="AH56" s="58"/>
      <c r="AI56" s="58"/>
    </row>
    <row r="57" spans="1:35" ht="14" customHeight="1" x14ac:dyDescent="0.15">
      <c r="A57" s="31"/>
      <c r="B57" s="36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  <c r="AI57" s="58"/>
    </row>
    <row r="58" spans="1:35" ht="14" customHeight="1" x14ac:dyDescent="0.15">
      <c r="A58" s="31"/>
      <c r="B58" s="36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</row>
    <row r="59" spans="1:35" ht="14" customHeight="1" x14ac:dyDescent="0.15">
      <c r="A59" s="31"/>
      <c r="B59" s="36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</row>
    <row r="60" spans="1:35" ht="14" customHeight="1" x14ac:dyDescent="0.15">
      <c r="A60" s="31"/>
      <c r="B60" s="36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  <c r="AB60" s="58"/>
      <c r="AC60" s="58"/>
      <c r="AD60" s="58"/>
      <c r="AE60" s="58"/>
      <c r="AF60" s="58"/>
      <c r="AG60" s="58"/>
      <c r="AH60" s="58"/>
      <c r="AI60" s="58"/>
    </row>
    <row r="61" spans="1:35" ht="14" customHeight="1" x14ac:dyDescent="0.15">
      <c r="A61" s="31"/>
      <c r="B61" s="3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</row>
    <row r="62" spans="1:35" ht="14" customHeight="1" x14ac:dyDescent="0.15">
      <c r="A62" s="33"/>
      <c r="B62" s="36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</row>
    <row r="63" spans="1:35" ht="14.5" customHeight="1" x14ac:dyDescent="0.2">
      <c r="A63" s="37"/>
      <c r="B63" s="36"/>
    </row>
    <row r="64" spans="1:35" ht="14" customHeight="1" x14ac:dyDescent="0.15">
      <c r="A64" s="31"/>
      <c r="B64" s="36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</row>
    <row r="65" spans="1:35" ht="14" customHeight="1" x14ac:dyDescent="0.15">
      <c r="A65" s="31"/>
      <c r="B65" s="36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</row>
    <row r="66" spans="1:35" ht="14" customHeight="1" x14ac:dyDescent="0.15">
      <c r="A66" s="31"/>
      <c r="B66" s="36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  <c r="AD66" s="58"/>
      <c r="AE66" s="58"/>
      <c r="AF66" s="58"/>
      <c r="AG66" s="58"/>
      <c r="AH66" s="58"/>
      <c r="AI66" s="58"/>
    </row>
    <row r="67" spans="1:35" ht="14" customHeight="1" x14ac:dyDescent="0.15">
      <c r="A67" s="31"/>
      <c r="B67" s="36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  <c r="AG67" s="58"/>
      <c r="AH67" s="58"/>
      <c r="AI67" s="58"/>
    </row>
    <row r="68" spans="1:35" ht="14" customHeight="1" x14ac:dyDescent="0.15">
      <c r="A68" s="31"/>
      <c r="B68" s="36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</row>
    <row r="69" spans="1:35" ht="14" customHeight="1" x14ac:dyDescent="0.15">
      <c r="A69" s="31"/>
      <c r="B69" s="36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</row>
    <row r="70" spans="1:35" ht="14" customHeight="1" x14ac:dyDescent="0.15">
      <c r="A70" s="31"/>
      <c r="B70" s="36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</row>
    <row r="71" spans="1:35" ht="14" customHeight="1" x14ac:dyDescent="0.15">
      <c r="A71" s="31"/>
      <c r="B71" s="36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</row>
    <row r="72" spans="1:35" ht="14" customHeight="1" x14ac:dyDescent="0.15">
      <c r="A72" s="31"/>
      <c r="B72" s="36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</row>
    <row r="73" spans="1:35" ht="14" customHeight="1" x14ac:dyDescent="0.15">
      <c r="A73" s="31"/>
      <c r="B73" s="36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  <c r="AD73" s="58"/>
      <c r="AE73" s="58"/>
      <c r="AF73" s="58"/>
      <c r="AG73" s="58"/>
      <c r="AH73" s="58"/>
      <c r="AI73" s="58"/>
    </row>
    <row r="74" spans="1:35" ht="14" customHeight="1" x14ac:dyDescent="0.15">
      <c r="A74" s="31"/>
      <c r="B74" s="36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  <c r="AD74" s="58"/>
      <c r="AE74" s="58"/>
      <c r="AF74" s="58"/>
      <c r="AG74" s="58"/>
      <c r="AH74" s="58"/>
      <c r="AI74" s="58"/>
    </row>
    <row r="75" spans="1:35" ht="14" customHeight="1" x14ac:dyDescent="0.15">
      <c r="A75" s="31"/>
      <c r="B75" s="36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</row>
    <row r="76" spans="1:35" ht="14" customHeight="1" x14ac:dyDescent="0.15">
      <c r="A76" s="33"/>
      <c r="B76" s="36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</row>
    <row r="77" spans="1:35" ht="14.5" customHeight="1" x14ac:dyDescent="0.2">
      <c r="A77" s="37"/>
      <c r="B77" s="36"/>
    </row>
    <row r="78" spans="1:35" ht="14.5" customHeight="1" x14ac:dyDescent="0.2">
      <c r="A78" s="37"/>
      <c r="B78" s="36"/>
    </row>
    <row r="79" spans="1:35" ht="14" customHeight="1" x14ac:dyDescent="0.15">
      <c r="A79" s="31"/>
      <c r="B79" s="36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  <c r="AB79" s="58"/>
      <c r="AC79" s="58"/>
      <c r="AD79" s="58"/>
      <c r="AE79" s="58"/>
      <c r="AF79" s="58"/>
      <c r="AG79" s="58"/>
      <c r="AH79" s="58"/>
      <c r="AI79" s="58"/>
    </row>
    <row r="80" spans="1:35" ht="14" customHeight="1" x14ac:dyDescent="0.15">
      <c r="A80" s="31"/>
      <c r="B80" s="36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</row>
    <row r="81" spans="1:35" ht="14" customHeight="1" x14ac:dyDescent="0.15">
      <c r="A81" s="31"/>
      <c r="B81" s="36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</row>
    <row r="82" spans="1:35" ht="14" customHeight="1" x14ac:dyDescent="0.15">
      <c r="A82" s="31"/>
      <c r="B82" s="32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  <c r="AD82" s="58"/>
      <c r="AE82" s="58"/>
      <c r="AF82" s="58"/>
      <c r="AG82" s="58"/>
      <c r="AH82" s="58"/>
      <c r="AI82" s="58"/>
    </row>
    <row r="83" spans="1:35" ht="14" customHeight="1" x14ac:dyDescent="0.15">
      <c r="A83" s="31"/>
      <c r="B83" s="32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  <c r="AB83" s="58"/>
      <c r="AC83" s="58"/>
      <c r="AD83" s="58"/>
      <c r="AE83" s="58"/>
      <c r="AF83" s="58"/>
      <c r="AG83" s="58"/>
      <c r="AH83" s="58"/>
      <c r="AI83" s="58"/>
    </row>
    <row r="84" spans="1:35" ht="14" customHeight="1" x14ac:dyDescent="0.15">
      <c r="A84" s="31"/>
      <c r="B84" s="32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</row>
    <row r="85" spans="1:35" ht="14" customHeight="1" x14ac:dyDescent="0.15">
      <c r="A85" s="31"/>
      <c r="B85" s="32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  <c r="AC85" s="58"/>
      <c r="AD85" s="58"/>
      <c r="AE85" s="58"/>
      <c r="AF85" s="58"/>
      <c r="AG85" s="58"/>
      <c r="AH85" s="58"/>
      <c r="AI85" s="58"/>
    </row>
    <row r="86" spans="1:35" ht="14" customHeight="1" x14ac:dyDescent="0.15">
      <c r="A86" s="31"/>
      <c r="B86" s="32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</row>
    <row r="87" spans="1:35" ht="14" customHeight="1" x14ac:dyDescent="0.15">
      <c r="A87" s="31"/>
      <c r="B87" s="32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  <c r="AC87" s="58"/>
      <c r="AD87" s="58"/>
      <c r="AE87" s="58"/>
      <c r="AF87" s="58"/>
      <c r="AG87" s="58"/>
      <c r="AH87" s="58"/>
      <c r="AI87" s="58"/>
    </row>
    <row r="88" spans="1:35" ht="14" customHeight="1" x14ac:dyDescent="0.15">
      <c r="A88" s="31"/>
      <c r="B88" s="32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  <c r="AB88" s="58"/>
      <c r="AC88" s="58"/>
      <c r="AD88" s="58"/>
      <c r="AE88" s="58"/>
      <c r="AF88" s="58"/>
      <c r="AG88" s="58"/>
      <c r="AH88" s="58"/>
      <c r="AI88" s="58"/>
    </row>
    <row r="89" spans="1:35" ht="14" customHeight="1" x14ac:dyDescent="0.15">
      <c r="A89" s="31"/>
      <c r="B89" s="32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  <c r="AD89" s="58"/>
      <c r="AE89" s="58"/>
      <c r="AF89" s="58"/>
      <c r="AG89" s="58"/>
      <c r="AH89" s="58"/>
      <c r="AI89" s="58"/>
    </row>
    <row r="90" spans="1:35" ht="14.5" customHeight="1" x14ac:dyDescent="0.2">
      <c r="A90" s="38"/>
      <c r="B90" s="32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  <c r="AB90" s="58"/>
      <c r="AC90" s="58"/>
      <c r="AD90" s="58"/>
      <c r="AE90" s="58"/>
      <c r="AF90" s="58"/>
      <c r="AG90" s="58"/>
      <c r="AH90" s="58"/>
      <c r="AI90" s="58"/>
    </row>
    <row r="91" spans="1:35" ht="14.5" customHeight="1" x14ac:dyDescent="0.2">
      <c r="A91" s="35"/>
      <c r="B91" s="32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</row>
    <row r="92" spans="1:35" ht="14" customHeight="1" x14ac:dyDescent="0.15">
      <c r="A92" s="31"/>
      <c r="B92" s="32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</row>
    <row r="93" spans="1:35" ht="14" customHeight="1" x14ac:dyDescent="0.15">
      <c r="A93" s="31"/>
      <c r="B93" s="32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  <c r="AB93" s="58"/>
      <c r="AC93" s="58"/>
      <c r="AD93" s="58"/>
      <c r="AE93" s="58"/>
      <c r="AF93" s="58"/>
      <c r="AG93" s="58"/>
      <c r="AH93" s="58"/>
      <c r="AI93" s="58"/>
    </row>
    <row r="94" spans="1:35" ht="14" customHeight="1" x14ac:dyDescent="0.15">
      <c r="A94" s="31"/>
      <c r="B94" s="32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  <c r="AB94" s="58"/>
      <c r="AC94" s="58"/>
      <c r="AD94" s="58"/>
      <c r="AE94" s="58"/>
      <c r="AF94" s="58"/>
      <c r="AG94" s="58"/>
      <c r="AH94" s="58"/>
      <c r="AI94" s="58"/>
    </row>
    <row r="95" spans="1:35" ht="14.5" customHeight="1" x14ac:dyDescent="0.2">
      <c r="A95" s="37"/>
    </row>
    <row r="96" spans="1:35" ht="14" customHeight="1" x14ac:dyDescent="0.15">
      <c r="A96" s="31"/>
      <c r="B96" s="32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  <c r="AB96" s="58"/>
      <c r="AC96" s="58"/>
      <c r="AD96" s="58"/>
      <c r="AE96" s="58"/>
      <c r="AF96" s="58"/>
      <c r="AG96" s="58"/>
      <c r="AH96" s="58"/>
      <c r="AI96" s="58"/>
    </row>
    <row r="97" spans="1:35" ht="14" customHeight="1" x14ac:dyDescent="0.15">
      <c r="A97" s="31"/>
      <c r="B97" s="32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  <c r="AA97" s="58"/>
      <c r="AB97" s="58"/>
      <c r="AC97" s="58"/>
      <c r="AD97" s="58"/>
      <c r="AE97" s="58"/>
      <c r="AF97" s="58"/>
      <c r="AG97" s="58"/>
      <c r="AH97" s="58"/>
      <c r="AI97" s="58"/>
    </row>
    <row r="98" spans="1:35" ht="14" customHeight="1" x14ac:dyDescent="0.15">
      <c r="A98" s="31"/>
      <c r="B98" s="32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  <c r="AA98" s="58"/>
      <c r="AB98" s="58"/>
      <c r="AC98" s="58"/>
      <c r="AD98" s="58"/>
      <c r="AE98" s="58"/>
      <c r="AF98" s="58"/>
      <c r="AG98" s="58"/>
      <c r="AH98" s="58"/>
      <c r="AI98" s="58"/>
    </row>
    <row r="99" spans="1:35" ht="14" customHeight="1" x14ac:dyDescent="0.15">
      <c r="A99" s="31"/>
      <c r="B99" s="32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  <c r="AA99" s="58"/>
      <c r="AB99" s="58"/>
      <c r="AC99" s="58"/>
      <c r="AD99" s="58"/>
      <c r="AE99" s="58"/>
      <c r="AF99" s="58"/>
      <c r="AG99" s="58"/>
      <c r="AH99" s="58"/>
      <c r="AI99" s="58"/>
    </row>
    <row r="100" spans="1:35" ht="14" customHeight="1" x14ac:dyDescent="0.15">
      <c r="A100" s="31"/>
      <c r="B100" s="32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  <c r="AB100" s="58"/>
      <c r="AC100" s="58"/>
      <c r="AD100" s="58"/>
      <c r="AE100" s="58"/>
      <c r="AF100" s="58"/>
      <c r="AG100" s="58"/>
      <c r="AH100" s="58"/>
      <c r="AI100" s="58"/>
    </row>
    <row r="101" spans="1:35" ht="14" customHeight="1" x14ac:dyDescent="0.15">
      <c r="A101" s="31"/>
      <c r="B101" s="32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  <c r="AA101" s="58"/>
      <c r="AB101" s="58"/>
      <c r="AC101" s="58"/>
      <c r="AD101" s="58"/>
      <c r="AE101" s="58"/>
      <c r="AF101" s="58"/>
      <c r="AG101" s="58"/>
      <c r="AH101" s="58"/>
      <c r="AI101" s="58"/>
    </row>
    <row r="102" spans="1:35" ht="14" customHeight="1" x14ac:dyDescent="0.15">
      <c r="A102" s="31"/>
      <c r="B102" s="32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</row>
    <row r="103" spans="1:35" ht="14" customHeight="1" x14ac:dyDescent="0.15">
      <c r="A103" s="31"/>
      <c r="B103" s="32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  <c r="AA103" s="58"/>
      <c r="AB103" s="58"/>
      <c r="AC103" s="58"/>
      <c r="AD103" s="58"/>
      <c r="AE103" s="58"/>
      <c r="AF103" s="58"/>
      <c r="AG103" s="58"/>
      <c r="AH103" s="58"/>
      <c r="AI103" s="58"/>
    </row>
    <row r="104" spans="1:35" ht="14" customHeight="1" x14ac:dyDescent="0.15">
      <c r="A104" s="31"/>
      <c r="B104" s="32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</row>
    <row r="105" spans="1:35" ht="14" customHeight="1" x14ac:dyDescent="0.15">
      <c r="A105" s="31"/>
      <c r="B105" s="32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  <c r="AH105" s="58"/>
      <c r="AI105" s="58"/>
    </row>
    <row r="106" spans="1:35" ht="14" customHeight="1" x14ac:dyDescent="0.15">
      <c r="A106" s="31"/>
      <c r="B106" s="32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</row>
    <row r="107" spans="1:35" ht="14" customHeight="1" x14ac:dyDescent="0.15">
      <c r="A107" s="33"/>
      <c r="B107" s="34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</row>
    <row r="108" spans="1:35" ht="14.5" customHeight="1" x14ac:dyDescent="0.2">
      <c r="A108" s="29"/>
    </row>
    <row r="109" spans="1:35" ht="14" customHeight="1" x14ac:dyDescent="0.15">
      <c r="A109" s="39"/>
      <c r="B109" s="40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</row>
    <row r="110" spans="1:35" ht="14" customHeight="1" x14ac:dyDescent="0.15">
      <c r="A110" s="39"/>
      <c r="B110" s="40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</row>
    <row r="111" spans="1:35" ht="14" customHeight="1" x14ac:dyDescent="0.15">
      <c r="A111" s="39"/>
      <c r="B111" s="43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</row>
    <row r="112" spans="1:35" ht="14" customHeight="1" x14ac:dyDescent="0.15">
      <c r="A112" s="39"/>
      <c r="B112" s="43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</row>
    <row r="113" spans="1:35" ht="14.5" customHeight="1" x14ac:dyDescent="0.2">
      <c r="A113" s="29"/>
    </row>
    <row r="114" spans="1:35" ht="14" customHeight="1" x14ac:dyDescent="0.15">
      <c r="A114" s="31"/>
      <c r="B114" s="32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</row>
    <row r="115" spans="1:35" ht="14" customHeight="1" x14ac:dyDescent="0.15">
      <c r="A115" s="31"/>
      <c r="B115" s="32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</row>
    <row r="116" spans="1:35" ht="14" customHeight="1" x14ac:dyDescent="0.15">
      <c r="A116" s="31"/>
      <c r="B116" s="32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</row>
    <row r="117" spans="1:35" ht="14" customHeight="1" x14ac:dyDescent="0.15">
      <c r="A117" s="31"/>
      <c r="B117" s="32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</row>
    <row r="118" spans="1:35" ht="14" customHeight="1" x14ac:dyDescent="0.15">
      <c r="A118" s="31"/>
      <c r="B118" s="32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  <c r="AA118" s="58"/>
      <c r="AB118" s="58"/>
      <c r="AC118" s="58"/>
      <c r="AD118" s="58"/>
      <c r="AE118" s="58"/>
      <c r="AF118" s="58"/>
      <c r="AG118" s="58"/>
      <c r="AH118" s="58"/>
      <c r="AI118" s="58"/>
    </row>
    <row r="119" spans="1:35" ht="14" customHeight="1" x14ac:dyDescent="0.15">
      <c r="A119" s="31"/>
      <c r="B119" s="32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  <c r="AA119" s="58"/>
      <c r="AB119" s="58"/>
      <c r="AC119" s="58"/>
      <c r="AD119" s="58"/>
      <c r="AE119" s="58"/>
      <c r="AF119" s="58"/>
      <c r="AG119" s="58"/>
      <c r="AH119" s="58"/>
      <c r="AI119" s="58"/>
    </row>
    <row r="120" spans="1:35" ht="14" customHeight="1" x14ac:dyDescent="0.15">
      <c r="A120" s="31"/>
      <c r="B120" s="32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  <c r="AA120" s="58"/>
      <c r="AB120" s="58"/>
      <c r="AC120" s="58"/>
      <c r="AD120" s="58"/>
      <c r="AE120" s="58"/>
      <c r="AF120" s="58"/>
      <c r="AG120" s="58"/>
      <c r="AH120" s="58"/>
      <c r="AI120" s="58"/>
    </row>
    <row r="121" spans="1:35" ht="14" customHeight="1" x14ac:dyDescent="0.15">
      <c r="A121" s="31"/>
      <c r="B121" s="32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</row>
    <row r="122" spans="1:35" ht="14" customHeight="1" x14ac:dyDescent="0.15">
      <c r="A122" s="31"/>
      <c r="B122" s="32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</row>
    <row r="123" spans="1:35" ht="14" customHeight="1" x14ac:dyDescent="0.15">
      <c r="A123" s="31"/>
      <c r="B123" s="32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</row>
    <row r="124" spans="1:35" ht="14" customHeight="1" x14ac:dyDescent="0.15">
      <c r="A124" s="33"/>
      <c r="B124" s="34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</row>
    <row r="125" spans="1:35" ht="14.5" customHeight="1" x14ac:dyDescent="0.2">
      <c r="A125" s="29"/>
    </row>
    <row r="126" spans="1:35" ht="14.5" customHeight="1" x14ac:dyDescent="0.2">
      <c r="A126" s="35"/>
      <c r="B126" s="32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</row>
    <row r="127" spans="1:35" ht="14" customHeight="1" x14ac:dyDescent="0.15">
      <c r="A127" s="31"/>
      <c r="B127" s="32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</row>
    <row r="128" spans="1:35" ht="14" customHeight="1" x14ac:dyDescent="0.15">
      <c r="A128" s="31"/>
      <c r="B128" s="32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</row>
    <row r="129" spans="1:35" ht="14" customHeight="1" x14ac:dyDescent="0.15">
      <c r="A129" s="31"/>
      <c r="B129" s="32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</row>
    <row r="130" spans="1:35" ht="14" customHeight="1" x14ac:dyDescent="0.15">
      <c r="A130" s="31"/>
      <c r="B130" s="32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</row>
    <row r="131" spans="1:35" ht="14" customHeight="1" x14ac:dyDescent="0.15">
      <c r="A131" s="31"/>
      <c r="B131" s="32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</row>
    <row r="132" spans="1:35" ht="14" customHeight="1" x14ac:dyDescent="0.15">
      <c r="A132" s="31"/>
      <c r="B132" s="32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</row>
    <row r="133" spans="1:35" ht="14" customHeight="1" x14ac:dyDescent="0.15">
      <c r="A133" s="31"/>
      <c r="B133" s="32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</row>
    <row r="134" spans="1:35" ht="14" customHeight="1" x14ac:dyDescent="0.15">
      <c r="A134" s="31"/>
      <c r="B134" s="32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</row>
    <row r="135" spans="1:35" ht="14" customHeight="1" x14ac:dyDescent="0.15">
      <c r="A135" s="31"/>
      <c r="B135" s="32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</row>
    <row r="136" spans="1:35" ht="14" customHeight="1" x14ac:dyDescent="0.15">
      <c r="A136" s="31"/>
      <c r="B136" s="32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</row>
    <row r="137" spans="1:35" ht="14" customHeight="1" x14ac:dyDescent="0.15">
      <c r="A137" s="31"/>
      <c r="B137" s="32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</row>
    <row r="138" spans="1:35" ht="14" customHeight="1" x14ac:dyDescent="0.15">
      <c r="A138" s="31"/>
      <c r="B138" s="32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</row>
    <row r="139" spans="1:35" ht="14" customHeight="1" x14ac:dyDescent="0.15">
      <c r="A139" s="31"/>
      <c r="B139" s="32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</row>
    <row r="140" spans="1:35" ht="14" customHeight="1" x14ac:dyDescent="0.15">
      <c r="A140" s="31"/>
      <c r="B140" s="32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</row>
    <row r="141" spans="1:35" ht="14" customHeight="1" x14ac:dyDescent="0.15">
      <c r="A141" s="31"/>
      <c r="B141" s="32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</row>
    <row r="142" spans="1:35" ht="14" customHeight="1" x14ac:dyDescent="0.15">
      <c r="A142" s="31"/>
      <c r="B142" s="32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</row>
    <row r="143" spans="1:35" ht="14" customHeight="1" x14ac:dyDescent="0.15">
      <c r="A143" s="31"/>
      <c r="B143" s="32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</row>
    <row r="144" spans="1:35" ht="14" customHeight="1" x14ac:dyDescent="0.15">
      <c r="A144" s="31"/>
      <c r="B144" s="32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</row>
    <row r="145" spans="1:35" ht="14" customHeight="1" x14ac:dyDescent="0.15">
      <c r="A145" s="31"/>
      <c r="B145" s="32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</row>
    <row r="146" spans="1:35" ht="14" customHeight="1" x14ac:dyDescent="0.15">
      <c r="A146" s="33"/>
      <c r="B146" s="34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</row>
    <row r="147" spans="1:35" ht="14" customHeight="1" x14ac:dyDescent="0.15">
      <c r="A147" s="31"/>
      <c r="B147" s="32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</row>
    <row r="148" spans="1:35" ht="14" customHeight="1" x14ac:dyDescent="0.15">
      <c r="A148" s="33"/>
      <c r="B148" s="34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</row>
    <row r="149" spans="1:35" ht="14" customHeight="1" x14ac:dyDescent="0.15"/>
    <row r="150" spans="1:35" ht="14" customHeight="1" x14ac:dyDescent="0.15">
      <c r="C150" s="60"/>
      <c r="D150" s="60"/>
      <c r="E150" s="60"/>
      <c r="F150" s="60"/>
      <c r="G150" s="60"/>
      <c r="H150" s="60"/>
      <c r="I150" s="60"/>
      <c r="J150" s="60"/>
      <c r="K150" s="60"/>
      <c r="L150" s="60"/>
    </row>
    <row r="151" spans="1:35" ht="14" customHeight="1" x14ac:dyDescent="0.15">
      <c r="C151" s="60"/>
      <c r="D151" s="60"/>
      <c r="E151" s="60"/>
      <c r="F151" s="60"/>
      <c r="G151" s="60"/>
      <c r="H151" s="60"/>
      <c r="I151" s="60"/>
      <c r="J151" s="60"/>
      <c r="K151" s="60"/>
      <c r="L151" s="60"/>
    </row>
    <row r="152" spans="1:35" ht="14" customHeight="1" x14ac:dyDescent="0.15"/>
    <row r="153" spans="1:35" ht="14" customHeight="1" x14ac:dyDescent="0.15"/>
    <row r="154" spans="1:35" ht="14" customHeight="1" x14ac:dyDescent="0.15"/>
    <row r="155" spans="1:35" ht="14" customHeight="1" x14ac:dyDescent="0.15"/>
    <row r="156" spans="1:35" ht="14" customHeight="1" x14ac:dyDescent="0.15"/>
    <row r="157" spans="1:35" ht="14" customHeight="1" x14ac:dyDescent="0.15"/>
    <row r="158" spans="1:35" ht="14" customHeight="1" x14ac:dyDescent="0.15"/>
    <row r="159" spans="1:35" ht="14" customHeight="1" x14ac:dyDescent="0.15"/>
    <row r="160" spans="1:35" ht="14" customHeight="1" x14ac:dyDescent="0.15"/>
    <row r="161" ht="14" customHeight="1" x14ac:dyDescent="0.15"/>
    <row r="162" ht="14" customHeight="1" x14ac:dyDescent="0.15"/>
    <row r="163" ht="14" customHeight="1" x14ac:dyDescent="0.15"/>
    <row r="164" ht="14" customHeight="1" x14ac:dyDescent="0.15"/>
    <row r="165" ht="14" customHeight="1" x14ac:dyDescent="0.15"/>
    <row r="166" ht="14" customHeight="1" x14ac:dyDescent="0.15"/>
    <row r="167" ht="14" customHeight="1" x14ac:dyDescent="0.15"/>
    <row r="168" ht="14" customHeight="1" x14ac:dyDescent="0.15"/>
    <row r="169" ht="14" customHeight="1" x14ac:dyDescent="0.15"/>
    <row r="170" ht="14" customHeight="1" x14ac:dyDescent="0.15"/>
    <row r="171" ht="14" customHeight="1" x14ac:dyDescent="0.15"/>
    <row r="172" ht="14" customHeight="1" x14ac:dyDescent="0.15"/>
    <row r="173" ht="14" customHeight="1" x14ac:dyDescent="0.15"/>
    <row r="174" ht="14" customHeight="1" x14ac:dyDescent="0.15"/>
    <row r="175" ht="14" customHeight="1" x14ac:dyDescent="0.15"/>
    <row r="176" ht="14" customHeight="1" x14ac:dyDescent="0.15"/>
    <row r="177" ht="14" customHeight="1" x14ac:dyDescent="0.15"/>
    <row r="178" ht="14" customHeight="1" x14ac:dyDescent="0.15"/>
    <row r="179" ht="14" customHeight="1" x14ac:dyDescent="0.15"/>
    <row r="180" ht="14" customHeight="1" x14ac:dyDescent="0.15"/>
    <row r="181" ht="14" customHeight="1" x14ac:dyDescent="0.15"/>
    <row r="182" ht="14" customHeight="1" x14ac:dyDescent="0.15"/>
    <row r="183" ht="14" customHeight="1" x14ac:dyDescent="0.15"/>
    <row r="184" ht="14" customHeight="1" x14ac:dyDescent="0.15"/>
    <row r="185" ht="14" customHeight="1" x14ac:dyDescent="0.15"/>
    <row r="186" ht="14" customHeight="1" x14ac:dyDescent="0.15"/>
    <row r="187" ht="14" customHeight="1" x14ac:dyDescent="0.15"/>
    <row r="188" ht="14" customHeight="1" x14ac:dyDescent="0.15"/>
    <row r="189" ht="14" customHeight="1" x14ac:dyDescent="0.15"/>
    <row r="190" ht="14" customHeight="1" x14ac:dyDescent="0.15"/>
    <row r="191" ht="14" customHeight="1" x14ac:dyDescent="0.15"/>
    <row r="192" ht="14" customHeight="1" x14ac:dyDescent="0.15"/>
    <row r="193" ht="14" customHeight="1" x14ac:dyDescent="0.15"/>
    <row r="194" ht="14" customHeight="1" x14ac:dyDescent="0.15"/>
    <row r="195" ht="14" customHeight="1" x14ac:dyDescent="0.15"/>
    <row r="196" ht="14" customHeight="1" x14ac:dyDescent="0.15"/>
    <row r="197" ht="14" customHeight="1" x14ac:dyDescent="0.15"/>
    <row r="198" ht="14" customHeight="1" x14ac:dyDescent="0.15"/>
    <row r="199" ht="14" customHeight="1" x14ac:dyDescent="0.15"/>
    <row r="200" ht="14" customHeight="1" x14ac:dyDescent="0.15"/>
    <row r="201" ht="14" customHeight="1" x14ac:dyDescent="0.15"/>
    <row r="202" ht="14" customHeight="1" x14ac:dyDescent="0.15"/>
    <row r="203" ht="14" customHeight="1" x14ac:dyDescent="0.15"/>
    <row r="204" ht="14" customHeight="1" x14ac:dyDescent="0.15"/>
    <row r="205" ht="14" customHeight="1" x14ac:dyDescent="0.15"/>
    <row r="206" ht="14" customHeight="1" x14ac:dyDescent="0.15"/>
    <row r="207" ht="14" customHeight="1" x14ac:dyDescent="0.15"/>
    <row r="208" ht="14" customHeight="1" x14ac:dyDescent="0.15"/>
    <row r="209" ht="14" customHeight="1" x14ac:dyDescent="0.15"/>
    <row r="210" ht="14" customHeight="1" x14ac:dyDescent="0.15"/>
    <row r="211" ht="14" customHeight="1" x14ac:dyDescent="0.15"/>
    <row r="212" ht="14" customHeight="1" x14ac:dyDescent="0.15"/>
    <row r="213" ht="14" customHeight="1" x14ac:dyDescent="0.15"/>
    <row r="214" ht="14" customHeight="1" x14ac:dyDescent="0.15"/>
    <row r="215" ht="14" customHeight="1" x14ac:dyDescent="0.15"/>
    <row r="216" ht="14" customHeight="1" x14ac:dyDescent="0.15"/>
    <row r="217" ht="14" customHeight="1" x14ac:dyDescent="0.15"/>
    <row r="218" ht="14" customHeight="1" x14ac:dyDescent="0.15"/>
    <row r="219" ht="14" customHeight="1" x14ac:dyDescent="0.15"/>
    <row r="220" ht="14" customHeight="1" x14ac:dyDescent="0.15"/>
    <row r="221" ht="14" customHeight="1" x14ac:dyDescent="0.15"/>
    <row r="222" ht="14" customHeight="1" x14ac:dyDescent="0.15"/>
    <row r="223" ht="14" customHeight="1" x14ac:dyDescent="0.15"/>
    <row r="224" ht="14" customHeight="1" x14ac:dyDescent="0.15"/>
    <row r="225" ht="14" customHeight="1" x14ac:dyDescent="0.15"/>
    <row r="226" ht="14" customHeight="1" x14ac:dyDescent="0.15"/>
    <row r="227" ht="14" customHeight="1" x14ac:dyDescent="0.15"/>
    <row r="228" ht="14" customHeight="1" x14ac:dyDescent="0.15"/>
    <row r="229" ht="14" customHeight="1" x14ac:dyDescent="0.15"/>
    <row r="230" ht="14" customHeight="1" x14ac:dyDescent="0.15"/>
    <row r="231" ht="14" customHeight="1" x14ac:dyDescent="0.15"/>
    <row r="232" ht="14" customHeight="1" x14ac:dyDescent="0.15"/>
    <row r="233" ht="14" customHeight="1" x14ac:dyDescent="0.15"/>
    <row r="234" ht="14" customHeight="1" x14ac:dyDescent="0.15"/>
    <row r="235" ht="14" customHeight="1" x14ac:dyDescent="0.15"/>
    <row r="236" ht="14" customHeight="1" x14ac:dyDescent="0.15"/>
    <row r="237" ht="14" customHeight="1" x14ac:dyDescent="0.15"/>
    <row r="238" ht="14" customHeight="1" x14ac:dyDescent="0.15"/>
    <row r="239" ht="14" customHeight="1" x14ac:dyDescent="0.15"/>
    <row r="240" ht="14" customHeight="1" x14ac:dyDescent="0.15"/>
    <row r="241" ht="14" customHeight="1" x14ac:dyDescent="0.15"/>
    <row r="242" ht="14" customHeight="1" x14ac:dyDescent="0.15"/>
    <row r="243" ht="14" customHeight="1" x14ac:dyDescent="0.15"/>
    <row r="244" ht="14" customHeight="1" x14ac:dyDescent="0.15"/>
    <row r="245" ht="14" customHeight="1" x14ac:dyDescent="0.15"/>
    <row r="246" ht="14" customHeight="1" x14ac:dyDescent="0.15"/>
    <row r="247" ht="14" customHeight="1" x14ac:dyDescent="0.15"/>
    <row r="248" ht="14" customHeight="1" x14ac:dyDescent="0.15"/>
    <row r="249" ht="14" customHeight="1" x14ac:dyDescent="0.15"/>
    <row r="250" ht="14" customHeight="1" x14ac:dyDescent="0.15"/>
    <row r="251" ht="14" customHeight="1" x14ac:dyDescent="0.15"/>
    <row r="252" ht="14" customHeight="1" x14ac:dyDescent="0.15"/>
    <row r="253" ht="14" customHeight="1" x14ac:dyDescent="0.15"/>
    <row r="254" ht="14" customHeight="1" x14ac:dyDescent="0.15"/>
    <row r="255" ht="14" customHeight="1" x14ac:dyDescent="0.15"/>
    <row r="256" ht="14" customHeight="1" x14ac:dyDescent="0.15"/>
    <row r="257" ht="14" customHeight="1" x14ac:dyDescent="0.15"/>
    <row r="258" ht="14" customHeight="1" x14ac:dyDescent="0.15"/>
    <row r="259" ht="14" customHeight="1" x14ac:dyDescent="0.15"/>
    <row r="260" ht="14" customHeight="1" x14ac:dyDescent="0.15"/>
    <row r="261" ht="14" customHeight="1" x14ac:dyDescent="0.15"/>
    <row r="262" ht="14" customHeight="1" x14ac:dyDescent="0.15"/>
    <row r="263" ht="14" customHeight="1" x14ac:dyDescent="0.15"/>
    <row r="264" ht="14" customHeight="1" x14ac:dyDescent="0.15"/>
    <row r="265" ht="14" customHeight="1" x14ac:dyDescent="0.15"/>
    <row r="266" ht="14" customHeight="1" x14ac:dyDescent="0.15"/>
    <row r="267" ht="14" customHeight="1" x14ac:dyDescent="0.15"/>
    <row r="268" ht="14" customHeight="1" x14ac:dyDescent="0.15"/>
    <row r="269" ht="14" customHeight="1" x14ac:dyDescent="0.15"/>
    <row r="270" ht="14" customHeight="1" x14ac:dyDescent="0.15"/>
    <row r="271" ht="14" customHeight="1" x14ac:dyDescent="0.15"/>
    <row r="272" ht="14" customHeight="1" x14ac:dyDescent="0.15"/>
    <row r="273" ht="14" customHeight="1" x14ac:dyDescent="0.15"/>
    <row r="274" ht="14" customHeight="1" x14ac:dyDescent="0.15"/>
    <row r="275" ht="14" customHeight="1" x14ac:dyDescent="0.15"/>
    <row r="276" ht="14" customHeight="1" x14ac:dyDescent="0.15"/>
    <row r="277" ht="14" customHeight="1" x14ac:dyDescent="0.15"/>
    <row r="278" ht="14" customHeight="1" x14ac:dyDescent="0.15"/>
    <row r="279" ht="14" customHeight="1" x14ac:dyDescent="0.15"/>
    <row r="280" ht="14" customHeight="1" x14ac:dyDescent="0.15"/>
    <row r="281" ht="14" customHeight="1" x14ac:dyDescent="0.15"/>
    <row r="282" ht="14" customHeight="1" x14ac:dyDescent="0.15"/>
    <row r="283" ht="14" customHeight="1" x14ac:dyDescent="0.15"/>
    <row r="284" ht="14" customHeight="1" x14ac:dyDescent="0.15"/>
    <row r="285" ht="14" customHeight="1" x14ac:dyDescent="0.15"/>
    <row r="286" ht="14" customHeight="1" x14ac:dyDescent="0.15"/>
    <row r="287" ht="14" customHeight="1" x14ac:dyDescent="0.15"/>
    <row r="288" ht="14" customHeight="1" x14ac:dyDescent="0.15"/>
    <row r="289" ht="14" customHeight="1" x14ac:dyDescent="0.15"/>
    <row r="290" ht="14" customHeight="1" x14ac:dyDescent="0.15"/>
    <row r="291" ht="14" customHeight="1" x14ac:dyDescent="0.15"/>
    <row r="292" ht="14" customHeight="1" x14ac:dyDescent="0.15"/>
    <row r="293" ht="14" customHeight="1" x14ac:dyDescent="0.15"/>
    <row r="294" ht="14" customHeight="1" x14ac:dyDescent="0.15"/>
    <row r="295" ht="14" customHeight="1" x14ac:dyDescent="0.15"/>
    <row r="296" ht="14" customHeight="1" x14ac:dyDescent="0.15"/>
    <row r="297" ht="14" customHeight="1" x14ac:dyDescent="0.15"/>
    <row r="298" ht="14" customHeight="1" x14ac:dyDescent="0.15"/>
    <row r="299" ht="14" customHeight="1" x14ac:dyDescent="0.15"/>
    <row r="300" ht="14" customHeight="1" x14ac:dyDescent="0.15"/>
    <row r="301" ht="14" customHeight="1" x14ac:dyDescent="0.15"/>
    <row r="302" ht="14" customHeight="1" x14ac:dyDescent="0.15"/>
    <row r="303" ht="14" customHeight="1" x14ac:dyDescent="0.15"/>
    <row r="304" ht="14" customHeight="1" x14ac:dyDescent="0.15"/>
    <row r="305" ht="14" customHeight="1" x14ac:dyDescent="0.15"/>
    <row r="306" ht="14" customHeight="1" x14ac:dyDescent="0.15"/>
    <row r="307" ht="14" customHeight="1" x14ac:dyDescent="0.15"/>
    <row r="308" ht="14" customHeight="1" x14ac:dyDescent="0.15"/>
    <row r="309" ht="14" customHeight="1" x14ac:dyDescent="0.15"/>
    <row r="310" ht="14" customHeight="1" x14ac:dyDescent="0.15"/>
    <row r="311" ht="14" customHeight="1" x14ac:dyDescent="0.15"/>
    <row r="312" ht="14" customHeight="1" x14ac:dyDescent="0.15"/>
    <row r="313" ht="14" customHeight="1" x14ac:dyDescent="0.15"/>
    <row r="314" ht="14" customHeight="1" x14ac:dyDescent="0.15"/>
    <row r="315" ht="14" customHeight="1" x14ac:dyDescent="0.15"/>
    <row r="316" ht="14" customHeight="1" x14ac:dyDescent="0.15"/>
    <row r="317" ht="14" customHeight="1" x14ac:dyDescent="0.15"/>
    <row r="318" ht="14" customHeight="1" x14ac:dyDescent="0.15"/>
    <row r="319" ht="14" customHeight="1" x14ac:dyDescent="0.15"/>
    <row r="320" ht="14" customHeight="1" x14ac:dyDescent="0.15"/>
    <row r="321" ht="14" customHeight="1" x14ac:dyDescent="0.15"/>
    <row r="322" ht="14" customHeight="1" x14ac:dyDescent="0.15"/>
    <row r="323" ht="14" customHeight="1" x14ac:dyDescent="0.15"/>
    <row r="324" ht="14" customHeight="1" x14ac:dyDescent="0.15"/>
    <row r="325" ht="14" customHeight="1" x14ac:dyDescent="0.15"/>
    <row r="326" ht="14" customHeight="1" x14ac:dyDescent="0.15"/>
    <row r="327" ht="14" customHeight="1" x14ac:dyDescent="0.15"/>
    <row r="328" ht="14" customHeight="1" x14ac:dyDescent="0.15"/>
    <row r="329" ht="14" customHeight="1" x14ac:dyDescent="0.15"/>
    <row r="330" ht="14" customHeight="1" x14ac:dyDescent="0.15"/>
    <row r="331" ht="14" customHeight="1" x14ac:dyDescent="0.15"/>
    <row r="332" ht="14" customHeight="1" x14ac:dyDescent="0.15"/>
    <row r="333" ht="14" customHeight="1" x14ac:dyDescent="0.15"/>
    <row r="334" ht="14" customHeight="1" x14ac:dyDescent="0.15"/>
    <row r="335" ht="14" customHeight="1" x14ac:dyDescent="0.15"/>
    <row r="336" ht="14" customHeight="1" x14ac:dyDescent="0.15"/>
    <row r="337" ht="14" customHeight="1" x14ac:dyDescent="0.15"/>
    <row r="338" ht="14" customHeight="1" x14ac:dyDescent="0.15"/>
    <row r="339" ht="14" customHeight="1" x14ac:dyDescent="0.15"/>
    <row r="340" ht="14" customHeight="1" x14ac:dyDescent="0.15"/>
    <row r="341" ht="14" customHeight="1" x14ac:dyDescent="0.15"/>
    <row r="342" ht="14" customHeight="1" x14ac:dyDescent="0.15"/>
    <row r="343" ht="14" customHeight="1" x14ac:dyDescent="0.15"/>
    <row r="344" ht="14" customHeight="1" x14ac:dyDescent="0.15"/>
    <row r="345" ht="14" customHeight="1" x14ac:dyDescent="0.15"/>
    <row r="346" ht="14" customHeight="1" x14ac:dyDescent="0.15"/>
    <row r="347" ht="14" customHeight="1" x14ac:dyDescent="0.15"/>
    <row r="348" ht="14" customHeight="1" x14ac:dyDescent="0.15"/>
    <row r="349" ht="14" customHeight="1" x14ac:dyDescent="0.15"/>
    <row r="350" ht="14" customHeight="1" x14ac:dyDescent="0.15"/>
    <row r="351" ht="14" customHeight="1" x14ac:dyDescent="0.15"/>
    <row r="352" ht="14" customHeight="1" x14ac:dyDescent="0.15"/>
    <row r="353" ht="14" customHeight="1" x14ac:dyDescent="0.15"/>
    <row r="354" ht="14" customHeight="1" x14ac:dyDescent="0.15"/>
    <row r="355" ht="14" customHeight="1" x14ac:dyDescent="0.15"/>
    <row r="356" ht="14" customHeight="1" x14ac:dyDescent="0.15"/>
    <row r="357" ht="14" customHeight="1" x14ac:dyDescent="0.15"/>
    <row r="358" ht="14" customHeight="1" x14ac:dyDescent="0.15"/>
    <row r="359" ht="14" customHeight="1" x14ac:dyDescent="0.15"/>
    <row r="360" ht="14" customHeight="1" x14ac:dyDescent="0.15"/>
    <row r="361" ht="14" customHeight="1" x14ac:dyDescent="0.15"/>
    <row r="362" ht="14" customHeight="1" x14ac:dyDescent="0.15"/>
    <row r="363" ht="14" customHeight="1" x14ac:dyDescent="0.15"/>
    <row r="364" ht="14" customHeight="1" x14ac:dyDescent="0.15"/>
    <row r="365" ht="14" customHeight="1" x14ac:dyDescent="0.15"/>
    <row r="366" ht="14" customHeight="1" x14ac:dyDescent="0.15"/>
    <row r="367" ht="14" customHeight="1" x14ac:dyDescent="0.15"/>
    <row r="368" ht="14" customHeight="1" x14ac:dyDescent="0.15"/>
    <row r="369" ht="14" customHeight="1" x14ac:dyDescent="0.15"/>
    <row r="370" ht="14" customHeight="1" x14ac:dyDescent="0.15"/>
    <row r="371" ht="14" customHeight="1" x14ac:dyDescent="0.15"/>
    <row r="372" ht="14" customHeight="1" x14ac:dyDescent="0.15"/>
    <row r="373" ht="14" customHeight="1" x14ac:dyDescent="0.15"/>
    <row r="374" ht="14" customHeight="1" x14ac:dyDescent="0.15"/>
    <row r="375" ht="14" customHeight="1" x14ac:dyDescent="0.15"/>
    <row r="376" ht="14" customHeight="1" x14ac:dyDescent="0.15"/>
    <row r="377" ht="14" customHeight="1" x14ac:dyDescent="0.15"/>
    <row r="378" ht="14" customHeight="1" x14ac:dyDescent="0.15"/>
    <row r="379" ht="14" customHeight="1" x14ac:dyDescent="0.15"/>
    <row r="380" ht="14" customHeight="1" x14ac:dyDescent="0.15"/>
    <row r="381" ht="14" customHeight="1" x14ac:dyDescent="0.15"/>
    <row r="382" ht="14" customHeight="1" x14ac:dyDescent="0.15"/>
    <row r="383" ht="14" customHeight="1" x14ac:dyDescent="0.15"/>
    <row r="384" ht="14" customHeight="1" x14ac:dyDescent="0.15"/>
    <row r="385" ht="14" customHeight="1" x14ac:dyDescent="0.15"/>
    <row r="386" ht="14" customHeight="1" x14ac:dyDescent="0.15"/>
    <row r="387" ht="14" customHeight="1" x14ac:dyDescent="0.15"/>
    <row r="388" ht="14" customHeight="1" x14ac:dyDescent="0.15"/>
    <row r="389" ht="14" customHeight="1" x14ac:dyDescent="0.15"/>
    <row r="390" ht="14" customHeight="1" x14ac:dyDescent="0.15"/>
    <row r="391" ht="14" customHeight="1" x14ac:dyDescent="0.15"/>
    <row r="392" ht="14" customHeight="1" x14ac:dyDescent="0.15"/>
    <row r="393" ht="14" customHeight="1" x14ac:dyDescent="0.15"/>
    <row r="394" ht="14" customHeight="1" x14ac:dyDescent="0.15"/>
    <row r="395" ht="14" customHeight="1" x14ac:dyDescent="0.15"/>
    <row r="396" ht="14" customHeight="1" x14ac:dyDescent="0.15"/>
    <row r="397" ht="14" customHeight="1" x14ac:dyDescent="0.15"/>
    <row r="398" ht="14" customHeight="1" x14ac:dyDescent="0.15"/>
    <row r="399" ht="14" customHeight="1" x14ac:dyDescent="0.15"/>
    <row r="400" ht="14" customHeight="1" x14ac:dyDescent="0.15"/>
    <row r="401" ht="14" customHeight="1" x14ac:dyDescent="0.15"/>
    <row r="402" ht="14" customHeight="1" x14ac:dyDescent="0.15"/>
    <row r="403" ht="14" customHeight="1" x14ac:dyDescent="0.15"/>
    <row r="404" ht="14" customHeight="1" x14ac:dyDescent="0.15"/>
    <row r="405" ht="14" customHeight="1" x14ac:dyDescent="0.15"/>
    <row r="406" ht="14" customHeight="1" x14ac:dyDescent="0.15"/>
    <row r="407" ht="14" customHeight="1" x14ac:dyDescent="0.15"/>
    <row r="408" ht="14" customHeight="1" x14ac:dyDescent="0.15"/>
    <row r="409" ht="14" customHeight="1" x14ac:dyDescent="0.15"/>
    <row r="410" ht="14" customHeight="1" x14ac:dyDescent="0.15"/>
    <row r="411" ht="14" customHeight="1" x14ac:dyDescent="0.15"/>
    <row r="412" ht="14" customHeight="1" x14ac:dyDescent="0.15"/>
    <row r="413" ht="14" customHeight="1" x14ac:dyDescent="0.15"/>
    <row r="414" ht="14" customHeight="1" x14ac:dyDescent="0.15"/>
    <row r="415" ht="14" customHeight="1" x14ac:dyDescent="0.15"/>
    <row r="416" ht="14" customHeight="1" x14ac:dyDescent="0.15"/>
    <row r="417" ht="14" customHeight="1" x14ac:dyDescent="0.15"/>
    <row r="418" ht="14" customHeight="1" x14ac:dyDescent="0.15"/>
    <row r="419" ht="14" customHeight="1" x14ac:dyDescent="0.15"/>
    <row r="420" ht="14" customHeight="1" x14ac:dyDescent="0.15"/>
    <row r="421" ht="14" customHeight="1" x14ac:dyDescent="0.15"/>
    <row r="422" ht="14" customHeight="1" x14ac:dyDescent="0.15"/>
    <row r="423" ht="14" customHeight="1" x14ac:dyDescent="0.15"/>
    <row r="424" ht="14" customHeight="1" x14ac:dyDescent="0.15"/>
    <row r="425" ht="14" customHeight="1" x14ac:dyDescent="0.15"/>
    <row r="426" ht="14" customHeight="1" x14ac:dyDescent="0.15"/>
    <row r="427" ht="14" customHeight="1" x14ac:dyDescent="0.15"/>
    <row r="428" ht="14" customHeight="1" x14ac:dyDescent="0.15"/>
    <row r="429" ht="14" customHeight="1" x14ac:dyDescent="0.15"/>
    <row r="430" ht="14" customHeight="1" x14ac:dyDescent="0.15"/>
    <row r="431" ht="14" customHeight="1" x14ac:dyDescent="0.15"/>
    <row r="432" ht="14" customHeight="1" x14ac:dyDescent="0.15"/>
    <row r="433" ht="14" customHeight="1" x14ac:dyDescent="0.15"/>
    <row r="434" ht="14" customHeight="1" x14ac:dyDescent="0.15"/>
    <row r="435" ht="14" customHeight="1" x14ac:dyDescent="0.15"/>
    <row r="436" ht="14" customHeight="1" x14ac:dyDescent="0.15"/>
    <row r="437" ht="14" customHeight="1" x14ac:dyDescent="0.15"/>
    <row r="438" ht="14" customHeight="1" x14ac:dyDescent="0.15"/>
    <row r="439" ht="14" customHeight="1" x14ac:dyDescent="0.15"/>
    <row r="440" ht="14" customHeight="1" x14ac:dyDescent="0.15"/>
    <row r="441" ht="14" customHeight="1" x14ac:dyDescent="0.15"/>
    <row r="442" ht="14" customHeight="1" x14ac:dyDescent="0.15"/>
    <row r="443" ht="14" customHeight="1" x14ac:dyDescent="0.15"/>
    <row r="444" ht="14" customHeight="1" x14ac:dyDescent="0.15"/>
    <row r="445" ht="14" customHeight="1" x14ac:dyDescent="0.15"/>
    <row r="446" ht="14" customHeight="1" x14ac:dyDescent="0.15"/>
    <row r="447" ht="14" customHeight="1" x14ac:dyDescent="0.15"/>
    <row r="448" ht="14" customHeight="1" x14ac:dyDescent="0.15"/>
    <row r="449" ht="14" customHeight="1" x14ac:dyDescent="0.15"/>
    <row r="450" ht="14" customHeight="1" x14ac:dyDescent="0.15"/>
    <row r="451" ht="14" customHeight="1" x14ac:dyDescent="0.15"/>
    <row r="452" ht="14" customHeight="1" x14ac:dyDescent="0.15"/>
    <row r="453" ht="14" customHeight="1" x14ac:dyDescent="0.15"/>
    <row r="454" ht="14" customHeight="1" x14ac:dyDescent="0.15"/>
    <row r="455" ht="14" customHeight="1" x14ac:dyDescent="0.15"/>
    <row r="456" ht="14" customHeight="1" x14ac:dyDescent="0.15"/>
    <row r="457" ht="14" customHeight="1" x14ac:dyDescent="0.15"/>
    <row r="458" ht="14" customHeight="1" x14ac:dyDescent="0.15"/>
    <row r="459" ht="14" customHeight="1" x14ac:dyDescent="0.15"/>
    <row r="460" ht="14" customHeight="1" x14ac:dyDescent="0.15"/>
    <row r="461" ht="14" customHeight="1" x14ac:dyDescent="0.15"/>
    <row r="462" ht="14" customHeight="1" x14ac:dyDescent="0.15"/>
    <row r="463" ht="14" customHeight="1" x14ac:dyDescent="0.15"/>
    <row r="464" ht="14" customHeight="1" x14ac:dyDescent="0.15"/>
    <row r="465" ht="14" customHeight="1" x14ac:dyDescent="0.15"/>
    <row r="466" ht="14" customHeight="1" x14ac:dyDescent="0.15"/>
    <row r="467" ht="14" customHeight="1" x14ac:dyDescent="0.15"/>
    <row r="468" ht="14" customHeight="1" x14ac:dyDescent="0.15"/>
    <row r="469" ht="14" customHeight="1" x14ac:dyDescent="0.15"/>
    <row r="470" ht="14" customHeight="1" x14ac:dyDescent="0.15"/>
    <row r="471" ht="14" customHeight="1" x14ac:dyDescent="0.15"/>
    <row r="472" ht="14" customHeight="1" x14ac:dyDescent="0.15"/>
    <row r="473" ht="14" customHeight="1" x14ac:dyDescent="0.15"/>
    <row r="474" ht="14" customHeight="1" x14ac:dyDescent="0.15"/>
    <row r="475" ht="14" customHeight="1" x14ac:dyDescent="0.15"/>
    <row r="476" ht="14" customHeight="1" x14ac:dyDescent="0.15"/>
    <row r="477" ht="14" customHeight="1" x14ac:dyDescent="0.15"/>
    <row r="478" ht="14" customHeight="1" x14ac:dyDescent="0.15"/>
    <row r="479" ht="14" customHeight="1" x14ac:dyDescent="0.15"/>
    <row r="480" ht="14" customHeight="1" x14ac:dyDescent="0.15"/>
    <row r="481" ht="14" customHeight="1" x14ac:dyDescent="0.15"/>
    <row r="482" ht="14" customHeight="1" x14ac:dyDescent="0.15"/>
    <row r="483" ht="14" customHeight="1" x14ac:dyDescent="0.15"/>
    <row r="484" ht="14" customHeight="1" x14ac:dyDescent="0.15"/>
    <row r="485" ht="14" customHeight="1" x14ac:dyDescent="0.15"/>
    <row r="486" ht="14" customHeight="1" x14ac:dyDescent="0.15"/>
    <row r="487" ht="14" customHeight="1" x14ac:dyDescent="0.15"/>
    <row r="488" ht="14" customHeight="1" x14ac:dyDescent="0.15"/>
    <row r="489" ht="14" customHeight="1" x14ac:dyDescent="0.15"/>
    <row r="490" ht="14" customHeight="1" x14ac:dyDescent="0.15"/>
    <row r="491" ht="14" customHeight="1" x14ac:dyDescent="0.15"/>
    <row r="492" ht="14" customHeight="1" x14ac:dyDescent="0.15"/>
    <row r="493" ht="14" customHeight="1" x14ac:dyDescent="0.15"/>
    <row r="494" ht="14" customHeight="1" x14ac:dyDescent="0.15"/>
    <row r="495" ht="14" customHeight="1" x14ac:dyDescent="0.15"/>
    <row r="496" ht="14" customHeight="1" x14ac:dyDescent="0.15"/>
    <row r="497" ht="14" customHeight="1" x14ac:dyDescent="0.15"/>
    <row r="498" ht="14" customHeight="1" x14ac:dyDescent="0.15"/>
    <row r="499" ht="14" customHeight="1" x14ac:dyDescent="0.15"/>
    <row r="500" ht="14" customHeight="1" x14ac:dyDescent="0.15"/>
    <row r="501" ht="14" customHeight="1" x14ac:dyDescent="0.15"/>
    <row r="502" ht="14" customHeight="1" x14ac:dyDescent="0.15"/>
    <row r="503" ht="14" customHeight="1" x14ac:dyDescent="0.15"/>
    <row r="504" ht="14" customHeight="1" x14ac:dyDescent="0.15"/>
    <row r="505" ht="14" customHeight="1" x14ac:dyDescent="0.15"/>
    <row r="506" ht="14" customHeight="1" x14ac:dyDescent="0.15"/>
    <row r="507" ht="14" customHeight="1" x14ac:dyDescent="0.15"/>
    <row r="508" ht="14" customHeight="1" x14ac:dyDescent="0.15"/>
    <row r="509" ht="14" customHeight="1" x14ac:dyDescent="0.15"/>
    <row r="510" ht="14" customHeight="1" x14ac:dyDescent="0.15"/>
    <row r="511" ht="14" customHeight="1" x14ac:dyDescent="0.15"/>
    <row r="512" ht="14" customHeight="1" x14ac:dyDescent="0.15"/>
    <row r="513" ht="14" customHeight="1" x14ac:dyDescent="0.15"/>
    <row r="514" ht="14" customHeight="1" x14ac:dyDescent="0.15"/>
    <row r="515" ht="14" customHeight="1" x14ac:dyDescent="0.15"/>
    <row r="516" ht="14" customHeight="1" x14ac:dyDescent="0.15"/>
    <row r="517" ht="14" customHeight="1" x14ac:dyDescent="0.15"/>
    <row r="518" ht="14" customHeight="1" x14ac:dyDescent="0.15"/>
    <row r="519" ht="14" customHeight="1" x14ac:dyDescent="0.15"/>
    <row r="520" ht="14" customHeight="1" x14ac:dyDescent="0.15"/>
    <row r="521" ht="14" customHeight="1" x14ac:dyDescent="0.15"/>
    <row r="522" ht="14" customHeight="1" x14ac:dyDescent="0.15"/>
    <row r="523" ht="14" customHeight="1" x14ac:dyDescent="0.15"/>
    <row r="524" ht="14" customHeight="1" x14ac:dyDescent="0.15"/>
    <row r="525" ht="14" customHeight="1" x14ac:dyDescent="0.15"/>
    <row r="526" ht="14" customHeight="1" x14ac:dyDescent="0.15"/>
    <row r="527" ht="14" customHeight="1" x14ac:dyDescent="0.15"/>
    <row r="528" ht="14" customHeight="1" x14ac:dyDescent="0.15"/>
    <row r="529" ht="14" customHeight="1" x14ac:dyDescent="0.15"/>
    <row r="530" ht="14" customHeight="1" x14ac:dyDescent="0.15"/>
    <row r="531" ht="14" customHeight="1" x14ac:dyDescent="0.15"/>
    <row r="532" ht="14" customHeight="1" x14ac:dyDescent="0.15"/>
    <row r="533" ht="14" customHeight="1" x14ac:dyDescent="0.15"/>
    <row r="534" ht="14" customHeight="1" x14ac:dyDescent="0.15"/>
    <row r="535" ht="14" customHeight="1" x14ac:dyDescent="0.15"/>
    <row r="536" ht="14" customHeight="1" x14ac:dyDescent="0.15"/>
    <row r="537" ht="14" customHeight="1" x14ac:dyDescent="0.15"/>
    <row r="538" ht="14" customHeight="1" x14ac:dyDescent="0.15"/>
    <row r="539" ht="14" customHeight="1" x14ac:dyDescent="0.15"/>
    <row r="540" ht="14" customHeight="1" x14ac:dyDescent="0.15"/>
    <row r="541" ht="14" customHeight="1" x14ac:dyDescent="0.15"/>
    <row r="542" ht="14" customHeight="1" x14ac:dyDescent="0.15"/>
    <row r="543" ht="14" customHeight="1" x14ac:dyDescent="0.15"/>
    <row r="544" ht="14" customHeight="1" x14ac:dyDescent="0.15"/>
    <row r="545" ht="14" customHeight="1" x14ac:dyDescent="0.15"/>
    <row r="546" ht="14" customHeight="1" x14ac:dyDescent="0.15"/>
    <row r="547" ht="14" customHeight="1" x14ac:dyDescent="0.15"/>
    <row r="548" ht="14" customHeight="1" x14ac:dyDescent="0.15"/>
    <row r="549" ht="14" customHeight="1" x14ac:dyDescent="0.15"/>
    <row r="550" ht="14" customHeight="1" x14ac:dyDescent="0.15"/>
    <row r="551" ht="14" customHeight="1" x14ac:dyDescent="0.15"/>
    <row r="552" ht="14" customHeight="1" x14ac:dyDescent="0.15"/>
    <row r="553" ht="14" customHeight="1" x14ac:dyDescent="0.15"/>
    <row r="554" ht="14" customHeight="1" x14ac:dyDescent="0.15"/>
    <row r="555" ht="14" customHeight="1" x14ac:dyDescent="0.15"/>
    <row r="556" ht="14" customHeight="1" x14ac:dyDescent="0.15"/>
    <row r="557" ht="14" customHeight="1" x14ac:dyDescent="0.15"/>
    <row r="558" ht="14" customHeight="1" x14ac:dyDescent="0.15"/>
    <row r="559" ht="14" customHeight="1" x14ac:dyDescent="0.15"/>
    <row r="560" ht="14" customHeight="1" x14ac:dyDescent="0.15"/>
    <row r="561" ht="14" customHeight="1" x14ac:dyDescent="0.15"/>
    <row r="562" ht="14" customHeight="1" x14ac:dyDescent="0.15"/>
    <row r="563" ht="14" customHeight="1" x14ac:dyDescent="0.15"/>
    <row r="564" ht="14" customHeight="1" x14ac:dyDescent="0.15"/>
    <row r="565" ht="14" customHeight="1" x14ac:dyDescent="0.15"/>
    <row r="566" ht="14" customHeight="1" x14ac:dyDescent="0.15"/>
    <row r="567" ht="14" customHeight="1" x14ac:dyDescent="0.15"/>
    <row r="568" ht="14" customHeight="1" x14ac:dyDescent="0.15"/>
    <row r="569" ht="14" customHeight="1" x14ac:dyDescent="0.15"/>
    <row r="570" ht="14" customHeight="1" x14ac:dyDescent="0.15"/>
    <row r="571" ht="14" customHeight="1" x14ac:dyDescent="0.15"/>
    <row r="572" ht="14" customHeight="1" x14ac:dyDescent="0.15"/>
    <row r="573" ht="14" customHeight="1" x14ac:dyDescent="0.15"/>
    <row r="574" ht="14" customHeight="1" x14ac:dyDescent="0.15"/>
    <row r="575" ht="14" customHeight="1" x14ac:dyDescent="0.15"/>
    <row r="576" ht="14" customHeight="1" x14ac:dyDescent="0.15"/>
    <row r="577" ht="14" customHeight="1" x14ac:dyDescent="0.15"/>
    <row r="578" ht="14" customHeight="1" x14ac:dyDescent="0.15"/>
    <row r="579" ht="14" customHeight="1" x14ac:dyDescent="0.15"/>
    <row r="580" ht="14" customHeight="1" x14ac:dyDescent="0.15"/>
    <row r="581" ht="14" customHeight="1" x14ac:dyDescent="0.15"/>
    <row r="582" ht="14" customHeight="1" x14ac:dyDescent="0.15"/>
    <row r="583" ht="14" customHeight="1" x14ac:dyDescent="0.15"/>
    <row r="584" ht="14" customHeight="1" x14ac:dyDescent="0.15"/>
    <row r="585" ht="14" customHeight="1" x14ac:dyDescent="0.15"/>
    <row r="586" ht="14" customHeight="1" x14ac:dyDescent="0.15"/>
    <row r="587" ht="14" customHeight="1" x14ac:dyDescent="0.15"/>
    <row r="588" ht="14" customHeight="1" x14ac:dyDescent="0.15"/>
    <row r="589" ht="14" customHeight="1" x14ac:dyDescent="0.15"/>
    <row r="590" ht="14" customHeight="1" x14ac:dyDescent="0.15"/>
    <row r="591" ht="14" customHeight="1" x14ac:dyDescent="0.15"/>
    <row r="592" ht="14" customHeight="1" x14ac:dyDescent="0.15"/>
    <row r="593" ht="14" customHeight="1" x14ac:dyDescent="0.15"/>
    <row r="594" ht="14" customHeight="1" x14ac:dyDescent="0.15"/>
    <row r="595" ht="14" customHeight="1" x14ac:dyDescent="0.15"/>
    <row r="596" ht="14" customHeight="1" x14ac:dyDescent="0.15"/>
    <row r="597" ht="14" customHeight="1" x14ac:dyDescent="0.15"/>
    <row r="598" ht="14" customHeight="1" x14ac:dyDescent="0.15"/>
    <row r="599" ht="14" customHeight="1" x14ac:dyDescent="0.15"/>
    <row r="600" ht="14" customHeight="1" x14ac:dyDescent="0.15"/>
    <row r="601" ht="14" customHeight="1" x14ac:dyDescent="0.15"/>
    <row r="602" ht="14" customHeight="1" x14ac:dyDescent="0.15"/>
    <row r="603" ht="14" customHeight="1" x14ac:dyDescent="0.15"/>
    <row r="604" ht="14" customHeight="1" x14ac:dyDescent="0.15"/>
    <row r="605" ht="14" customHeight="1" x14ac:dyDescent="0.15"/>
    <row r="606" ht="14" customHeight="1" x14ac:dyDescent="0.15"/>
    <row r="607" ht="14" customHeight="1" x14ac:dyDescent="0.15"/>
    <row r="608" ht="14" customHeight="1" x14ac:dyDescent="0.15"/>
    <row r="609" ht="14" customHeight="1" x14ac:dyDescent="0.15"/>
    <row r="610" ht="14" customHeight="1" x14ac:dyDescent="0.15"/>
    <row r="611" ht="14" customHeight="1" x14ac:dyDescent="0.15"/>
    <row r="612" ht="14" customHeight="1" x14ac:dyDescent="0.15"/>
    <row r="613" ht="14" customHeight="1" x14ac:dyDescent="0.15"/>
    <row r="614" ht="14" customHeight="1" x14ac:dyDescent="0.15"/>
    <row r="615" ht="14" customHeight="1" x14ac:dyDescent="0.15"/>
    <row r="616" ht="14" customHeight="1" x14ac:dyDescent="0.15"/>
    <row r="617" ht="14" customHeight="1" x14ac:dyDescent="0.15"/>
    <row r="618" ht="14" customHeight="1" x14ac:dyDescent="0.15"/>
    <row r="619" ht="14" customHeight="1" x14ac:dyDescent="0.15"/>
    <row r="620" ht="14" customHeight="1" x14ac:dyDescent="0.15"/>
    <row r="621" ht="14" customHeight="1" x14ac:dyDescent="0.15"/>
    <row r="622" ht="14" customHeight="1" x14ac:dyDescent="0.15"/>
    <row r="623" ht="14" customHeight="1" x14ac:dyDescent="0.15"/>
    <row r="624" ht="14" customHeight="1" x14ac:dyDescent="0.15"/>
    <row r="625" ht="14" customHeight="1" x14ac:dyDescent="0.15"/>
    <row r="626" ht="14" customHeight="1" x14ac:dyDescent="0.15"/>
    <row r="627" ht="14" customHeight="1" x14ac:dyDescent="0.15"/>
    <row r="628" ht="14" customHeight="1" x14ac:dyDescent="0.15"/>
    <row r="629" ht="14" customHeight="1" x14ac:dyDescent="0.15"/>
    <row r="630" ht="14" customHeight="1" x14ac:dyDescent="0.15"/>
    <row r="631" ht="14" customHeight="1" x14ac:dyDescent="0.15"/>
    <row r="632" ht="14" customHeight="1" x14ac:dyDescent="0.15"/>
    <row r="633" ht="14" customHeight="1" x14ac:dyDescent="0.15"/>
    <row r="634" ht="14" customHeight="1" x14ac:dyDescent="0.15"/>
    <row r="635" ht="14" customHeight="1" x14ac:dyDescent="0.15"/>
    <row r="636" ht="14" customHeight="1" x14ac:dyDescent="0.15"/>
    <row r="637" ht="14" customHeight="1" x14ac:dyDescent="0.15"/>
    <row r="638" ht="14" customHeight="1" x14ac:dyDescent="0.15"/>
    <row r="639" ht="14" customHeight="1" x14ac:dyDescent="0.15"/>
    <row r="640" ht="14" customHeight="1" x14ac:dyDescent="0.15"/>
    <row r="641" ht="14" customHeight="1" x14ac:dyDescent="0.15"/>
    <row r="642" ht="14" customHeight="1" x14ac:dyDescent="0.15"/>
    <row r="643" ht="14" customHeight="1" x14ac:dyDescent="0.15"/>
    <row r="644" ht="14" customHeight="1" x14ac:dyDescent="0.15"/>
    <row r="645" ht="14" customHeight="1" x14ac:dyDescent="0.15"/>
    <row r="646" ht="14" customHeight="1" x14ac:dyDescent="0.15"/>
    <row r="647" ht="14" customHeight="1" x14ac:dyDescent="0.15"/>
    <row r="648" ht="14" customHeight="1" x14ac:dyDescent="0.15"/>
    <row r="649" ht="14" customHeight="1" x14ac:dyDescent="0.15"/>
    <row r="650" ht="14" customHeight="1" x14ac:dyDescent="0.15"/>
    <row r="651" ht="14" customHeight="1" x14ac:dyDescent="0.15"/>
    <row r="652" ht="14" customHeight="1" x14ac:dyDescent="0.15"/>
    <row r="653" ht="14" customHeight="1" x14ac:dyDescent="0.15"/>
    <row r="654" ht="14" customHeight="1" x14ac:dyDescent="0.15"/>
    <row r="655" ht="14" customHeight="1" x14ac:dyDescent="0.15"/>
    <row r="656" ht="14" customHeight="1" x14ac:dyDescent="0.15"/>
    <row r="657" ht="14" customHeight="1" x14ac:dyDescent="0.15"/>
    <row r="658" ht="14" customHeight="1" x14ac:dyDescent="0.15"/>
    <row r="659" ht="14" customHeight="1" x14ac:dyDescent="0.15"/>
    <row r="660" ht="14" customHeight="1" x14ac:dyDescent="0.15"/>
    <row r="661" ht="14" customHeight="1" x14ac:dyDescent="0.15"/>
    <row r="662" ht="14" customHeight="1" x14ac:dyDescent="0.15"/>
    <row r="663" ht="14" customHeight="1" x14ac:dyDescent="0.15"/>
    <row r="664" ht="14" customHeight="1" x14ac:dyDescent="0.15"/>
    <row r="665" ht="14" customHeight="1" x14ac:dyDescent="0.15"/>
    <row r="666" ht="14" customHeight="1" x14ac:dyDescent="0.15"/>
    <row r="667" ht="14" customHeight="1" x14ac:dyDescent="0.15"/>
    <row r="668" ht="14" customHeight="1" x14ac:dyDescent="0.15"/>
    <row r="669" ht="14" customHeight="1" x14ac:dyDescent="0.15"/>
    <row r="670" ht="14" customHeight="1" x14ac:dyDescent="0.15"/>
    <row r="671" ht="14" customHeight="1" x14ac:dyDescent="0.15"/>
    <row r="672" ht="14" customHeight="1" x14ac:dyDescent="0.15"/>
    <row r="673" ht="14" customHeight="1" x14ac:dyDescent="0.15"/>
    <row r="674" ht="14" customHeight="1" x14ac:dyDescent="0.15"/>
    <row r="675" ht="14" customHeight="1" x14ac:dyDescent="0.15"/>
    <row r="676" ht="14" customHeight="1" x14ac:dyDescent="0.15"/>
    <row r="677" ht="14" customHeight="1" x14ac:dyDescent="0.15"/>
    <row r="678" ht="14" customHeight="1" x14ac:dyDescent="0.15"/>
    <row r="679" ht="14" customHeight="1" x14ac:dyDescent="0.15"/>
    <row r="680" ht="14" customHeight="1" x14ac:dyDescent="0.15"/>
    <row r="681" ht="14" customHeight="1" x14ac:dyDescent="0.15"/>
    <row r="682" ht="14" customHeight="1" x14ac:dyDescent="0.15"/>
    <row r="683" ht="14" customHeight="1" x14ac:dyDescent="0.15"/>
    <row r="684" ht="14" customHeight="1" x14ac:dyDescent="0.15"/>
    <row r="685" ht="14" customHeight="1" x14ac:dyDescent="0.15"/>
    <row r="686" ht="14" customHeight="1" x14ac:dyDescent="0.15"/>
    <row r="687" ht="14" customHeight="1" x14ac:dyDescent="0.15"/>
    <row r="688" ht="14" customHeight="1" x14ac:dyDescent="0.15"/>
    <row r="689" ht="14" customHeight="1" x14ac:dyDescent="0.15"/>
    <row r="690" ht="14" customHeight="1" x14ac:dyDescent="0.15"/>
    <row r="691" ht="14" customHeight="1" x14ac:dyDescent="0.15"/>
    <row r="692" ht="14" customHeight="1" x14ac:dyDescent="0.15"/>
    <row r="693" ht="14" customHeight="1" x14ac:dyDescent="0.15"/>
    <row r="694" ht="14" customHeight="1" x14ac:dyDescent="0.15"/>
    <row r="695" ht="14" customHeight="1" x14ac:dyDescent="0.15"/>
    <row r="696" ht="14" customHeight="1" x14ac:dyDescent="0.15"/>
    <row r="697" ht="14" customHeight="1" x14ac:dyDescent="0.15"/>
    <row r="698" ht="14" customHeight="1" x14ac:dyDescent="0.15"/>
    <row r="699" ht="14" customHeight="1" x14ac:dyDescent="0.15"/>
    <row r="700" ht="14" customHeight="1" x14ac:dyDescent="0.15"/>
    <row r="701" ht="14" customHeight="1" x14ac:dyDescent="0.15"/>
    <row r="702" ht="14" customHeight="1" x14ac:dyDescent="0.15"/>
    <row r="703" ht="14" customHeight="1" x14ac:dyDescent="0.15"/>
    <row r="704" ht="14" customHeight="1" x14ac:dyDescent="0.15"/>
    <row r="705" ht="14" customHeight="1" x14ac:dyDescent="0.15"/>
    <row r="706" ht="14" customHeight="1" x14ac:dyDescent="0.15"/>
    <row r="707" ht="14" customHeight="1" x14ac:dyDescent="0.15"/>
    <row r="708" ht="14" customHeight="1" x14ac:dyDescent="0.15"/>
    <row r="709" ht="14" customHeight="1" x14ac:dyDescent="0.15"/>
    <row r="710" ht="14" customHeight="1" x14ac:dyDescent="0.15"/>
    <row r="711" ht="14" customHeight="1" x14ac:dyDescent="0.15"/>
    <row r="712" ht="14" customHeight="1" x14ac:dyDescent="0.15"/>
    <row r="713" ht="14" customHeight="1" x14ac:dyDescent="0.15"/>
    <row r="714" ht="14" customHeight="1" x14ac:dyDescent="0.15"/>
    <row r="715" ht="14" customHeight="1" x14ac:dyDescent="0.15"/>
    <row r="716" ht="14" customHeight="1" x14ac:dyDescent="0.15"/>
    <row r="717" ht="14" customHeight="1" x14ac:dyDescent="0.15"/>
    <row r="718" ht="14" customHeight="1" x14ac:dyDescent="0.15"/>
    <row r="719" ht="14" customHeight="1" x14ac:dyDescent="0.15"/>
    <row r="720" ht="14" customHeight="1" x14ac:dyDescent="0.15"/>
    <row r="721" ht="14" customHeight="1" x14ac:dyDescent="0.15"/>
    <row r="722" ht="14" customHeight="1" x14ac:dyDescent="0.15"/>
    <row r="723" ht="14" customHeight="1" x14ac:dyDescent="0.15"/>
    <row r="724" ht="14" customHeight="1" x14ac:dyDescent="0.15"/>
    <row r="725" ht="14" customHeight="1" x14ac:dyDescent="0.15"/>
    <row r="726" ht="14" customHeight="1" x14ac:dyDescent="0.15"/>
    <row r="727" ht="14" customHeight="1" x14ac:dyDescent="0.15"/>
    <row r="728" ht="14" customHeight="1" x14ac:dyDescent="0.15"/>
    <row r="729" ht="14" customHeight="1" x14ac:dyDescent="0.15"/>
    <row r="730" ht="14" customHeight="1" x14ac:dyDescent="0.15"/>
    <row r="731" ht="14" customHeight="1" x14ac:dyDescent="0.15"/>
    <row r="732" ht="14" customHeight="1" x14ac:dyDescent="0.15"/>
    <row r="733" ht="14" customHeight="1" x14ac:dyDescent="0.15"/>
    <row r="734" ht="14" customHeight="1" x14ac:dyDescent="0.15"/>
    <row r="735" ht="14" customHeight="1" x14ac:dyDescent="0.15"/>
    <row r="736" ht="14" customHeight="1" x14ac:dyDescent="0.15"/>
    <row r="737" ht="14" customHeight="1" x14ac:dyDescent="0.15"/>
    <row r="738" ht="14" customHeight="1" x14ac:dyDescent="0.15"/>
    <row r="739" ht="14" customHeight="1" x14ac:dyDescent="0.15"/>
    <row r="740" ht="14" customHeight="1" x14ac:dyDescent="0.15"/>
    <row r="741" ht="14" customHeight="1" x14ac:dyDescent="0.15"/>
    <row r="742" ht="14" customHeight="1" x14ac:dyDescent="0.15"/>
    <row r="743" ht="14" customHeight="1" x14ac:dyDescent="0.15"/>
    <row r="744" ht="14" customHeight="1" x14ac:dyDescent="0.15"/>
    <row r="745" ht="14" customHeight="1" x14ac:dyDescent="0.15"/>
    <row r="746" ht="14" customHeight="1" x14ac:dyDescent="0.15"/>
    <row r="747" ht="14" customHeight="1" x14ac:dyDescent="0.15"/>
    <row r="748" ht="14" customHeight="1" x14ac:dyDescent="0.15"/>
    <row r="749" ht="14" customHeight="1" x14ac:dyDescent="0.15"/>
    <row r="750" ht="14" customHeight="1" x14ac:dyDescent="0.15"/>
    <row r="751" ht="14" customHeight="1" x14ac:dyDescent="0.15"/>
    <row r="752" ht="14" customHeight="1" x14ac:dyDescent="0.15"/>
    <row r="753" ht="14" customHeight="1" x14ac:dyDescent="0.15"/>
    <row r="754" ht="14" customHeight="1" x14ac:dyDescent="0.15"/>
    <row r="755" ht="14" customHeight="1" x14ac:dyDescent="0.15"/>
    <row r="756" ht="14" customHeight="1" x14ac:dyDescent="0.15"/>
    <row r="757" ht="14" customHeight="1" x14ac:dyDescent="0.15"/>
    <row r="758" ht="14" customHeight="1" x14ac:dyDescent="0.15"/>
    <row r="759" ht="14" customHeight="1" x14ac:dyDescent="0.15"/>
    <row r="760" ht="14" customHeight="1" x14ac:dyDescent="0.15"/>
    <row r="761" ht="14" customHeight="1" x14ac:dyDescent="0.15"/>
    <row r="762" ht="14" customHeight="1" x14ac:dyDescent="0.15"/>
    <row r="763" ht="14" customHeight="1" x14ac:dyDescent="0.15"/>
    <row r="764" ht="14" customHeight="1" x14ac:dyDescent="0.15"/>
    <row r="765" ht="14" customHeight="1" x14ac:dyDescent="0.15"/>
    <row r="766" ht="14" customHeight="1" x14ac:dyDescent="0.15"/>
    <row r="767" ht="14" customHeight="1" x14ac:dyDescent="0.15"/>
    <row r="768" ht="14" customHeight="1" x14ac:dyDescent="0.15"/>
    <row r="769" ht="14" customHeight="1" x14ac:dyDescent="0.15"/>
    <row r="770" ht="14" customHeight="1" x14ac:dyDescent="0.15"/>
    <row r="771" ht="14" customHeight="1" x14ac:dyDescent="0.15"/>
    <row r="772" ht="14" customHeight="1" x14ac:dyDescent="0.15"/>
    <row r="773" ht="14" customHeight="1" x14ac:dyDescent="0.15"/>
    <row r="774" ht="14" customHeight="1" x14ac:dyDescent="0.15"/>
    <row r="775" ht="14" customHeight="1" x14ac:dyDescent="0.15"/>
    <row r="776" ht="14" customHeight="1" x14ac:dyDescent="0.15"/>
    <row r="777" ht="14" customHeight="1" x14ac:dyDescent="0.15"/>
    <row r="778" ht="14" customHeight="1" x14ac:dyDescent="0.15"/>
    <row r="779" ht="14" customHeight="1" x14ac:dyDescent="0.15"/>
    <row r="780" ht="14" customHeight="1" x14ac:dyDescent="0.15"/>
    <row r="781" ht="14" customHeight="1" x14ac:dyDescent="0.15"/>
    <row r="782" ht="14" customHeight="1" x14ac:dyDescent="0.15"/>
    <row r="783" ht="14" customHeight="1" x14ac:dyDescent="0.15"/>
    <row r="784" ht="14" customHeight="1" x14ac:dyDescent="0.15"/>
    <row r="785" ht="14" customHeight="1" x14ac:dyDescent="0.15"/>
    <row r="786" ht="14" customHeight="1" x14ac:dyDescent="0.15"/>
    <row r="787" ht="14" customHeight="1" x14ac:dyDescent="0.15"/>
    <row r="788" ht="14" customHeight="1" x14ac:dyDescent="0.15"/>
    <row r="789" ht="14" customHeight="1" x14ac:dyDescent="0.15"/>
    <row r="790" ht="14" customHeight="1" x14ac:dyDescent="0.15"/>
    <row r="791" ht="14" customHeight="1" x14ac:dyDescent="0.15"/>
    <row r="792" ht="14" customHeight="1" x14ac:dyDescent="0.15"/>
    <row r="793" ht="14" customHeight="1" x14ac:dyDescent="0.15"/>
    <row r="794" ht="14" customHeight="1" x14ac:dyDescent="0.15"/>
    <row r="795" ht="14" customHeight="1" x14ac:dyDescent="0.15"/>
    <row r="796" ht="14" customHeight="1" x14ac:dyDescent="0.15"/>
    <row r="797" ht="14" customHeight="1" x14ac:dyDescent="0.15"/>
    <row r="798" ht="14" customHeight="1" x14ac:dyDescent="0.15"/>
    <row r="799" ht="14" customHeight="1" x14ac:dyDescent="0.15"/>
    <row r="800" ht="14" customHeight="1" x14ac:dyDescent="0.15"/>
    <row r="801" ht="14" customHeight="1" x14ac:dyDescent="0.15"/>
    <row r="802" ht="14" customHeight="1" x14ac:dyDescent="0.15"/>
    <row r="803" ht="14" customHeight="1" x14ac:dyDescent="0.15"/>
    <row r="804" ht="14" customHeight="1" x14ac:dyDescent="0.15"/>
    <row r="805" ht="14" customHeight="1" x14ac:dyDescent="0.15"/>
    <row r="806" ht="14" customHeight="1" x14ac:dyDescent="0.15"/>
    <row r="807" ht="14" customHeight="1" x14ac:dyDescent="0.15"/>
    <row r="808" ht="14" customHeight="1" x14ac:dyDescent="0.15"/>
    <row r="809" ht="14" customHeight="1" x14ac:dyDescent="0.15"/>
    <row r="810" ht="14" customHeight="1" x14ac:dyDescent="0.15"/>
    <row r="811" ht="14" customHeight="1" x14ac:dyDescent="0.15"/>
    <row r="812" ht="14" customHeight="1" x14ac:dyDescent="0.15"/>
    <row r="813" ht="14" customHeight="1" x14ac:dyDescent="0.15"/>
    <row r="814" ht="14" customHeight="1" x14ac:dyDescent="0.15"/>
    <row r="815" ht="14" customHeight="1" x14ac:dyDescent="0.15"/>
    <row r="816" ht="14" customHeight="1" x14ac:dyDescent="0.15"/>
    <row r="817" ht="14" customHeight="1" x14ac:dyDescent="0.15"/>
    <row r="818" ht="14" customHeight="1" x14ac:dyDescent="0.15"/>
    <row r="819" ht="14" customHeight="1" x14ac:dyDescent="0.15"/>
    <row r="820" ht="14" customHeight="1" x14ac:dyDescent="0.15"/>
    <row r="821" ht="14" customHeight="1" x14ac:dyDescent="0.15"/>
    <row r="822" ht="14" customHeight="1" x14ac:dyDescent="0.15"/>
    <row r="823" ht="14" customHeight="1" x14ac:dyDescent="0.15"/>
    <row r="824" ht="14" customHeight="1" x14ac:dyDescent="0.15"/>
    <row r="825" ht="14" customHeight="1" x14ac:dyDescent="0.15"/>
    <row r="826" ht="14" customHeight="1" x14ac:dyDescent="0.15"/>
    <row r="827" ht="14" customHeight="1" x14ac:dyDescent="0.15"/>
    <row r="828" ht="14" customHeight="1" x14ac:dyDescent="0.15"/>
    <row r="829" ht="14" customHeight="1" x14ac:dyDescent="0.15"/>
    <row r="830" ht="14" customHeight="1" x14ac:dyDescent="0.15"/>
    <row r="831" ht="14" customHeight="1" x14ac:dyDescent="0.15"/>
    <row r="832" ht="14" customHeight="1" x14ac:dyDescent="0.15"/>
    <row r="833" ht="14" customHeight="1" x14ac:dyDescent="0.15"/>
    <row r="834" ht="14" customHeight="1" x14ac:dyDescent="0.15"/>
    <row r="835" ht="14" customHeight="1" x14ac:dyDescent="0.15"/>
    <row r="836" ht="14" customHeight="1" x14ac:dyDescent="0.15"/>
    <row r="837" ht="14" customHeight="1" x14ac:dyDescent="0.15"/>
    <row r="838" ht="14" customHeight="1" x14ac:dyDescent="0.15"/>
    <row r="839" ht="14" customHeight="1" x14ac:dyDescent="0.15"/>
    <row r="840" ht="14" customHeight="1" x14ac:dyDescent="0.15"/>
    <row r="841" ht="14" customHeight="1" x14ac:dyDescent="0.15"/>
    <row r="842" ht="14" customHeight="1" x14ac:dyDescent="0.15"/>
    <row r="843" ht="14" customHeight="1" x14ac:dyDescent="0.15"/>
    <row r="844" ht="14" customHeight="1" x14ac:dyDescent="0.15"/>
    <row r="845" ht="14" customHeight="1" x14ac:dyDescent="0.15"/>
    <row r="846" ht="14" customHeight="1" x14ac:dyDescent="0.15"/>
    <row r="847" ht="14" customHeight="1" x14ac:dyDescent="0.15"/>
    <row r="848" ht="14" customHeight="1" x14ac:dyDescent="0.15"/>
    <row r="849" ht="14" customHeight="1" x14ac:dyDescent="0.15"/>
    <row r="850" ht="14" customHeight="1" x14ac:dyDescent="0.15"/>
    <row r="851" ht="14" customHeight="1" x14ac:dyDescent="0.15"/>
    <row r="852" ht="14" customHeight="1" x14ac:dyDescent="0.15"/>
    <row r="853" ht="14" customHeight="1" x14ac:dyDescent="0.15"/>
    <row r="854" ht="14" customHeight="1" x14ac:dyDescent="0.15"/>
    <row r="855" ht="14" customHeight="1" x14ac:dyDescent="0.15"/>
    <row r="856" ht="14" customHeight="1" x14ac:dyDescent="0.15"/>
    <row r="857" ht="14" customHeight="1" x14ac:dyDescent="0.15"/>
    <row r="858" ht="14" customHeight="1" x14ac:dyDescent="0.15"/>
    <row r="859" ht="14" customHeight="1" x14ac:dyDescent="0.15"/>
    <row r="860" ht="14" customHeight="1" x14ac:dyDescent="0.15"/>
    <row r="861" ht="14" customHeight="1" x14ac:dyDescent="0.15"/>
    <row r="862" ht="14" customHeight="1" x14ac:dyDescent="0.15"/>
    <row r="863" ht="14" customHeight="1" x14ac:dyDescent="0.15"/>
    <row r="864" ht="14" customHeight="1" x14ac:dyDescent="0.15"/>
    <row r="865" ht="14" customHeight="1" x14ac:dyDescent="0.15"/>
    <row r="866" ht="14" customHeight="1" x14ac:dyDescent="0.15"/>
    <row r="867" ht="14" customHeight="1" x14ac:dyDescent="0.15"/>
    <row r="868" ht="14" customHeight="1" x14ac:dyDescent="0.15"/>
    <row r="869" ht="14" customHeight="1" x14ac:dyDescent="0.15"/>
    <row r="870" ht="14" customHeight="1" x14ac:dyDescent="0.15"/>
    <row r="871" ht="14" customHeight="1" x14ac:dyDescent="0.15"/>
    <row r="872" ht="14" customHeight="1" x14ac:dyDescent="0.15"/>
    <row r="873" ht="14" customHeight="1" x14ac:dyDescent="0.15"/>
    <row r="874" ht="14" customHeight="1" x14ac:dyDescent="0.15"/>
    <row r="875" ht="14" customHeight="1" x14ac:dyDescent="0.15"/>
    <row r="876" ht="14" customHeight="1" x14ac:dyDescent="0.15"/>
    <row r="877" ht="14" customHeight="1" x14ac:dyDescent="0.15"/>
    <row r="878" ht="14" customHeight="1" x14ac:dyDescent="0.15"/>
    <row r="879" ht="14" customHeight="1" x14ac:dyDescent="0.15"/>
    <row r="880" ht="14" customHeight="1" x14ac:dyDescent="0.15"/>
    <row r="881" ht="14" customHeight="1" x14ac:dyDescent="0.15"/>
    <row r="882" ht="14" customHeight="1" x14ac:dyDescent="0.15"/>
    <row r="883" ht="14" customHeight="1" x14ac:dyDescent="0.15"/>
    <row r="884" ht="14" customHeight="1" x14ac:dyDescent="0.15"/>
    <row r="885" ht="14" customHeight="1" x14ac:dyDescent="0.15"/>
    <row r="886" ht="14" customHeight="1" x14ac:dyDescent="0.15"/>
    <row r="887" ht="14" customHeight="1" x14ac:dyDescent="0.15"/>
    <row r="888" ht="14" customHeight="1" x14ac:dyDescent="0.15"/>
    <row r="889" ht="14" customHeight="1" x14ac:dyDescent="0.15"/>
    <row r="890" ht="14" customHeight="1" x14ac:dyDescent="0.15"/>
    <row r="891" ht="14" customHeight="1" x14ac:dyDescent="0.15"/>
    <row r="892" ht="14" customHeight="1" x14ac:dyDescent="0.15"/>
    <row r="893" ht="14" customHeight="1" x14ac:dyDescent="0.15"/>
    <row r="894" ht="14" customHeight="1" x14ac:dyDescent="0.15"/>
    <row r="895" ht="14" customHeight="1" x14ac:dyDescent="0.15"/>
    <row r="896" ht="14" customHeight="1" x14ac:dyDescent="0.15"/>
    <row r="897" ht="14" customHeight="1" x14ac:dyDescent="0.15"/>
    <row r="898" ht="14" customHeight="1" x14ac:dyDescent="0.15"/>
    <row r="899" ht="14" customHeight="1" x14ac:dyDescent="0.15"/>
    <row r="900" ht="14" customHeight="1" x14ac:dyDescent="0.15"/>
    <row r="901" ht="14" customHeight="1" x14ac:dyDescent="0.15"/>
    <row r="902" ht="14" customHeight="1" x14ac:dyDescent="0.15"/>
    <row r="903" ht="14" customHeight="1" x14ac:dyDescent="0.15"/>
    <row r="904" ht="14" customHeight="1" x14ac:dyDescent="0.15"/>
    <row r="905" ht="14" customHeight="1" x14ac:dyDescent="0.15"/>
    <row r="906" ht="14" customHeight="1" x14ac:dyDescent="0.15"/>
    <row r="907" ht="14" customHeight="1" x14ac:dyDescent="0.15"/>
    <row r="908" ht="14" customHeight="1" x14ac:dyDescent="0.15"/>
    <row r="909" ht="14" customHeight="1" x14ac:dyDescent="0.15"/>
    <row r="910" ht="14" customHeight="1" x14ac:dyDescent="0.15"/>
    <row r="911" ht="14" customHeight="1" x14ac:dyDescent="0.15"/>
    <row r="912" ht="14" customHeight="1" x14ac:dyDescent="0.15"/>
    <row r="913" ht="14" customHeight="1" x14ac:dyDescent="0.15"/>
    <row r="914" ht="14" customHeight="1" x14ac:dyDescent="0.15"/>
    <row r="915" ht="14" customHeight="1" x14ac:dyDescent="0.15"/>
    <row r="916" ht="14" customHeight="1" x14ac:dyDescent="0.15"/>
    <row r="917" ht="14" customHeight="1" x14ac:dyDescent="0.15"/>
    <row r="918" ht="14" customHeight="1" x14ac:dyDescent="0.15"/>
    <row r="919" ht="14" customHeight="1" x14ac:dyDescent="0.15"/>
    <row r="920" ht="14" customHeight="1" x14ac:dyDescent="0.15"/>
    <row r="921" ht="14" customHeight="1" x14ac:dyDescent="0.15"/>
    <row r="922" ht="14" customHeight="1" x14ac:dyDescent="0.15"/>
    <row r="923" ht="14" customHeight="1" x14ac:dyDescent="0.15"/>
    <row r="924" ht="14" customHeight="1" x14ac:dyDescent="0.15"/>
    <row r="925" ht="14" customHeight="1" x14ac:dyDescent="0.15"/>
    <row r="926" ht="14" customHeight="1" x14ac:dyDescent="0.15"/>
    <row r="927" ht="14" customHeight="1" x14ac:dyDescent="0.15"/>
    <row r="928" ht="14" customHeight="1" x14ac:dyDescent="0.15"/>
    <row r="929" ht="14" customHeight="1" x14ac:dyDescent="0.15"/>
    <row r="930" ht="14" customHeight="1" x14ac:dyDescent="0.15"/>
    <row r="931" ht="14" customHeight="1" x14ac:dyDescent="0.15"/>
    <row r="932" ht="14" customHeight="1" x14ac:dyDescent="0.15"/>
    <row r="933" ht="14" customHeight="1" x14ac:dyDescent="0.15"/>
    <row r="934" ht="14" customHeight="1" x14ac:dyDescent="0.15"/>
    <row r="935" ht="14" customHeight="1" x14ac:dyDescent="0.15"/>
    <row r="936" ht="14" customHeight="1" x14ac:dyDescent="0.15"/>
    <row r="937" ht="14" customHeight="1" x14ac:dyDescent="0.15"/>
    <row r="938" ht="14" customHeight="1" x14ac:dyDescent="0.15"/>
    <row r="939" ht="14" customHeight="1" x14ac:dyDescent="0.15"/>
    <row r="940" ht="14" customHeight="1" x14ac:dyDescent="0.15"/>
    <row r="941" ht="14" customHeight="1" x14ac:dyDescent="0.15"/>
    <row r="942" ht="14" customHeight="1" x14ac:dyDescent="0.15"/>
    <row r="943" ht="14" customHeight="1" x14ac:dyDescent="0.15"/>
    <row r="944" ht="14" customHeight="1" x14ac:dyDescent="0.15"/>
    <row r="945" ht="14" customHeight="1" x14ac:dyDescent="0.15"/>
    <row r="946" ht="14" customHeight="1" x14ac:dyDescent="0.15"/>
    <row r="947" ht="14" customHeight="1" x14ac:dyDescent="0.15"/>
    <row r="948" ht="14" customHeight="1" x14ac:dyDescent="0.15"/>
    <row r="949" ht="14" customHeight="1" x14ac:dyDescent="0.15"/>
    <row r="950" ht="14" customHeight="1" x14ac:dyDescent="0.15"/>
    <row r="951" ht="14" customHeight="1" x14ac:dyDescent="0.15"/>
    <row r="952" ht="14" customHeight="1" x14ac:dyDescent="0.15"/>
    <row r="953" ht="14" customHeight="1" x14ac:dyDescent="0.15"/>
    <row r="954" ht="14" customHeight="1" x14ac:dyDescent="0.15"/>
    <row r="955" ht="14" customHeight="1" x14ac:dyDescent="0.15"/>
    <row r="956" ht="14" customHeight="1" x14ac:dyDescent="0.15"/>
    <row r="957" ht="14" customHeight="1" x14ac:dyDescent="0.15"/>
    <row r="958" ht="14" customHeight="1" x14ac:dyDescent="0.15"/>
    <row r="959" ht="14" customHeight="1" x14ac:dyDescent="0.15"/>
    <row r="960" ht="14" customHeight="1" x14ac:dyDescent="0.15"/>
    <row r="961" ht="14" customHeight="1" x14ac:dyDescent="0.15"/>
    <row r="962" ht="14" customHeight="1" x14ac:dyDescent="0.15"/>
    <row r="963" ht="14" customHeight="1" x14ac:dyDescent="0.15"/>
    <row r="964" ht="14" customHeight="1" x14ac:dyDescent="0.15"/>
    <row r="965" ht="14" customHeight="1" x14ac:dyDescent="0.15"/>
    <row r="966" ht="14" customHeight="1" x14ac:dyDescent="0.15"/>
    <row r="967" ht="14" customHeight="1" x14ac:dyDescent="0.15"/>
    <row r="968" ht="14" customHeight="1" x14ac:dyDescent="0.15"/>
    <row r="969" ht="14" customHeight="1" x14ac:dyDescent="0.15"/>
    <row r="970" ht="14" customHeight="1" x14ac:dyDescent="0.15"/>
    <row r="971" ht="14" customHeight="1" x14ac:dyDescent="0.15"/>
    <row r="972" ht="14" customHeight="1" x14ac:dyDescent="0.15"/>
    <row r="973" ht="14" customHeight="1" x14ac:dyDescent="0.15"/>
    <row r="974" ht="14" customHeight="1" x14ac:dyDescent="0.15"/>
    <row r="975" ht="14" customHeight="1" x14ac:dyDescent="0.15"/>
    <row r="976" ht="14" customHeight="1" x14ac:dyDescent="0.15"/>
    <row r="977" ht="14" customHeight="1" x14ac:dyDescent="0.15"/>
    <row r="978" ht="14" customHeight="1" x14ac:dyDescent="0.15"/>
    <row r="979" ht="14" customHeight="1" x14ac:dyDescent="0.15"/>
    <row r="980" ht="14" customHeight="1" x14ac:dyDescent="0.15"/>
    <row r="981" ht="14" customHeight="1" x14ac:dyDescent="0.15"/>
    <row r="982" ht="14" customHeight="1" x14ac:dyDescent="0.15"/>
    <row r="983" ht="14" customHeight="1" x14ac:dyDescent="0.15"/>
    <row r="984" ht="14" customHeight="1" x14ac:dyDescent="0.15"/>
    <row r="985" ht="14" customHeight="1" x14ac:dyDescent="0.15"/>
    <row r="986" ht="14" customHeight="1" x14ac:dyDescent="0.15"/>
    <row r="987" ht="14" customHeight="1" x14ac:dyDescent="0.15"/>
    <row r="988" ht="14" customHeight="1" x14ac:dyDescent="0.15"/>
    <row r="989" ht="14" customHeight="1" x14ac:dyDescent="0.15"/>
    <row r="990" ht="14" customHeight="1" x14ac:dyDescent="0.15"/>
    <row r="991" ht="14" customHeight="1" x14ac:dyDescent="0.15"/>
    <row r="992" ht="14" customHeight="1" x14ac:dyDescent="0.15"/>
    <row r="993" ht="14" customHeight="1" x14ac:dyDescent="0.15"/>
    <row r="994" ht="14" customHeight="1" x14ac:dyDescent="0.15"/>
    <row r="995" ht="14" customHeight="1" x14ac:dyDescent="0.15"/>
    <row r="996" ht="14" customHeight="1" x14ac:dyDescent="0.15"/>
    <row r="997" ht="14" customHeight="1" x14ac:dyDescent="0.15"/>
    <row r="998" ht="14" customHeight="1" x14ac:dyDescent="0.15"/>
    <row r="999" ht="14" customHeight="1" x14ac:dyDescent="0.15"/>
    <row r="1000" ht="14" customHeight="1" x14ac:dyDescent="0.15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1F497D"/>
  </sheetPr>
  <dimension ref="A1:AI1000"/>
  <sheetViews>
    <sheetView workbookViewId="0">
      <selection activeCell="B1" sqref="B1:B1048576"/>
    </sheetView>
  </sheetViews>
  <sheetFormatPr baseColWidth="10" defaultColWidth="8.83203125" defaultRowHeight="15" customHeight="1" x14ac:dyDescent="0.15"/>
  <cols>
    <col min="1" max="1" width="39.83203125" style="48" customWidth="1"/>
    <col min="2" max="2" width="17.83203125" style="30" customWidth="1"/>
    <col min="3" max="3" width="9.5" style="48" customWidth="1"/>
    <col min="4" max="35" width="9.5" style="48" bestFit="1" customWidth="1"/>
    <col min="36" max="43" width="8.83203125" style="48" customWidth="1"/>
    <col min="44" max="16384" width="8.83203125" style="48"/>
  </cols>
  <sheetData>
    <row r="1" spans="1:35" ht="14.5" customHeight="1" x14ac:dyDescent="0.2">
      <c r="A1" s="28" t="s">
        <v>177</v>
      </c>
      <c r="B1" s="29">
        <v>2020</v>
      </c>
      <c r="C1" s="29">
        <v>2021</v>
      </c>
      <c r="D1" s="29">
        <v>2022</v>
      </c>
      <c r="E1" s="29">
        <v>2023</v>
      </c>
      <c r="F1" s="29">
        <v>2024</v>
      </c>
      <c r="G1" s="29">
        <v>2025</v>
      </c>
      <c r="H1" s="29">
        <v>2026</v>
      </c>
      <c r="I1" s="29">
        <v>2027</v>
      </c>
      <c r="J1" s="29">
        <v>2028</v>
      </c>
      <c r="K1" s="29">
        <v>2029</v>
      </c>
      <c r="L1" s="29">
        <v>2030</v>
      </c>
      <c r="M1" s="29">
        <v>2031</v>
      </c>
      <c r="N1" s="29">
        <v>2032</v>
      </c>
      <c r="O1" s="29">
        <v>2033</v>
      </c>
      <c r="P1" s="29">
        <v>2034</v>
      </c>
      <c r="Q1" s="29">
        <v>2035</v>
      </c>
      <c r="R1" s="29">
        <v>2036</v>
      </c>
      <c r="S1" s="29">
        <v>2037</v>
      </c>
      <c r="T1" s="29">
        <v>2038</v>
      </c>
      <c r="U1" s="29">
        <v>2039</v>
      </c>
      <c r="V1" s="29">
        <v>2040</v>
      </c>
      <c r="W1" s="29">
        <v>2041</v>
      </c>
      <c r="X1" s="29">
        <v>2042</v>
      </c>
      <c r="Y1" s="29">
        <v>2043</v>
      </c>
      <c r="Z1" s="29">
        <v>2044</v>
      </c>
      <c r="AA1" s="29">
        <v>2045</v>
      </c>
      <c r="AB1" s="29">
        <v>2046</v>
      </c>
      <c r="AC1" s="29">
        <v>2047</v>
      </c>
      <c r="AD1" s="29">
        <v>2048</v>
      </c>
      <c r="AE1" s="29">
        <v>2049</v>
      </c>
      <c r="AF1" s="29">
        <v>2050</v>
      </c>
      <c r="AH1" s="29"/>
      <c r="AI1" s="29"/>
    </row>
    <row r="2" spans="1:35" ht="14" customHeight="1" x14ac:dyDescent="0.15">
      <c r="A2" s="48" t="s">
        <v>178</v>
      </c>
      <c r="B2">
        <v>0</v>
      </c>
      <c r="C2" s="57">
        <v>0</v>
      </c>
      <c r="D2" s="57">
        <v>0</v>
      </c>
      <c r="E2" s="57">
        <v>0</v>
      </c>
      <c r="F2" s="57">
        <v>0</v>
      </c>
      <c r="G2" s="57">
        <v>0</v>
      </c>
      <c r="H2" s="57">
        <v>0</v>
      </c>
      <c r="I2" s="57">
        <v>0</v>
      </c>
      <c r="J2" s="57">
        <v>0</v>
      </c>
      <c r="K2" s="57">
        <v>0</v>
      </c>
      <c r="L2" s="57">
        <v>0</v>
      </c>
      <c r="M2" s="57">
        <v>0</v>
      </c>
      <c r="N2" s="57">
        <v>0</v>
      </c>
      <c r="O2" s="57">
        <v>0</v>
      </c>
      <c r="P2" s="57">
        <v>0</v>
      </c>
      <c r="Q2" s="57">
        <v>0</v>
      </c>
      <c r="R2" s="57">
        <v>0</v>
      </c>
      <c r="S2" s="57">
        <v>0</v>
      </c>
      <c r="T2" s="57">
        <v>0</v>
      </c>
      <c r="U2" s="57">
        <v>0</v>
      </c>
      <c r="V2" s="57">
        <v>0</v>
      </c>
      <c r="W2" s="57">
        <v>0</v>
      </c>
      <c r="X2" s="57">
        <v>0</v>
      </c>
      <c r="Y2" s="57">
        <v>0</v>
      </c>
      <c r="Z2" s="57">
        <v>0</v>
      </c>
      <c r="AA2" s="57">
        <v>0</v>
      </c>
      <c r="AB2" s="57">
        <v>0</v>
      </c>
      <c r="AC2" s="57">
        <v>0</v>
      </c>
      <c r="AD2" s="57">
        <v>0</v>
      </c>
      <c r="AE2" s="57">
        <v>0</v>
      </c>
      <c r="AF2" s="57">
        <v>0</v>
      </c>
      <c r="AG2" s="57"/>
    </row>
    <row r="3" spans="1:35" ht="14" customHeight="1" x14ac:dyDescent="0.15">
      <c r="A3" s="48" t="s">
        <v>179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5" ht="14" customHeight="1" x14ac:dyDescent="0.15">
      <c r="A4" s="48" t="s">
        <v>135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5" ht="14" customHeight="1" x14ac:dyDescent="0.15">
      <c r="A5" s="48" t="s">
        <v>180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5" ht="14" customHeight="1" x14ac:dyDescent="0.15">
      <c r="A6" s="48" t="s">
        <v>181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5" ht="14" customHeight="1" x14ac:dyDescent="0.15">
      <c r="A7" s="48" t="s">
        <v>182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5" ht="14" customHeight="1" x14ac:dyDescent="0.15">
      <c r="A8" s="48" t="s">
        <v>183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5" ht="14" customHeight="1" x14ac:dyDescent="0.15">
      <c r="A9" s="48" t="s">
        <v>184</v>
      </c>
      <c r="B9">
        <v>0</v>
      </c>
      <c r="C9" s="57">
        <v>0</v>
      </c>
      <c r="D9" s="57">
        <v>0</v>
      </c>
      <c r="E9" s="57">
        <v>0</v>
      </c>
      <c r="F9" s="57">
        <v>0</v>
      </c>
      <c r="G9" s="57">
        <v>0</v>
      </c>
      <c r="H9" s="57">
        <v>0</v>
      </c>
      <c r="I9" s="57">
        <v>0</v>
      </c>
      <c r="J9" s="57">
        <v>0</v>
      </c>
      <c r="K9" s="57">
        <v>0</v>
      </c>
      <c r="L9" s="57">
        <v>0</v>
      </c>
      <c r="M9" s="57">
        <v>0</v>
      </c>
      <c r="N9" s="57">
        <v>0</v>
      </c>
      <c r="O9" s="57">
        <v>0</v>
      </c>
      <c r="P9" s="57">
        <v>0</v>
      </c>
      <c r="Q9" s="57">
        <v>0</v>
      </c>
      <c r="R9" s="57">
        <v>0</v>
      </c>
      <c r="S9" s="57">
        <v>0</v>
      </c>
      <c r="T9" s="57">
        <v>0</v>
      </c>
      <c r="U9" s="57">
        <v>0</v>
      </c>
      <c r="V9" s="57">
        <v>0</v>
      </c>
      <c r="W9" s="57">
        <v>0</v>
      </c>
      <c r="X9" s="57">
        <v>0</v>
      </c>
      <c r="Y9" s="57">
        <v>0</v>
      </c>
      <c r="Z9" s="57">
        <v>0</v>
      </c>
      <c r="AA9" s="57">
        <v>0</v>
      </c>
      <c r="AB9" s="57">
        <v>0</v>
      </c>
      <c r="AC9" s="57">
        <v>0</v>
      </c>
      <c r="AD9" s="57">
        <v>0</v>
      </c>
      <c r="AE9" s="57">
        <v>0</v>
      </c>
      <c r="AF9" s="57">
        <v>0</v>
      </c>
      <c r="AG9" s="57"/>
    </row>
    <row r="10" spans="1:35" ht="14" customHeight="1" x14ac:dyDescent="0.15">
      <c r="A10" s="48" t="s">
        <v>136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5" ht="14" customHeight="1" x14ac:dyDescent="0.15">
      <c r="A11" s="48" t="s">
        <v>185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5" ht="14" customHeight="1" x14ac:dyDescent="0.15">
      <c r="A12" s="48" t="s">
        <v>186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5" ht="14" customHeight="1" x14ac:dyDescent="0.15">
      <c r="A13" s="48" t="s">
        <v>187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5" ht="14" customHeight="1" x14ac:dyDescent="0.15">
      <c r="A14" s="48" t="s">
        <v>188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5" ht="14" customHeight="1" x14ac:dyDescent="0.15">
      <c r="A15" s="48" t="s">
        <v>189</v>
      </c>
      <c r="B15">
        <v>0</v>
      </c>
      <c r="C15" s="57">
        <v>0</v>
      </c>
      <c r="D15" s="57">
        <v>0</v>
      </c>
      <c r="E15" s="57">
        <v>0</v>
      </c>
      <c r="F15" s="57">
        <v>0</v>
      </c>
      <c r="G15" s="57">
        <v>0</v>
      </c>
      <c r="H15" s="57">
        <v>0</v>
      </c>
      <c r="I15" s="57">
        <v>0</v>
      </c>
      <c r="J15" s="57">
        <v>0</v>
      </c>
      <c r="K15" s="57">
        <v>0</v>
      </c>
      <c r="L15" s="57">
        <v>0</v>
      </c>
      <c r="M15" s="57">
        <v>0</v>
      </c>
      <c r="N15" s="57">
        <v>0</v>
      </c>
      <c r="O15" s="57">
        <v>0</v>
      </c>
      <c r="P15" s="57">
        <v>0</v>
      </c>
      <c r="Q15" s="57">
        <v>0</v>
      </c>
      <c r="R15" s="57">
        <v>0</v>
      </c>
      <c r="S15" s="57">
        <v>0</v>
      </c>
      <c r="T15" s="57">
        <v>0</v>
      </c>
      <c r="U15" s="57">
        <v>0</v>
      </c>
      <c r="V15" s="57">
        <v>0</v>
      </c>
      <c r="W15" s="57">
        <v>0</v>
      </c>
      <c r="X15" s="57">
        <v>0</v>
      </c>
      <c r="Y15" s="57">
        <v>0</v>
      </c>
      <c r="Z15" s="57">
        <v>0</v>
      </c>
      <c r="AA15" s="57">
        <v>0</v>
      </c>
      <c r="AB15" s="57">
        <v>0</v>
      </c>
      <c r="AC15" s="57">
        <v>0</v>
      </c>
      <c r="AD15" s="57">
        <v>0</v>
      </c>
      <c r="AE15" s="57">
        <v>0</v>
      </c>
      <c r="AF15" s="57">
        <v>0</v>
      </c>
      <c r="AG15" s="57"/>
    </row>
    <row r="16" spans="1:35" ht="14" customHeight="1" x14ac:dyDescent="0.15">
      <c r="A16" s="48" t="s">
        <v>190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3" ht="14" customHeight="1" x14ac:dyDescent="0.15">
      <c r="A17" s="48" t="s">
        <v>191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3" ht="14" customHeight="1" x14ac:dyDescent="0.15">
      <c r="A18" s="48" t="s">
        <v>192</v>
      </c>
      <c r="B18">
        <v>0</v>
      </c>
      <c r="C18" s="30">
        <v>0</v>
      </c>
      <c r="D18" s="30">
        <v>0</v>
      </c>
      <c r="E18" s="30">
        <v>0</v>
      </c>
      <c r="F18" s="30">
        <v>0</v>
      </c>
      <c r="G18" s="30">
        <v>0</v>
      </c>
      <c r="H18" s="30">
        <v>0</v>
      </c>
      <c r="I18" s="30">
        <v>0</v>
      </c>
      <c r="J18" s="30">
        <v>0</v>
      </c>
      <c r="K18" s="30">
        <v>0</v>
      </c>
      <c r="L18" s="30">
        <v>0</v>
      </c>
      <c r="M18" s="30">
        <v>0</v>
      </c>
      <c r="N18" s="30">
        <v>0</v>
      </c>
      <c r="O18" s="30">
        <v>0</v>
      </c>
      <c r="P18" s="30">
        <v>0</v>
      </c>
      <c r="Q18" s="30">
        <v>0</v>
      </c>
      <c r="R18" s="30">
        <v>0</v>
      </c>
      <c r="S18" s="30">
        <v>0</v>
      </c>
      <c r="T18" s="30">
        <v>0</v>
      </c>
      <c r="U18" s="30">
        <v>0</v>
      </c>
      <c r="V18" s="30">
        <v>0</v>
      </c>
      <c r="W18" s="30">
        <v>0</v>
      </c>
      <c r="X18" s="30">
        <v>0</v>
      </c>
      <c r="Y18" s="30">
        <v>0</v>
      </c>
      <c r="Z18" s="30">
        <v>0</v>
      </c>
      <c r="AA18" s="30">
        <v>0</v>
      </c>
      <c r="AB18" s="30">
        <v>0</v>
      </c>
      <c r="AC18" s="30">
        <v>0</v>
      </c>
      <c r="AD18" s="30">
        <v>0</v>
      </c>
      <c r="AE18" s="30">
        <v>0</v>
      </c>
      <c r="AF18" s="30">
        <v>0</v>
      </c>
      <c r="AG18" s="30"/>
    </row>
    <row r="19" spans="1:33" ht="14" customHeight="1" x14ac:dyDescent="0.15">
      <c r="A19" s="48" t="s">
        <v>193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3" ht="14" customHeight="1" x14ac:dyDescent="0.15">
      <c r="A20" s="48" t="s">
        <v>194</v>
      </c>
      <c r="B20">
        <v>0</v>
      </c>
      <c r="C20" s="57">
        <v>0</v>
      </c>
      <c r="D20" s="57">
        <v>0</v>
      </c>
      <c r="E20" s="57">
        <v>0</v>
      </c>
      <c r="F20" s="57">
        <v>0</v>
      </c>
      <c r="G20" s="57">
        <v>0</v>
      </c>
      <c r="H20" s="57">
        <v>0</v>
      </c>
      <c r="I20" s="57">
        <v>0</v>
      </c>
      <c r="J20" s="57">
        <v>0</v>
      </c>
      <c r="K20" s="57">
        <v>0</v>
      </c>
      <c r="L20" s="57">
        <v>0</v>
      </c>
      <c r="M20" s="57">
        <v>0</v>
      </c>
      <c r="N20" s="57">
        <v>0</v>
      </c>
      <c r="O20" s="57">
        <v>0</v>
      </c>
      <c r="P20" s="57">
        <v>0</v>
      </c>
      <c r="Q20" s="57">
        <v>0</v>
      </c>
      <c r="R20" s="57">
        <v>0</v>
      </c>
      <c r="S20" s="57">
        <v>0</v>
      </c>
      <c r="T20" s="57">
        <v>0</v>
      </c>
      <c r="U20" s="57">
        <v>0</v>
      </c>
      <c r="V20" s="57">
        <v>0</v>
      </c>
      <c r="W20" s="57">
        <v>0</v>
      </c>
      <c r="X20" s="57">
        <v>0</v>
      </c>
      <c r="Y20" s="57">
        <v>0</v>
      </c>
      <c r="Z20" s="57">
        <v>0</v>
      </c>
      <c r="AA20" s="57">
        <v>0</v>
      </c>
      <c r="AB20" s="57">
        <v>0</v>
      </c>
      <c r="AC20" s="57">
        <v>0</v>
      </c>
      <c r="AD20" s="57">
        <v>0</v>
      </c>
      <c r="AE20" s="57">
        <v>0</v>
      </c>
      <c r="AF20" s="57">
        <v>0</v>
      </c>
      <c r="AG20" s="57"/>
    </row>
    <row r="21" spans="1:33" ht="14" customHeight="1" x14ac:dyDescent="0.15">
      <c r="A21" s="48" t="s">
        <v>195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3" ht="14" customHeight="1" x14ac:dyDescent="0.15">
      <c r="A22" s="48" t="s">
        <v>196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3" ht="14" customHeight="1" x14ac:dyDescent="0.15">
      <c r="A23" s="48" t="s">
        <v>197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3" ht="14" customHeight="1" x14ac:dyDescent="0.15">
      <c r="A24" s="48" t="s">
        <v>198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3" ht="14" customHeight="1" x14ac:dyDescent="0.15">
      <c r="A25" s="48" t="s">
        <v>199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3" ht="14" customHeight="1" x14ac:dyDescent="0.15">
      <c r="A26" s="48" t="s">
        <v>200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3" ht="14" customHeight="1" x14ac:dyDescent="0.15"/>
    <row r="28" spans="1:33" ht="14.5" customHeight="1" x14ac:dyDescent="0.2">
      <c r="A28" s="29"/>
    </row>
    <row r="29" spans="1:33" ht="14" customHeight="1" x14ac:dyDescent="0.15"/>
    <row r="30" spans="1:33" ht="14.5" customHeight="1" x14ac:dyDescent="0.2">
      <c r="A30" s="29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 spans="1:33" ht="14" customHeight="1" x14ac:dyDescent="0.15"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 spans="1:33" ht="14" customHeight="1" x14ac:dyDescent="0.15"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 spans="1:35" ht="14.5" customHeight="1" x14ac:dyDescent="0.2">
      <c r="A33" s="29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 spans="1:35" ht="14" customHeight="1" x14ac:dyDescent="0.15">
      <c r="A34" s="31"/>
      <c r="B34" s="32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</row>
    <row r="35" spans="1:35" ht="14" customHeight="1" x14ac:dyDescent="0.15">
      <c r="A35" s="31"/>
      <c r="B35" s="32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58"/>
    </row>
    <row r="36" spans="1:35" ht="14" customHeight="1" x14ac:dyDescent="0.15">
      <c r="A36" s="31"/>
      <c r="B36" s="32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</row>
    <row r="37" spans="1:35" ht="14" customHeight="1" x14ac:dyDescent="0.15">
      <c r="A37" s="31"/>
      <c r="B37" s="32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</row>
    <row r="38" spans="1:35" ht="14" customHeight="1" x14ac:dyDescent="0.15">
      <c r="A38" s="31"/>
      <c r="B38" s="32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</row>
    <row r="39" spans="1:35" ht="14" customHeight="1" x14ac:dyDescent="0.15">
      <c r="A39" s="31"/>
      <c r="B39" s="32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</row>
    <row r="40" spans="1:35" ht="14" customHeight="1" x14ac:dyDescent="0.15">
      <c r="A40" s="31"/>
      <c r="B40" s="32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</row>
    <row r="41" spans="1:35" ht="14" customHeight="1" x14ac:dyDescent="0.15">
      <c r="A41" s="31"/>
      <c r="B41" s="32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</row>
    <row r="42" spans="1:35" ht="14" customHeight="1" x14ac:dyDescent="0.15">
      <c r="A42" s="31"/>
      <c r="B42" s="32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58"/>
      <c r="AG42" s="58"/>
      <c r="AH42" s="58"/>
      <c r="AI42" s="58"/>
    </row>
    <row r="43" spans="1:35" ht="14" customHeight="1" x14ac:dyDescent="0.15">
      <c r="A43" s="31"/>
      <c r="B43" s="32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  <c r="AD43" s="58"/>
      <c r="AE43" s="58"/>
      <c r="AF43" s="58"/>
      <c r="AG43" s="58"/>
      <c r="AH43" s="58"/>
      <c r="AI43" s="58"/>
    </row>
    <row r="44" spans="1:35" ht="14" customHeight="1" x14ac:dyDescent="0.15">
      <c r="A44" s="31"/>
      <c r="B44" s="32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</row>
    <row r="45" spans="1:35" ht="14" customHeight="1" x14ac:dyDescent="0.15">
      <c r="A45" s="31"/>
      <c r="B45" s="32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</row>
    <row r="46" spans="1:35" ht="14" customHeight="1" x14ac:dyDescent="0.15">
      <c r="A46" s="33"/>
      <c r="B46" s="34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</row>
    <row r="47" spans="1:35" ht="14.5" customHeight="1" x14ac:dyDescent="0.2">
      <c r="A47" s="29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 spans="1:35" ht="14" customHeight="1" x14ac:dyDescent="0.15">
      <c r="A48" s="31"/>
      <c r="B48" s="32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  <c r="AD48" s="58"/>
      <c r="AE48" s="58"/>
      <c r="AF48" s="58"/>
      <c r="AG48" s="58"/>
      <c r="AH48" s="58"/>
      <c r="AI48" s="58"/>
    </row>
    <row r="49" spans="1:35" ht="14" customHeight="1" x14ac:dyDescent="0.15">
      <c r="A49" s="31"/>
      <c r="B49" s="32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  <c r="AC49" s="58"/>
      <c r="AD49" s="58"/>
      <c r="AE49" s="58"/>
      <c r="AF49" s="58"/>
      <c r="AG49" s="58"/>
      <c r="AH49" s="58"/>
      <c r="AI49" s="58"/>
    </row>
    <row r="50" spans="1:35" ht="14.5" customHeight="1" x14ac:dyDescent="0.2">
      <c r="A50" s="35"/>
      <c r="B50" s="32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  <c r="AD50" s="58"/>
      <c r="AE50" s="58"/>
      <c r="AF50" s="58"/>
      <c r="AG50" s="58"/>
      <c r="AH50" s="58"/>
      <c r="AI50" s="58"/>
    </row>
    <row r="51" spans="1:35" ht="14" customHeight="1" x14ac:dyDescent="0.15">
      <c r="A51" s="31"/>
      <c r="B51" s="32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  <c r="AD51" s="58"/>
      <c r="AE51" s="58"/>
      <c r="AF51" s="58"/>
      <c r="AG51" s="58"/>
      <c r="AH51" s="58"/>
      <c r="AI51" s="58"/>
    </row>
    <row r="52" spans="1:35" ht="14" customHeight="1" x14ac:dyDescent="0.15">
      <c r="A52" s="31"/>
      <c r="B52" s="32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</row>
    <row r="53" spans="1:35" ht="14" customHeight="1" x14ac:dyDescent="0.15">
      <c r="A53" s="31"/>
      <c r="B53" s="32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</row>
    <row r="54" spans="1:35" ht="14" customHeight="1" x14ac:dyDescent="0.15">
      <c r="A54" s="31"/>
      <c r="B54" s="32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</row>
    <row r="55" spans="1:35" ht="14" customHeight="1" x14ac:dyDescent="0.15">
      <c r="A55" s="31"/>
      <c r="B55" s="32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  <c r="AB55" s="58"/>
      <c r="AC55" s="58"/>
      <c r="AD55" s="58"/>
      <c r="AE55" s="58"/>
      <c r="AF55" s="58"/>
      <c r="AG55" s="58"/>
      <c r="AH55" s="58"/>
      <c r="AI55" s="58"/>
    </row>
    <row r="56" spans="1:35" ht="14" customHeight="1" x14ac:dyDescent="0.15">
      <c r="A56" s="31"/>
      <c r="B56" s="36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  <c r="AD56" s="58"/>
      <c r="AE56" s="58"/>
      <c r="AF56" s="58"/>
      <c r="AG56" s="58"/>
      <c r="AH56" s="58"/>
      <c r="AI56" s="58"/>
    </row>
    <row r="57" spans="1:35" ht="14" customHeight="1" x14ac:dyDescent="0.15">
      <c r="A57" s="31"/>
      <c r="B57" s="36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  <c r="AI57" s="58"/>
    </row>
    <row r="58" spans="1:35" ht="14" customHeight="1" x14ac:dyDescent="0.15">
      <c r="A58" s="31"/>
      <c r="B58" s="36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</row>
    <row r="59" spans="1:35" ht="14" customHeight="1" x14ac:dyDescent="0.15">
      <c r="A59" s="31"/>
      <c r="B59" s="36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</row>
    <row r="60" spans="1:35" ht="14" customHeight="1" x14ac:dyDescent="0.15">
      <c r="A60" s="31"/>
      <c r="B60" s="36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  <c r="AB60" s="58"/>
      <c r="AC60" s="58"/>
      <c r="AD60" s="58"/>
      <c r="AE60" s="58"/>
      <c r="AF60" s="58"/>
      <c r="AG60" s="58"/>
      <c r="AH60" s="58"/>
      <c r="AI60" s="58"/>
    </row>
    <row r="61" spans="1:35" ht="14" customHeight="1" x14ac:dyDescent="0.15">
      <c r="A61" s="31"/>
      <c r="B61" s="3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</row>
    <row r="62" spans="1:35" ht="14" customHeight="1" x14ac:dyDescent="0.15">
      <c r="A62" s="33"/>
      <c r="B62" s="36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</row>
    <row r="63" spans="1:35" ht="14.5" customHeight="1" x14ac:dyDescent="0.2">
      <c r="A63" s="37"/>
      <c r="B63" s="36"/>
    </row>
    <row r="64" spans="1:35" ht="14" customHeight="1" x14ac:dyDescent="0.15">
      <c r="A64" s="31"/>
      <c r="B64" s="36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</row>
    <row r="65" spans="1:35" ht="14" customHeight="1" x14ac:dyDescent="0.15">
      <c r="A65" s="31"/>
      <c r="B65" s="36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</row>
    <row r="66" spans="1:35" ht="14" customHeight="1" x14ac:dyDescent="0.15">
      <c r="A66" s="31"/>
      <c r="B66" s="36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  <c r="AD66" s="58"/>
      <c r="AE66" s="58"/>
      <c r="AF66" s="58"/>
      <c r="AG66" s="58"/>
      <c r="AH66" s="58"/>
      <c r="AI66" s="58"/>
    </row>
    <row r="67" spans="1:35" ht="14" customHeight="1" x14ac:dyDescent="0.15">
      <c r="A67" s="31"/>
      <c r="B67" s="36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  <c r="AG67" s="58"/>
      <c r="AH67" s="58"/>
      <c r="AI67" s="58"/>
    </row>
    <row r="68" spans="1:35" ht="14" customHeight="1" x14ac:dyDescent="0.15">
      <c r="A68" s="31"/>
      <c r="B68" s="36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</row>
    <row r="69" spans="1:35" ht="14" customHeight="1" x14ac:dyDescent="0.15">
      <c r="A69" s="31"/>
      <c r="B69" s="36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</row>
    <row r="70" spans="1:35" ht="14" customHeight="1" x14ac:dyDescent="0.15">
      <c r="A70" s="31"/>
      <c r="B70" s="36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</row>
    <row r="71" spans="1:35" ht="14" customHeight="1" x14ac:dyDescent="0.15">
      <c r="A71" s="31"/>
      <c r="B71" s="36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</row>
    <row r="72" spans="1:35" ht="14" customHeight="1" x14ac:dyDescent="0.15">
      <c r="A72" s="31"/>
      <c r="B72" s="36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</row>
    <row r="73" spans="1:35" ht="14" customHeight="1" x14ac:dyDescent="0.15">
      <c r="A73" s="31"/>
      <c r="B73" s="36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  <c r="AD73" s="58"/>
      <c r="AE73" s="58"/>
      <c r="AF73" s="58"/>
      <c r="AG73" s="58"/>
      <c r="AH73" s="58"/>
      <c r="AI73" s="58"/>
    </row>
    <row r="74" spans="1:35" ht="14" customHeight="1" x14ac:dyDescent="0.15">
      <c r="A74" s="31"/>
      <c r="B74" s="36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  <c r="AD74" s="58"/>
      <c r="AE74" s="58"/>
      <c r="AF74" s="58"/>
      <c r="AG74" s="58"/>
      <c r="AH74" s="58"/>
      <c r="AI74" s="58"/>
    </row>
    <row r="75" spans="1:35" ht="14" customHeight="1" x14ac:dyDescent="0.15">
      <c r="A75" s="31"/>
      <c r="B75" s="36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</row>
    <row r="76" spans="1:35" ht="14" customHeight="1" x14ac:dyDescent="0.15">
      <c r="A76" s="33"/>
      <c r="B76" s="36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</row>
    <row r="77" spans="1:35" ht="14.5" customHeight="1" x14ac:dyDescent="0.2">
      <c r="A77" s="37"/>
      <c r="B77" s="36"/>
    </row>
    <row r="78" spans="1:35" ht="14.5" customHeight="1" x14ac:dyDescent="0.2">
      <c r="A78" s="37"/>
      <c r="B78" s="36"/>
    </row>
    <row r="79" spans="1:35" ht="14" customHeight="1" x14ac:dyDescent="0.15">
      <c r="A79" s="31"/>
      <c r="B79" s="36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  <c r="AB79" s="58"/>
      <c r="AC79" s="58"/>
      <c r="AD79" s="58"/>
      <c r="AE79" s="58"/>
      <c r="AF79" s="58"/>
      <c r="AG79" s="58"/>
      <c r="AH79" s="58"/>
      <c r="AI79" s="58"/>
    </row>
    <row r="80" spans="1:35" ht="14" customHeight="1" x14ac:dyDescent="0.15">
      <c r="A80" s="31"/>
      <c r="B80" s="36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</row>
    <row r="81" spans="1:35" ht="14" customHeight="1" x14ac:dyDescent="0.15">
      <c r="A81" s="31"/>
      <c r="B81" s="36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</row>
    <row r="82" spans="1:35" ht="14" customHeight="1" x14ac:dyDescent="0.15">
      <c r="A82" s="31"/>
      <c r="B82" s="32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  <c r="AD82" s="58"/>
      <c r="AE82" s="58"/>
      <c r="AF82" s="58"/>
      <c r="AG82" s="58"/>
      <c r="AH82" s="58"/>
      <c r="AI82" s="58"/>
    </row>
    <row r="83" spans="1:35" ht="14" customHeight="1" x14ac:dyDescent="0.15">
      <c r="A83" s="31"/>
      <c r="B83" s="32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  <c r="AB83" s="58"/>
      <c r="AC83" s="58"/>
      <c r="AD83" s="58"/>
      <c r="AE83" s="58"/>
      <c r="AF83" s="58"/>
      <c r="AG83" s="58"/>
      <c r="AH83" s="58"/>
      <c r="AI83" s="58"/>
    </row>
    <row r="84" spans="1:35" ht="14" customHeight="1" x14ac:dyDescent="0.15">
      <c r="A84" s="31"/>
      <c r="B84" s="32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</row>
    <row r="85" spans="1:35" ht="14" customHeight="1" x14ac:dyDescent="0.15">
      <c r="A85" s="31"/>
      <c r="B85" s="32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  <c r="AC85" s="58"/>
      <c r="AD85" s="58"/>
      <c r="AE85" s="58"/>
      <c r="AF85" s="58"/>
      <c r="AG85" s="58"/>
      <c r="AH85" s="58"/>
      <c r="AI85" s="58"/>
    </row>
    <row r="86" spans="1:35" ht="14" customHeight="1" x14ac:dyDescent="0.15">
      <c r="A86" s="31"/>
      <c r="B86" s="32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</row>
    <row r="87" spans="1:35" ht="14" customHeight="1" x14ac:dyDescent="0.15">
      <c r="A87" s="31"/>
      <c r="B87" s="32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  <c r="AC87" s="58"/>
      <c r="AD87" s="58"/>
      <c r="AE87" s="58"/>
      <c r="AF87" s="58"/>
      <c r="AG87" s="58"/>
      <c r="AH87" s="58"/>
      <c r="AI87" s="58"/>
    </row>
    <row r="88" spans="1:35" ht="14" customHeight="1" x14ac:dyDescent="0.15">
      <c r="A88" s="31"/>
      <c r="B88" s="32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  <c r="AB88" s="58"/>
      <c r="AC88" s="58"/>
      <c r="AD88" s="58"/>
      <c r="AE88" s="58"/>
      <c r="AF88" s="58"/>
      <c r="AG88" s="58"/>
      <c r="AH88" s="58"/>
      <c r="AI88" s="58"/>
    </row>
    <row r="89" spans="1:35" ht="14" customHeight="1" x14ac:dyDescent="0.15">
      <c r="A89" s="31"/>
      <c r="B89" s="32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  <c r="AD89" s="58"/>
      <c r="AE89" s="58"/>
      <c r="AF89" s="58"/>
      <c r="AG89" s="58"/>
      <c r="AH89" s="58"/>
      <c r="AI89" s="58"/>
    </row>
    <row r="90" spans="1:35" ht="14.5" customHeight="1" x14ac:dyDescent="0.2">
      <c r="A90" s="38"/>
      <c r="B90" s="32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  <c r="AB90" s="58"/>
      <c r="AC90" s="58"/>
      <c r="AD90" s="58"/>
      <c r="AE90" s="58"/>
      <c r="AF90" s="58"/>
      <c r="AG90" s="58"/>
      <c r="AH90" s="58"/>
      <c r="AI90" s="58"/>
    </row>
    <row r="91" spans="1:35" ht="14.5" customHeight="1" x14ac:dyDescent="0.2">
      <c r="A91" s="35"/>
      <c r="B91" s="32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</row>
    <row r="92" spans="1:35" ht="14" customHeight="1" x14ac:dyDescent="0.15">
      <c r="A92" s="31"/>
      <c r="B92" s="32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</row>
    <row r="93" spans="1:35" ht="14" customHeight="1" x14ac:dyDescent="0.15">
      <c r="A93" s="31"/>
      <c r="B93" s="32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  <c r="AB93" s="58"/>
      <c r="AC93" s="58"/>
      <c r="AD93" s="58"/>
      <c r="AE93" s="58"/>
      <c r="AF93" s="58"/>
      <c r="AG93" s="58"/>
      <c r="AH93" s="58"/>
      <c r="AI93" s="58"/>
    </row>
    <row r="94" spans="1:35" ht="14" customHeight="1" x14ac:dyDescent="0.15">
      <c r="A94" s="31"/>
      <c r="B94" s="32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  <c r="AB94" s="58"/>
      <c r="AC94" s="58"/>
      <c r="AD94" s="58"/>
      <c r="AE94" s="58"/>
      <c r="AF94" s="58"/>
      <c r="AG94" s="58"/>
      <c r="AH94" s="58"/>
      <c r="AI94" s="58"/>
    </row>
    <row r="95" spans="1:35" ht="14.5" customHeight="1" x14ac:dyDescent="0.2">
      <c r="A95" s="37"/>
    </row>
    <row r="96" spans="1:35" ht="14" customHeight="1" x14ac:dyDescent="0.15">
      <c r="A96" s="31"/>
      <c r="B96" s="32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  <c r="AB96" s="58"/>
      <c r="AC96" s="58"/>
      <c r="AD96" s="58"/>
      <c r="AE96" s="58"/>
      <c r="AF96" s="58"/>
      <c r="AG96" s="58"/>
      <c r="AH96" s="58"/>
      <c r="AI96" s="58"/>
    </row>
    <row r="97" spans="1:35" ht="14" customHeight="1" x14ac:dyDescent="0.15">
      <c r="A97" s="31"/>
      <c r="B97" s="32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  <c r="AA97" s="58"/>
      <c r="AB97" s="58"/>
      <c r="AC97" s="58"/>
      <c r="AD97" s="58"/>
      <c r="AE97" s="58"/>
      <c r="AF97" s="58"/>
      <c r="AG97" s="58"/>
      <c r="AH97" s="58"/>
      <c r="AI97" s="58"/>
    </row>
    <row r="98" spans="1:35" ht="14" customHeight="1" x14ac:dyDescent="0.15">
      <c r="A98" s="31"/>
      <c r="B98" s="32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  <c r="AA98" s="58"/>
      <c r="AB98" s="58"/>
      <c r="AC98" s="58"/>
      <c r="AD98" s="58"/>
      <c r="AE98" s="58"/>
      <c r="AF98" s="58"/>
      <c r="AG98" s="58"/>
      <c r="AH98" s="58"/>
      <c r="AI98" s="58"/>
    </row>
    <row r="99" spans="1:35" ht="14" customHeight="1" x14ac:dyDescent="0.15">
      <c r="A99" s="31"/>
      <c r="B99" s="32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  <c r="AA99" s="58"/>
      <c r="AB99" s="58"/>
      <c r="AC99" s="58"/>
      <c r="AD99" s="58"/>
      <c r="AE99" s="58"/>
      <c r="AF99" s="58"/>
      <c r="AG99" s="58"/>
      <c r="AH99" s="58"/>
      <c r="AI99" s="58"/>
    </row>
    <row r="100" spans="1:35" ht="14" customHeight="1" x14ac:dyDescent="0.15">
      <c r="A100" s="31"/>
      <c r="B100" s="32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  <c r="AB100" s="58"/>
      <c r="AC100" s="58"/>
      <c r="AD100" s="58"/>
      <c r="AE100" s="58"/>
      <c r="AF100" s="58"/>
      <c r="AG100" s="58"/>
      <c r="AH100" s="58"/>
      <c r="AI100" s="58"/>
    </row>
    <row r="101" spans="1:35" ht="14" customHeight="1" x14ac:dyDescent="0.15">
      <c r="A101" s="31"/>
      <c r="B101" s="32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  <c r="AA101" s="58"/>
      <c r="AB101" s="58"/>
      <c r="AC101" s="58"/>
      <c r="AD101" s="58"/>
      <c r="AE101" s="58"/>
      <c r="AF101" s="58"/>
      <c r="AG101" s="58"/>
      <c r="AH101" s="58"/>
      <c r="AI101" s="58"/>
    </row>
    <row r="102" spans="1:35" ht="14" customHeight="1" x14ac:dyDescent="0.15">
      <c r="A102" s="31"/>
      <c r="B102" s="32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</row>
    <row r="103" spans="1:35" ht="14" customHeight="1" x14ac:dyDescent="0.15">
      <c r="A103" s="31"/>
      <c r="B103" s="32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  <c r="AA103" s="58"/>
      <c r="AB103" s="58"/>
      <c r="AC103" s="58"/>
      <c r="AD103" s="58"/>
      <c r="AE103" s="58"/>
      <c r="AF103" s="58"/>
      <c r="AG103" s="58"/>
      <c r="AH103" s="58"/>
      <c r="AI103" s="58"/>
    </row>
    <row r="104" spans="1:35" ht="14" customHeight="1" x14ac:dyDescent="0.15">
      <c r="A104" s="31"/>
      <c r="B104" s="32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</row>
    <row r="105" spans="1:35" ht="14" customHeight="1" x14ac:dyDescent="0.15">
      <c r="A105" s="31"/>
      <c r="B105" s="32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  <c r="AH105" s="58"/>
      <c r="AI105" s="58"/>
    </row>
    <row r="106" spans="1:35" ht="14" customHeight="1" x14ac:dyDescent="0.15">
      <c r="A106" s="31"/>
      <c r="B106" s="32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</row>
    <row r="107" spans="1:35" ht="14" customHeight="1" x14ac:dyDescent="0.15">
      <c r="A107" s="33"/>
      <c r="B107" s="34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</row>
    <row r="108" spans="1:35" ht="14.5" customHeight="1" x14ac:dyDescent="0.2">
      <c r="A108" s="29"/>
    </row>
    <row r="109" spans="1:35" ht="14" customHeight="1" x14ac:dyDescent="0.15">
      <c r="A109" s="39"/>
      <c r="B109" s="40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</row>
    <row r="110" spans="1:35" ht="14" customHeight="1" x14ac:dyDescent="0.15">
      <c r="A110" s="39"/>
      <c r="B110" s="40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</row>
    <row r="111" spans="1:35" ht="14" customHeight="1" x14ac:dyDescent="0.15">
      <c r="A111" s="39"/>
      <c r="B111" s="43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</row>
    <row r="112" spans="1:35" ht="14" customHeight="1" x14ac:dyDescent="0.15">
      <c r="A112" s="39"/>
      <c r="B112" s="43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</row>
    <row r="113" spans="1:35" ht="14.5" customHeight="1" x14ac:dyDescent="0.2">
      <c r="A113" s="29"/>
    </row>
    <row r="114" spans="1:35" ht="14" customHeight="1" x14ac:dyDescent="0.15">
      <c r="A114" s="31"/>
      <c r="B114" s="32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</row>
    <row r="115" spans="1:35" ht="14" customHeight="1" x14ac:dyDescent="0.15">
      <c r="A115" s="31"/>
      <c r="B115" s="32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</row>
    <row r="116" spans="1:35" ht="14" customHeight="1" x14ac:dyDescent="0.15">
      <c r="A116" s="31"/>
      <c r="B116" s="32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</row>
    <row r="117" spans="1:35" ht="14" customHeight="1" x14ac:dyDescent="0.15">
      <c r="A117" s="31"/>
      <c r="B117" s="32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</row>
    <row r="118" spans="1:35" ht="14" customHeight="1" x14ac:dyDescent="0.15">
      <c r="A118" s="31"/>
      <c r="B118" s="32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  <c r="AA118" s="58"/>
      <c r="AB118" s="58"/>
      <c r="AC118" s="58"/>
      <c r="AD118" s="58"/>
      <c r="AE118" s="58"/>
      <c r="AF118" s="58"/>
      <c r="AG118" s="58"/>
      <c r="AH118" s="58"/>
      <c r="AI118" s="58"/>
    </row>
    <row r="119" spans="1:35" ht="14" customHeight="1" x14ac:dyDescent="0.15">
      <c r="A119" s="31"/>
      <c r="B119" s="32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  <c r="AA119" s="58"/>
      <c r="AB119" s="58"/>
      <c r="AC119" s="58"/>
      <c r="AD119" s="58"/>
      <c r="AE119" s="58"/>
      <c r="AF119" s="58"/>
      <c r="AG119" s="58"/>
      <c r="AH119" s="58"/>
      <c r="AI119" s="58"/>
    </row>
    <row r="120" spans="1:35" ht="14" customHeight="1" x14ac:dyDescent="0.15">
      <c r="A120" s="31"/>
      <c r="B120" s="32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  <c r="AA120" s="58"/>
      <c r="AB120" s="58"/>
      <c r="AC120" s="58"/>
      <c r="AD120" s="58"/>
      <c r="AE120" s="58"/>
      <c r="AF120" s="58"/>
      <c r="AG120" s="58"/>
      <c r="AH120" s="58"/>
      <c r="AI120" s="58"/>
    </row>
    <row r="121" spans="1:35" ht="14" customHeight="1" x14ac:dyDescent="0.15">
      <c r="A121" s="31"/>
      <c r="B121" s="32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</row>
    <row r="122" spans="1:35" ht="14" customHeight="1" x14ac:dyDescent="0.15">
      <c r="A122" s="31"/>
      <c r="B122" s="32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</row>
    <row r="123" spans="1:35" ht="14" customHeight="1" x14ac:dyDescent="0.15">
      <c r="A123" s="31"/>
      <c r="B123" s="32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</row>
    <row r="124" spans="1:35" ht="14" customHeight="1" x14ac:dyDescent="0.15">
      <c r="A124" s="33"/>
      <c r="B124" s="34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</row>
    <row r="125" spans="1:35" ht="14.5" customHeight="1" x14ac:dyDescent="0.2">
      <c r="A125" s="29"/>
    </row>
    <row r="126" spans="1:35" ht="14.5" customHeight="1" x14ac:dyDescent="0.2">
      <c r="A126" s="35"/>
      <c r="B126" s="32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</row>
    <row r="127" spans="1:35" ht="14" customHeight="1" x14ac:dyDescent="0.15">
      <c r="A127" s="31"/>
      <c r="B127" s="32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</row>
    <row r="128" spans="1:35" ht="14" customHeight="1" x14ac:dyDescent="0.15">
      <c r="A128" s="31"/>
      <c r="B128" s="32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</row>
    <row r="129" spans="1:35" ht="14" customHeight="1" x14ac:dyDescent="0.15">
      <c r="A129" s="31"/>
      <c r="B129" s="32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</row>
    <row r="130" spans="1:35" ht="14" customHeight="1" x14ac:dyDescent="0.15">
      <c r="A130" s="31"/>
      <c r="B130" s="32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</row>
    <row r="131" spans="1:35" ht="14" customHeight="1" x14ac:dyDescent="0.15">
      <c r="A131" s="31"/>
      <c r="B131" s="32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</row>
    <row r="132" spans="1:35" ht="14" customHeight="1" x14ac:dyDescent="0.15">
      <c r="A132" s="31"/>
      <c r="B132" s="32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</row>
    <row r="133" spans="1:35" ht="14" customHeight="1" x14ac:dyDescent="0.15">
      <c r="A133" s="31"/>
      <c r="B133" s="32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</row>
    <row r="134" spans="1:35" ht="14" customHeight="1" x14ac:dyDescent="0.15">
      <c r="A134" s="31"/>
      <c r="B134" s="32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</row>
    <row r="135" spans="1:35" ht="14" customHeight="1" x14ac:dyDescent="0.15">
      <c r="A135" s="31"/>
      <c r="B135" s="32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</row>
    <row r="136" spans="1:35" ht="14" customHeight="1" x14ac:dyDescent="0.15">
      <c r="A136" s="31"/>
      <c r="B136" s="32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</row>
    <row r="137" spans="1:35" ht="14" customHeight="1" x14ac:dyDescent="0.15">
      <c r="A137" s="31"/>
      <c r="B137" s="32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</row>
    <row r="138" spans="1:35" ht="14" customHeight="1" x14ac:dyDescent="0.15">
      <c r="A138" s="31"/>
      <c r="B138" s="32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</row>
    <row r="139" spans="1:35" ht="14" customHeight="1" x14ac:dyDescent="0.15">
      <c r="A139" s="31"/>
      <c r="B139" s="32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</row>
    <row r="140" spans="1:35" ht="14" customHeight="1" x14ac:dyDescent="0.15">
      <c r="A140" s="31"/>
      <c r="B140" s="32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</row>
    <row r="141" spans="1:35" ht="14" customHeight="1" x14ac:dyDescent="0.15">
      <c r="A141" s="31"/>
      <c r="B141" s="32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</row>
    <row r="142" spans="1:35" ht="14" customHeight="1" x14ac:dyDescent="0.15">
      <c r="A142" s="31"/>
      <c r="B142" s="32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</row>
    <row r="143" spans="1:35" ht="14" customHeight="1" x14ac:dyDescent="0.15">
      <c r="A143" s="31"/>
      <c r="B143" s="32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</row>
    <row r="144" spans="1:35" ht="14" customHeight="1" x14ac:dyDescent="0.15">
      <c r="A144" s="31"/>
      <c r="B144" s="32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</row>
    <row r="145" spans="1:35" ht="14" customHeight="1" x14ac:dyDescent="0.15">
      <c r="A145" s="31"/>
      <c r="B145" s="32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</row>
    <row r="146" spans="1:35" ht="14" customHeight="1" x14ac:dyDescent="0.15">
      <c r="A146" s="33"/>
      <c r="B146" s="34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</row>
    <row r="147" spans="1:35" ht="14" customHeight="1" x14ac:dyDescent="0.15">
      <c r="A147" s="31"/>
      <c r="B147" s="32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</row>
    <row r="148" spans="1:35" ht="14" customHeight="1" x14ac:dyDescent="0.15">
      <c r="A148" s="33"/>
      <c r="B148" s="34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</row>
    <row r="149" spans="1:35" ht="14" customHeight="1" x14ac:dyDescent="0.15"/>
    <row r="150" spans="1:35" ht="14" customHeight="1" x14ac:dyDescent="0.15">
      <c r="C150" s="60"/>
      <c r="D150" s="60"/>
      <c r="E150" s="60"/>
      <c r="F150" s="60"/>
      <c r="G150" s="60"/>
      <c r="H150" s="60"/>
      <c r="I150" s="60"/>
      <c r="J150" s="60"/>
      <c r="K150" s="60"/>
      <c r="L150" s="60"/>
    </row>
    <row r="151" spans="1:35" ht="14" customHeight="1" x14ac:dyDescent="0.15">
      <c r="C151" s="60"/>
      <c r="D151" s="60"/>
      <c r="E151" s="60"/>
      <c r="F151" s="60"/>
      <c r="G151" s="60"/>
      <c r="H151" s="60"/>
      <c r="I151" s="60"/>
      <c r="J151" s="60"/>
      <c r="K151" s="60"/>
      <c r="L151" s="60"/>
    </row>
    <row r="152" spans="1:35" ht="14" customHeight="1" x14ac:dyDescent="0.15"/>
    <row r="153" spans="1:35" ht="14" customHeight="1" x14ac:dyDescent="0.15"/>
    <row r="154" spans="1:35" ht="14" customHeight="1" x14ac:dyDescent="0.15"/>
    <row r="155" spans="1:35" ht="14" customHeight="1" x14ac:dyDescent="0.15"/>
    <row r="156" spans="1:35" ht="14" customHeight="1" x14ac:dyDescent="0.15"/>
    <row r="157" spans="1:35" ht="14" customHeight="1" x14ac:dyDescent="0.15"/>
    <row r="158" spans="1:35" ht="14" customHeight="1" x14ac:dyDescent="0.15"/>
    <row r="159" spans="1:35" ht="14" customHeight="1" x14ac:dyDescent="0.15"/>
    <row r="160" spans="1:35" ht="14" customHeight="1" x14ac:dyDescent="0.15"/>
    <row r="161" ht="14" customHeight="1" x14ac:dyDescent="0.15"/>
    <row r="162" ht="14" customHeight="1" x14ac:dyDescent="0.15"/>
    <row r="163" ht="14" customHeight="1" x14ac:dyDescent="0.15"/>
    <row r="164" ht="14" customHeight="1" x14ac:dyDescent="0.15"/>
    <row r="165" ht="14" customHeight="1" x14ac:dyDescent="0.15"/>
    <row r="166" ht="14" customHeight="1" x14ac:dyDescent="0.15"/>
    <row r="167" ht="14" customHeight="1" x14ac:dyDescent="0.15"/>
    <row r="168" ht="14" customHeight="1" x14ac:dyDescent="0.15"/>
    <row r="169" ht="14" customHeight="1" x14ac:dyDescent="0.15"/>
    <row r="170" ht="14" customHeight="1" x14ac:dyDescent="0.15"/>
    <row r="171" ht="14" customHeight="1" x14ac:dyDescent="0.15"/>
    <row r="172" ht="14" customHeight="1" x14ac:dyDescent="0.15"/>
    <row r="173" ht="14" customHeight="1" x14ac:dyDescent="0.15"/>
    <row r="174" ht="14" customHeight="1" x14ac:dyDescent="0.15"/>
    <row r="175" ht="14" customHeight="1" x14ac:dyDescent="0.15"/>
    <row r="176" ht="14" customHeight="1" x14ac:dyDescent="0.15"/>
    <row r="177" ht="14" customHeight="1" x14ac:dyDescent="0.15"/>
    <row r="178" ht="14" customHeight="1" x14ac:dyDescent="0.15"/>
    <row r="179" ht="14" customHeight="1" x14ac:dyDescent="0.15"/>
    <row r="180" ht="14" customHeight="1" x14ac:dyDescent="0.15"/>
    <row r="181" ht="14" customHeight="1" x14ac:dyDescent="0.15"/>
    <row r="182" ht="14" customHeight="1" x14ac:dyDescent="0.15"/>
    <row r="183" ht="14" customHeight="1" x14ac:dyDescent="0.15"/>
    <row r="184" ht="14" customHeight="1" x14ac:dyDescent="0.15"/>
    <row r="185" ht="14" customHeight="1" x14ac:dyDescent="0.15"/>
    <row r="186" ht="14" customHeight="1" x14ac:dyDescent="0.15"/>
    <row r="187" ht="14" customHeight="1" x14ac:dyDescent="0.15"/>
    <row r="188" ht="14" customHeight="1" x14ac:dyDescent="0.15"/>
    <row r="189" ht="14" customHeight="1" x14ac:dyDescent="0.15"/>
    <row r="190" ht="14" customHeight="1" x14ac:dyDescent="0.15"/>
    <row r="191" ht="14" customHeight="1" x14ac:dyDescent="0.15"/>
    <row r="192" ht="14" customHeight="1" x14ac:dyDescent="0.15"/>
    <row r="193" ht="14" customHeight="1" x14ac:dyDescent="0.15"/>
    <row r="194" ht="14" customHeight="1" x14ac:dyDescent="0.15"/>
    <row r="195" ht="14" customHeight="1" x14ac:dyDescent="0.15"/>
    <row r="196" ht="14" customHeight="1" x14ac:dyDescent="0.15"/>
    <row r="197" ht="14" customHeight="1" x14ac:dyDescent="0.15"/>
    <row r="198" ht="14" customHeight="1" x14ac:dyDescent="0.15"/>
    <row r="199" ht="14" customHeight="1" x14ac:dyDescent="0.15"/>
    <row r="200" ht="14" customHeight="1" x14ac:dyDescent="0.15"/>
    <row r="201" ht="14" customHeight="1" x14ac:dyDescent="0.15"/>
    <row r="202" ht="14" customHeight="1" x14ac:dyDescent="0.15"/>
    <row r="203" ht="14" customHeight="1" x14ac:dyDescent="0.15"/>
    <row r="204" ht="14" customHeight="1" x14ac:dyDescent="0.15"/>
    <row r="205" ht="14" customHeight="1" x14ac:dyDescent="0.15"/>
    <row r="206" ht="14" customHeight="1" x14ac:dyDescent="0.15"/>
    <row r="207" ht="14" customHeight="1" x14ac:dyDescent="0.15"/>
    <row r="208" ht="14" customHeight="1" x14ac:dyDescent="0.15"/>
    <row r="209" ht="14" customHeight="1" x14ac:dyDescent="0.15"/>
    <row r="210" ht="14" customHeight="1" x14ac:dyDescent="0.15"/>
    <row r="211" ht="14" customHeight="1" x14ac:dyDescent="0.15"/>
    <row r="212" ht="14" customHeight="1" x14ac:dyDescent="0.15"/>
    <row r="213" ht="14" customHeight="1" x14ac:dyDescent="0.15"/>
    <row r="214" ht="14" customHeight="1" x14ac:dyDescent="0.15"/>
    <row r="215" ht="14" customHeight="1" x14ac:dyDescent="0.15"/>
    <row r="216" ht="14" customHeight="1" x14ac:dyDescent="0.15"/>
    <row r="217" ht="14" customHeight="1" x14ac:dyDescent="0.15"/>
    <row r="218" ht="14" customHeight="1" x14ac:dyDescent="0.15"/>
    <row r="219" ht="14" customHeight="1" x14ac:dyDescent="0.15"/>
    <row r="220" ht="14" customHeight="1" x14ac:dyDescent="0.15"/>
    <row r="221" ht="14" customHeight="1" x14ac:dyDescent="0.15"/>
    <row r="222" ht="14" customHeight="1" x14ac:dyDescent="0.15"/>
    <row r="223" ht="14" customHeight="1" x14ac:dyDescent="0.15"/>
    <row r="224" ht="14" customHeight="1" x14ac:dyDescent="0.15"/>
    <row r="225" ht="14" customHeight="1" x14ac:dyDescent="0.15"/>
    <row r="226" ht="14" customHeight="1" x14ac:dyDescent="0.15"/>
    <row r="227" ht="14" customHeight="1" x14ac:dyDescent="0.15"/>
    <row r="228" ht="14" customHeight="1" x14ac:dyDescent="0.15"/>
    <row r="229" ht="14" customHeight="1" x14ac:dyDescent="0.15"/>
    <row r="230" ht="14" customHeight="1" x14ac:dyDescent="0.15"/>
    <row r="231" ht="14" customHeight="1" x14ac:dyDescent="0.15"/>
    <row r="232" ht="14" customHeight="1" x14ac:dyDescent="0.15"/>
    <row r="233" ht="14" customHeight="1" x14ac:dyDescent="0.15"/>
    <row r="234" ht="14" customHeight="1" x14ac:dyDescent="0.15"/>
    <row r="235" ht="14" customHeight="1" x14ac:dyDescent="0.15"/>
    <row r="236" ht="14" customHeight="1" x14ac:dyDescent="0.15"/>
    <row r="237" ht="14" customHeight="1" x14ac:dyDescent="0.15"/>
    <row r="238" ht="14" customHeight="1" x14ac:dyDescent="0.15"/>
    <row r="239" ht="14" customHeight="1" x14ac:dyDescent="0.15"/>
    <row r="240" ht="14" customHeight="1" x14ac:dyDescent="0.15"/>
    <row r="241" ht="14" customHeight="1" x14ac:dyDescent="0.15"/>
    <row r="242" ht="14" customHeight="1" x14ac:dyDescent="0.15"/>
    <row r="243" ht="14" customHeight="1" x14ac:dyDescent="0.15"/>
    <row r="244" ht="14" customHeight="1" x14ac:dyDescent="0.15"/>
    <row r="245" ht="14" customHeight="1" x14ac:dyDescent="0.15"/>
    <row r="246" ht="14" customHeight="1" x14ac:dyDescent="0.15"/>
    <row r="247" ht="14" customHeight="1" x14ac:dyDescent="0.15"/>
    <row r="248" ht="14" customHeight="1" x14ac:dyDescent="0.15"/>
    <row r="249" ht="14" customHeight="1" x14ac:dyDescent="0.15"/>
    <row r="250" ht="14" customHeight="1" x14ac:dyDescent="0.15"/>
    <row r="251" ht="14" customHeight="1" x14ac:dyDescent="0.15"/>
    <row r="252" ht="14" customHeight="1" x14ac:dyDescent="0.15"/>
    <row r="253" ht="14" customHeight="1" x14ac:dyDescent="0.15"/>
    <row r="254" ht="14" customHeight="1" x14ac:dyDescent="0.15"/>
    <row r="255" ht="14" customHeight="1" x14ac:dyDescent="0.15"/>
    <row r="256" ht="14" customHeight="1" x14ac:dyDescent="0.15"/>
    <row r="257" ht="14" customHeight="1" x14ac:dyDescent="0.15"/>
    <row r="258" ht="14" customHeight="1" x14ac:dyDescent="0.15"/>
    <row r="259" ht="14" customHeight="1" x14ac:dyDescent="0.15"/>
    <row r="260" ht="14" customHeight="1" x14ac:dyDescent="0.15"/>
    <row r="261" ht="14" customHeight="1" x14ac:dyDescent="0.15"/>
    <row r="262" ht="14" customHeight="1" x14ac:dyDescent="0.15"/>
    <row r="263" ht="14" customHeight="1" x14ac:dyDescent="0.15"/>
    <row r="264" ht="14" customHeight="1" x14ac:dyDescent="0.15"/>
    <row r="265" ht="14" customHeight="1" x14ac:dyDescent="0.15"/>
    <row r="266" ht="14" customHeight="1" x14ac:dyDescent="0.15"/>
    <row r="267" ht="14" customHeight="1" x14ac:dyDescent="0.15"/>
    <row r="268" ht="14" customHeight="1" x14ac:dyDescent="0.15"/>
    <row r="269" ht="14" customHeight="1" x14ac:dyDescent="0.15"/>
    <row r="270" ht="14" customHeight="1" x14ac:dyDescent="0.15"/>
    <row r="271" ht="14" customHeight="1" x14ac:dyDescent="0.15"/>
    <row r="272" ht="14" customHeight="1" x14ac:dyDescent="0.15"/>
    <row r="273" ht="14" customHeight="1" x14ac:dyDescent="0.15"/>
    <row r="274" ht="14" customHeight="1" x14ac:dyDescent="0.15"/>
    <row r="275" ht="14" customHeight="1" x14ac:dyDescent="0.15"/>
    <row r="276" ht="14" customHeight="1" x14ac:dyDescent="0.15"/>
    <row r="277" ht="14" customHeight="1" x14ac:dyDescent="0.15"/>
    <row r="278" ht="14" customHeight="1" x14ac:dyDescent="0.15"/>
    <row r="279" ht="14" customHeight="1" x14ac:dyDescent="0.15"/>
    <row r="280" ht="14" customHeight="1" x14ac:dyDescent="0.15"/>
    <row r="281" ht="14" customHeight="1" x14ac:dyDescent="0.15"/>
    <row r="282" ht="14" customHeight="1" x14ac:dyDescent="0.15"/>
    <row r="283" ht="14" customHeight="1" x14ac:dyDescent="0.15"/>
    <row r="284" ht="14" customHeight="1" x14ac:dyDescent="0.15"/>
    <row r="285" ht="14" customHeight="1" x14ac:dyDescent="0.15"/>
    <row r="286" ht="14" customHeight="1" x14ac:dyDescent="0.15"/>
    <row r="287" ht="14" customHeight="1" x14ac:dyDescent="0.15"/>
    <row r="288" ht="14" customHeight="1" x14ac:dyDescent="0.15"/>
    <row r="289" ht="14" customHeight="1" x14ac:dyDescent="0.15"/>
    <row r="290" ht="14" customHeight="1" x14ac:dyDescent="0.15"/>
    <row r="291" ht="14" customHeight="1" x14ac:dyDescent="0.15"/>
    <row r="292" ht="14" customHeight="1" x14ac:dyDescent="0.15"/>
    <row r="293" ht="14" customHeight="1" x14ac:dyDescent="0.15"/>
    <row r="294" ht="14" customHeight="1" x14ac:dyDescent="0.15"/>
    <row r="295" ht="14" customHeight="1" x14ac:dyDescent="0.15"/>
    <row r="296" ht="14" customHeight="1" x14ac:dyDescent="0.15"/>
    <row r="297" ht="14" customHeight="1" x14ac:dyDescent="0.15"/>
    <row r="298" ht="14" customHeight="1" x14ac:dyDescent="0.15"/>
    <row r="299" ht="14" customHeight="1" x14ac:dyDescent="0.15"/>
    <row r="300" ht="14" customHeight="1" x14ac:dyDescent="0.15"/>
    <row r="301" ht="14" customHeight="1" x14ac:dyDescent="0.15"/>
    <row r="302" ht="14" customHeight="1" x14ac:dyDescent="0.15"/>
    <row r="303" ht="14" customHeight="1" x14ac:dyDescent="0.15"/>
    <row r="304" ht="14" customHeight="1" x14ac:dyDescent="0.15"/>
    <row r="305" ht="14" customHeight="1" x14ac:dyDescent="0.15"/>
    <row r="306" ht="14" customHeight="1" x14ac:dyDescent="0.15"/>
    <row r="307" ht="14" customHeight="1" x14ac:dyDescent="0.15"/>
    <row r="308" ht="14" customHeight="1" x14ac:dyDescent="0.15"/>
    <row r="309" ht="14" customHeight="1" x14ac:dyDescent="0.15"/>
    <row r="310" ht="14" customHeight="1" x14ac:dyDescent="0.15"/>
    <row r="311" ht="14" customHeight="1" x14ac:dyDescent="0.15"/>
    <row r="312" ht="14" customHeight="1" x14ac:dyDescent="0.15"/>
    <row r="313" ht="14" customHeight="1" x14ac:dyDescent="0.15"/>
    <row r="314" ht="14" customHeight="1" x14ac:dyDescent="0.15"/>
    <row r="315" ht="14" customHeight="1" x14ac:dyDescent="0.15"/>
    <row r="316" ht="14" customHeight="1" x14ac:dyDescent="0.15"/>
    <row r="317" ht="14" customHeight="1" x14ac:dyDescent="0.15"/>
    <row r="318" ht="14" customHeight="1" x14ac:dyDescent="0.15"/>
    <row r="319" ht="14" customHeight="1" x14ac:dyDescent="0.15"/>
    <row r="320" ht="14" customHeight="1" x14ac:dyDescent="0.15"/>
    <row r="321" ht="14" customHeight="1" x14ac:dyDescent="0.15"/>
    <row r="322" ht="14" customHeight="1" x14ac:dyDescent="0.15"/>
    <row r="323" ht="14" customHeight="1" x14ac:dyDescent="0.15"/>
    <row r="324" ht="14" customHeight="1" x14ac:dyDescent="0.15"/>
    <row r="325" ht="14" customHeight="1" x14ac:dyDescent="0.15"/>
    <row r="326" ht="14" customHeight="1" x14ac:dyDescent="0.15"/>
    <row r="327" ht="14" customHeight="1" x14ac:dyDescent="0.15"/>
    <row r="328" ht="14" customHeight="1" x14ac:dyDescent="0.15"/>
    <row r="329" ht="14" customHeight="1" x14ac:dyDescent="0.15"/>
    <row r="330" ht="14" customHeight="1" x14ac:dyDescent="0.15"/>
    <row r="331" ht="14" customHeight="1" x14ac:dyDescent="0.15"/>
    <row r="332" ht="14" customHeight="1" x14ac:dyDescent="0.15"/>
    <row r="333" ht="14" customHeight="1" x14ac:dyDescent="0.15"/>
    <row r="334" ht="14" customHeight="1" x14ac:dyDescent="0.15"/>
    <row r="335" ht="14" customHeight="1" x14ac:dyDescent="0.15"/>
    <row r="336" ht="14" customHeight="1" x14ac:dyDescent="0.15"/>
    <row r="337" ht="14" customHeight="1" x14ac:dyDescent="0.15"/>
    <row r="338" ht="14" customHeight="1" x14ac:dyDescent="0.15"/>
    <row r="339" ht="14" customHeight="1" x14ac:dyDescent="0.15"/>
    <row r="340" ht="14" customHeight="1" x14ac:dyDescent="0.15"/>
    <row r="341" ht="14" customHeight="1" x14ac:dyDescent="0.15"/>
    <row r="342" ht="14" customHeight="1" x14ac:dyDescent="0.15"/>
    <row r="343" ht="14" customHeight="1" x14ac:dyDescent="0.15"/>
    <row r="344" ht="14" customHeight="1" x14ac:dyDescent="0.15"/>
    <row r="345" ht="14" customHeight="1" x14ac:dyDescent="0.15"/>
    <row r="346" ht="14" customHeight="1" x14ac:dyDescent="0.15"/>
    <row r="347" ht="14" customHeight="1" x14ac:dyDescent="0.15"/>
    <row r="348" ht="14" customHeight="1" x14ac:dyDescent="0.15"/>
    <row r="349" ht="14" customHeight="1" x14ac:dyDescent="0.15"/>
    <row r="350" ht="14" customHeight="1" x14ac:dyDescent="0.15"/>
    <row r="351" ht="14" customHeight="1" x14ac:dyDescent="0.15"/>
    <row r="352" ht="14" customHeight="1" x14ac:dyDescent="0.15"/>
    <row r="353" ht="14" customHeight="1" x14ac:dyDescent="0.15"/>
    <row r="354" ht="14" customHeight="1" x14ac:dyDescent="0.15"/>
    <row r="355" ht="14" customHeight="1" x14ac:dyDescent="0.15"/>
    <row r="356" ht="14" customHeight="1" x14ac:dyDescent="0.15"/>
    <row r="357" ht="14" customHeight="1" x14ac:dyDescent="0.15"/>
    <row r="358" ht="14" customHeight="1" x14ac:dyDescent="0.15"/>
    <row r="359" ht="14" customHeight="1" x14ac:dyDescent="0.15"/>
    <row r="360" ht="14" customHeight="1" x14ac:dyDescent="0.15"/>
    <row r="361" ht="14" customHeight="1" x14ac:dyDescent="0.15"/>
    <row r="362" ht="14" customHeight="1" x14ac:dyDescent="0.15"/>
    <row r="363" ht="14" customHeight="1" x14ac:dyDescent="0.15"/>
    <row r="364" ht="14" customHeight="1" x14ac:dyDescent="0.15"/>
    <row r="365" ht="14" customHeight="1" x14ac:dyDescent="0.15"/>
    <row r="366" ht="14" customHeight="1" x14ac:dyDescent="0.15"/>
    <row r="367" ht="14" customHeight="1" x14ac:dyDescent="0.15"/>
    <row r="368" ht="14" customHeight="1" x14ac:dyDescent="0.15"/>
    <row r="369" ht="14" customHeight="1" x14ac:dyDescent="0.15"/>
    <row r="370" ht="14" customHeight="1" x14ac:dyDescent="0.15"/>
    <row r="371" ht="14" customHeight="1" x14ac:dyDescent="0.15"/>
    <row r="372" ht="14" customHeight="1" x14ac:dyDescent="0.15"/>
    <row r="373" ht="14" customHeight="1" x14ac:dyDescent="0.15"/>
    <row r="374" ht="14" customHeight="1" x14ac:dyDescent="0.15"/>
    <row r="375" ht="14" customHeight="1" x14ac:dyDescent="0.15"/>
    <row r="376" ht="14" customHeight="1" x14ac:dyDescent="0.15"/>
    <row r="377" ht="14" customHeight="1" x14ac:dyDescent="0.15"/>
    <row r="378" ht="14" customHeight="1" x14ac:dyDescent="0.15"/>
    <row r="379" ht="14" customHeight="1" x14ac:dyDescent="0.15"/>
    <row r="380" ht="14" customHeight="1" x14ac:dyDescent="0.15"/>
    <row r="381" ht="14" customHeight="1" x14ac:dyDescent="0.15"/>
    <row r="382" ht="14" customHeight="1" x14ac:dyDescent="0.15"/>
    <row r="383" ht="14" customHeight="1" x14ac:dyDescent="0.15"/>
    <row r="384" ht="14" customHeight="1" x14ac:dyDescent="0.15"/>
    <row r="385" ht="14" customHeight="1" x14ac:dyDescent="0.15"/>
    <row r="386" ht="14" customHeight="1" x14ac:dyDescent="0.15"/>
    <row r="387" ht="14" customHeight="1" x14ac:dyDescent="0.15"/>
    <row r="388" ht="14" customHeight="1" x14ac:dyDescent="0.15"/>
    <row r="389" ht="14" customHeight="1" x14ac:dyDescent="0.15"/>
    <row r="390" ht="14" customHeight="1" x14ac:dyDescent="0.15"/>
    <row r="391" ht="14" customHeight="1" x14ac:dyDescent="0.15"/>
    <row r="392" ht="14" customHeight="1" x14ac:dyDescent="0.15"/>
    <row r="393" ht="14" customHeight="1" x14ac:dyDescent="0.15"/>
    <row r="394" ht="14" customHeight="1" x14ac:dyDescent="0.15"/>
    <row r="395" ht="14" customHeight="1" x14ac:dyDescent="0.15"/>
    <row r="396" ht="14" customHeight="1" x14ac:dyDescent="0.15"/>
    <row r="397" ht="14" customHeight="1" x14ac:dyDescent="0.15"/>
    <row r="398" ht="14" customHeight="1" x14ac:dyDescent="0.15"/>
    <row r="399" ht="14" customHeight="1" x14ac:dyDescent="0.15"/>
    <row r="400" ht="14" customHeight="1" x14ac:dyDescent="0.15"/>
    <row r="401" ht="14" customHeight="1" x14ac:dyDescent="0.15"/>
    <row r="402" ht="14" customHeight="1" x14ac:dyDescent="0.15"/>
    <row r="403" ht="14" customHeight="1" x14ac:dyDescent="0.15"/>
    <row r="404" ht="14" customHeight="1" x14ac:dyDescent="0.15"/>
    <row r="405" ht="14" customHeight="1" x14ac:dyDescent="0.15"/>
    <row r="406" ht="14" customHeight="1" x14ac:dyDescent="0.15"/>
    <row r="407" ht="14" customHeight="1" x14ac:dyDescent="0.15"/>
    <row r="408" ht="14" customHeight="1" x14ac:dyDescent="0.15"/>
    <row r="409" ht="14" customHeight="1" x14ac:dyDescent="0.15"/>
    <row r="410" ht="14" customHeight="1" x14ac:dyDescent="0.15"/>
    <row r="411" ht="14" customHeight="1" x14ac:dyDescent="0.15"/>
    <row r="412" ht="14" customHeight="1" x14ac:dyDescent="0.15"/>
    <row r="413" ht="14" customHeight="1" x14ac:dyDescent="0.15"/>
    <row r="414" ht="14" customHeight="1" x14ac:dyDescent="0.15"/>
    <row r="415" ht="14" customHeight="1" x14ac:dyDescent="0.15"/>
    <row r="416" ht="14" customHeight="1" x14ac:dyDescent="0.15"/>
    <row r="417" ht="14" customHeight="1" x14ac:dyDescent="0.15"/>
    <row r="418" ht="14" customHeight="1" x14ac:dyDescent="0.15"/>
    <row r="419" ht="14" customHeight="1" x14ac:dyDescent="0.15"/>
    <row r="420" ht="14" customHeight="1" x14ac:dyDescent="0.15"/>
    <row r="421" ht="14" customHeight="1" x14ac:dyDescent="0.15"/>
    <row r="422" ht="14" customHeight="1" x14ac:dyDescent="0.15"/>
    <row r="423" ht="14" customHeight="1" x14ac:dyDescent="0.15"/>
    <row r="424" ht="14" customHeight="1" x14ac:dyDescent="0.15"/>
    <row r="425" ht="14" customHeight="1" x14ac:dyDescent="0.15"/>
    <row r="426" ht="14" customHeight="1" x14ac:dyDescent="0.15"/>
    <row r="427" ht="14" customHeight="1" x14ac:dyDescent="0.15"/>
    <row r="428" ht="14" customHeight="1" x14ac:dyDescent="0.15"/>
    <row r="429" ht="14" customHeight="1" x14ac:dyDescent="0.15"/>
    <row r="430" ht="14" customHeight="1" x14ac:dyDescent="0.15"/>
    <row r="431" ht="14" customHeight="1" x14ac:dyDescent="0.15"/>
    <row r="432" ht="14" customHeight="1" x14ac:dyDescent="0.15"/>
    <row r="433" ht="14" customHeight="1" x14ac:dyDescent="0.15"/>
    <row r="434" ht="14" customHeight="1" x14ac:dyDescent="0.15"/>
    <row r="435" ht="14" customHeight="1" x14ac:dyDescent="0.15"/>
    <row r="436" ht="14" customHeight="1" x14ac:dyDescent="0.15"/>
    <row r="437" ht="14" customHeight="1" x14ac:dyDescent="0.15"/>
    <row r="438" ht="14" customHeight="1" x14ac:dyDescent="0.15"/>
    <row r="439" ht="14" customHeight="1" x14ac:dyDescent="0.15"/>
    <row r="440" ht="14" customHeight="1" x14ac:dyDescent="0.15"/>
    <row r="441" ht="14" customHeight="1" x14ac:dyDescent="0.15"/>
    <row r="442" ht="14" customHeight="1" x14ac:dyDescent="0.15"/>
    <row r="443" ht="14" customHeight="1" x14ac:dyDescent="0.15"/>
    <row r="444" ht="14" customHeight="1" x14ac:dyDescent="0.15"/>
    <row r="445" ht="14" customHeight="1" x14ac:dyDescent="0.15"/>
    <row r="446" ht="14" customHeight="1" x14ac:dyDescent="0.15"/>
    <row r="447" ht="14" customHeight="1" x14ac:dyDescent="0.15"/>
    <row r="448" ht="14" customHeight="1" x14ac:dyDescent="0.15"/>
    <row r="449" ht="14" customHeight="1" x14ac:dyDescent="0.15"/>
    <row r="450" ht="14" customHeight="1" x14ac:dyDescent="0.15"/>
    <row r="451" ht="14" customHeight="1" x14ac:dyDescent="0.15"/>
    <row r="452" ht="14" customHeight="1" x14ac:dyDescent="0.15"/>
    <row r="453" ht="14" customHeight="1" x14ac:dyDescent="0.15"/>
    <row r="454" ht="14" customHeight="1" x14ac:dyDescent="0.15"/>
    <row r="455" ht="14" customHeight="1" x14ac:dyDescent="0.15"/>
    <row r="456" ht="14" customHeight="1" x14ac:dyDescent="0.15"/>
    <row r="457" ht="14" customHeight="1" x14ac:dyDescent="0.15"/>
    <row r="458" ht="14" customHeight="1" x14ac:dyDescent="0.15"/>
    <row r="459" ht="14" customHeight="1" x14ac:dyDescent="0.15"/>
    <row r="460" ht="14" customHeight="1" x14ac:dyDescent="0.15"/>
    <row r="461" ht="14" customHeight="1" x14ac:dyDescent="0.15"/>
    <row r="462" ht="14" customHeight="1" x14ac:dyDescent="0.15"/>
    <row r="463" ht="14" customHeight="1" x14ac:dyDescent="0.15"/>
    <row r="464" ht="14" customHeight="1" x14ac:dyDescent="0.15"/>
    <row r="465" ht="14" customHeight="1" x14ac:dyDescent="0.15"/>
    <row r="466" ht="14" customHeight="1" x14ac:dyDescent="0.15"/>
    <row r="467" ht="14" customHeight="1" x14ac:dyDescent="0.15"/>
    <row r="468" ht="14" customHeight="1" x14ac:dyDescent="0.15"/>
    <row r="469" ht="14" customHeight="1" x14ac:dyDescent="0.15"/>
    <row r="470" ht="14" customHeight="1" x14ac:dyDescent="0.15"/>
    <row r="471" ht="14" customHeight="1" x14ac:dyDescent="0.15"/>
    <row r="472" ht="14" customHeight="1" x14ac:dyDescent="0.15"/>
    <row r="473" ht="14" customHeight="1" x14ac:dyDescent="0.15"/>
    <row r="474" ht="14" customHeight="1" x14ac:dyDescent="0.15"/>
    <row r="475" ht="14" customHeight="1" x14ac:dyDescent="0.15"/>
    <row r="476" ht="14" customHeight="1" x14ac:dyDescent="0.15"/>
    <row r="477" ht="14" customHeight="1" x14ac:dyDescent="0.15"/>
    <row r="478" ht="14" customHeight="1" x14ac:dyDescent="0.15"/>
    <row r="479" ht="14" customHeight="1" x14ac:dyDescent="0.15"/>
    <row r="480" ht="14" customHeight="1" x14ac:dyDescent="0.15"/>
    <row r="481" ht="14" customHeight="1" x14ac:dyDescent="0.15"/>
    <row r="482" ht="14" customHeight="1" x14ac:dyDescent="0.15"/>
    <row r="483" ht="14" customHeight="1" x14ac:dyDescent="0.15"/>
    <row r="484" ht="14" customHeight="1" x14ac:dyDescent="0.15"/>
    <row r="485" ht="14" customHeight="1" x14ac:dyDescent="0.15"/>
    <row r="486" ht="14" customHeight="1" x14ac:dyDescent="0.15"/>
    <row r="487" ht="14" customHeight="1" x14ac:dyDescent="0.15"/>
    <row r="488" ht="14" customHeight="1" x14ac:dyDescent="0.15"/>
    <row r="489" ht="14" customHeight="1" x14ac:dyDescent="0.15"/>
    <row r="490" ht="14" customHeight="1" x14ac:dyDescent="0.15"/>
    <row r="491" ht="14" customHeight="1" x14ac:dyDescent="0.15"/>
    <row r="492" ht="14" customHeight="1" x14ac:dyDescent="0.15"/>
    <row r="493" ht="14" customHeight="1" x14ac:dyDescent="0.15"/>
    <row r="494" ht="14" customHeight="1" x14ac:dyDescent="0.15"/>
    <row r="495" ht="14" customHeight="1" x14ac:dyDescent="0.15"/>
    <row r="496" ht="14" customHeight="1" x14ac:dyDescent="0.15"/>
    <row r="497" ht="14" customHeight="1" x14ac:dyDescent="0.15"/>
    <row r="498" ht="14" customHeight="1" x14ac:dyDescent="0.15"/>
    <row r="499" ht="14" customHeight="1" x14ac:dyDescent="0.15"/>
    <row r="500" ht="14" customHeight="1" x14ac:dyDescent="0.15"/>
    <row r="501" ht="14" customHeight="1" x14ac:dyDescent="0.15"/>
    <row r="502" ht="14" customHeight="1" x14ac:dyDescent="0.15"/>
    <row r="503" ht="14" customHeight="1" x14ac:dyDescent="0.15"/>
    <row r="504" ht="14" customHeight="1" x14ac:dyDescent="0.15"/>
    <row r="505" ht="14" customHeight="1" x14ac:dyDescent="0.15"/>
    <row r="506" ht="14" customHeight="1" x14ac:dyDescent="0.15"/>
    <row r="507" ht="14" customHeight="1" x14ac:dyDescent="0.15"/>
    <row r="508" ht="14" customHeight="1" x14ac:dyDescent="0.15"/>
    <row r="509" ht="14" customHeight="1" x14ac:dyDescent="0.15"/>
    <row r="510" ht="14" customHeight="1" x14ac:dyDescent="0.15"/>
    <row r="511" ht="14" customHeight="1" x14ac:dyDescent="0.15"/>
    <row r="512" ht="14" customHeight="1" x14ac:dyDescent="0.15"/>
    <row r="513" ht="14" customHeight="1" x14ac:dyDescent="0.15"/>
    <row r="514" ht="14" customHeight="1" x14ac:dyDescent="0.15"/>
    <row r="515" ht="14" customHeight="1" x14ac:dyDescent="0.15"/>
    <row r="516" ht="14" customHeight="1" x14ac:dyDescent="0.15"/>
    <row r="517" ht="14" customHeight="1" x14ac:dyDescent="0.15"/>
    <row r="518" ht="14" customHeight="1" x14ac:dyDescent="0.15"/>
    <row r="519" ht="14" customHeight="1" x14ac:dyDescent="0.15"/>
    <row r="520" ht="14" customHeight="1" x14ac:dyDescent="0.15"/>
    <row r="521" ht="14" customHeight="1" x14ac:dyDescent="0.15"/>
    <row r="522" ht="14" customHeight="1" x14ac:dyDescent="0.15"/>
    <row r="523" ht="14" customHeight="1" x14ac:dyDescent="0.15"/>
    <row r="524" ht="14" customHeight="1" x14ac:dyDescent="0.15"/>
    <row r="525" ht="14" customHeight="1" x14ac:dyDescent="0.15"/>
    <row r="526" ht="14" customHeight="1" x14ac:dyDescent="0.15"/>
    <row r="527" ht="14" customHeight="1" x14ac:dyDescent="0.15"/>
    <row r="528" ht="14" customHeight="1" x14ac:dyDescent="0.15"/>
    <row r="529" ht="14" customHeight="1" x14ac:dyDescent="0.15"/>
    <row r="530" ht="14" customHeight="1" x14ac:dyDescent="0.15"/>
    <row r="531" ht="14" customHeight="1" x14ac:dyDescent="0.15"/>
    <row r="532" ht="14" customHeight="1" x14ac:dyDescent="0.15"/>
    <row r="533" ht="14" customHeight="1" x14ac:dyDescent="0.15"/>
    <row r="534" ht="14" customHeight="1" x14ac:dyDescent="0.15"/>
    <row r="535" ht="14" customHeight="1" x14ac:dyDescent="0.15"/>
    <row r="536" ht="14" customHeight="1" x14ac:dyDescent="0.15"/>
    <row r="537" ht="14" customHeight="1" x14ac:dyDescent="0.15"/>
    <row r="538" ht="14" customHeight="1" x14ac:dyDescent="0.15"/>
    <row r="539" ht="14" customHeight="1" x14ac:dyDescent="0.15"/>
    <row r="540" ht="14" customHeight="1" x14ac:dyDescent="0.15"/>
    <row r="541" ht="14" customHeight="1" x14ac:dyDescent="0.15"/>
    <row r="542" ht="14" customHeight="1" x14ac:dyDescent="0.15"/>
    <row r="543" ht="14" customHeight="1" x14ac:dyDescent="0.15"/>
    <row r="544" ht="14" customHeight="1" x14ac:dyDescent="0.15"/>
    <row r="545" ht="14" customHeight="1" x14ac:dyDescent="0.15"/>
    <row r="546" ht="14" customHeight="1" x14ac:dyDescent="0.15"/>
    <row r="547" ht="14" customHeight="1" x14ac:dyDescent="0.15"/>
    <row r="548" ht="14" customHeight="1" x14ac:dyDescent="0.15"/>
    <row r="549" ht="14" customHeight="1" x14ac:dyDescent="0.15"/>
    <row r="550" ht="14" customHeight="1" x14ac:dyDescent="0.15"/>
    <row r="551" ht="14" customHeight="1" x14ac:dyDescent="0.15"/>
    <row r="552" ht="14" customHeight="1" x14ac:dyDescent="0.15"/>
    <row r="553" ht="14" customHeight="1" x14ac:dyDescent="0.15"/>
    <row r="554" ht="14" customHeight="1" x14ac:dyDescent="0.15"/>
    <row r="555" ht="14" customHeight="1" x14ac:dyDescent="0.15"/>
    <row r="556" ht="14" customHeight="1" x14ac:dyDescent="0.15"/>
    <row r="557" ht="14" customHeight="1" x14ac:dyDescent="0.15"/>
    <row r="558" ht="14" customHeight="1" x14ac:dyDescent="0.15"/>
    <row r="559" ht="14" customHeight="1" x14ac:dyDescent="0.15"/>
    <row r="560" ht="14" customHeight="1" x14ac:dyDescent="0.15"/>
    <row r="561" ht="14" customHeight="1" x14ac:dyDescent="0.15"/>
    <row r="562" ht="14" customHeight="1" x14ac:dyDescent="0.15"/>
    <row r="563" ht="14" customHeight="1" x14ac:dyDescent="0.15"/>
    <row r="564" ht="14" customHeight="1" x14ac:dyDescent="0.15"/>
    <row r="565" ht="14" customHeight="1" x14ac:dyDescent="0.15"/>
    <row r="566" ht="14" customHeight="1" x14ac:dyDescent="0.15"/>
    <row r="567" ht="14" customHeight="1" x14ac:dyDescent="0.15"/>
    <row r="568" ht="14" customHeight="1" x14ac:dyDescent="0.15"/>
    <row r="569" ht="14" customHeight="1" x14ac:dyDescent="0.15"/>
    <row r="570" ht="14" customHeight="1" x14ac:dyDescent="0.15"/>
    <row r="571" ht="14" customHeight="1" x14ac:dyDescent="0.15"/>
    <row r="572" ht="14" customHeight="1" x14ac:dyDescent="0.15"/>
    <row r="573" ht="14" customHeight="1" x14ac:dyDescent="0.15"/>
    <row r="574" ht="14" customHeight="1" x14ac:dyDescent="0.15"/>
    <row r="575" ht="14" customHeight="1" x14ac:dyDescent="0.15"/>
    <row r="576" ht="14" customHeight="1" x14ac:dyDescent="0.15"/>
    <row r="577" ht="14" customHeight="1" x14ac:dyDescent="0.15"/>
    <row r="578" ht="14" customHeight="1" x14ac:dyDescent="0.15"/>
    <row r="579" ht="14" customHeight="1" x14ac:dyDescent="0.15"/>
    <row r="580" ht="14" customHeight="1" x14ac:dyDescent="0.15"/>
    <row r="581" ht="14" customHeight="1" x14ac:dyDescent="0.15"/>
    <row r="582" ht="14" customHeight="1" x14ac:dyDescent="0.15"/>
    <row r="583" ht="14" customHeight="1" x14ac:dyDescent="0.15"/>
    <row r="584" ht="14" customHeight="1" x14ac:dyDescent="0.15"/>
    <row r="585" ht="14" customHeight="1" x14ac:dyDescent="0.15"/>
    <row r="586" ht="14" customHeight="1" x14ac:dyDescent="0.15"/>
    <row r="587" ht="14" customHeight="1" x14ac:dyDescent="0.15"/>
    <row r="588" ht="14" customHeight="1" x14ac:dyDescent="0.15"/>
    <row r="589" ht="14" customHeight="1" x14ac:dyDescent="0.15"/>
    <row r="590" ht="14" customHeight="1" x14ac:dyDescent="0.15"/>
    <row r="591" ht="14" customHeight="1" x14ac:dyDescent="0.15"/>
    <row r="592" ht="14" customHeight="1" x14ac:dyDescent="0.15"/>
    <row r="593" ht="14" customHeight="1" x14ac:dyDescent="0.15"/>
    <row r="594" ht="14" customHeight="1" x14ac:dyDescent="0.15"/>
    <row r="595" ht="14" customHeight="1" x14ac:dyDescent="0.15"/>
    <row r="596" ht="14" customHeight="1" x14ac:dyDescent="0.15"/>
    <row r="597" ht="14" customHeight="1" x14ac:dyDescent="0.15"/>
    <row r="598" ht="14" customHeight="1" x14ac:dyDescent="0.15"/>
    <row r="599" ht="14" customHeight="1" x14ac:dyDescent="0.15"/>
    <row r="600" ht="14" customHeight="1" x14ac:dyDescent="0.15"/>
    <row r="601" ht="14" customHeight="1" x14ac:dyDescent="0.15"/>
    <row r="602" ht="14" customHeight="1" x14ac:dyDescent="0.15"/>
    <row r="603" ht="14" customHeight="1" x14ac:dyDescent="0.15"/>
    <row r="604" ht="14" customHeight="1" x14ac:dyDescent="0.15"/>
    <row r="605" ht="14" customHeight="1" x14ac:dyDescent="0.15"/>
    <row r="606" ht="14" customHeight="1" x14ac:dyDescent="0.15"/>
    <row r="607" ht="14" customHeight="1" x14ac:dyDescent="0.15"/>
    <row r="608" ht="14" customHeight="1" x14ac:dyDescent="0.15"/>
    <row r="609" ht="14" customHeight="1" x14ac:dyDescent="0.15"/>
    <row r="610" ht="14" customHeight="1" x14ac:dyDescent="0.15"/>
    <row r="611" ht="14" customHeight="1" x14ac:dyDescent="0.15"/>
    <row r="612" ht="14" customHeight="1" x14ac:dyDescent="0.15"/>
    <row r="613" ht="14" customHeight="1" x14ac:dyDescent="0.15"/>
    <row r="614" ht="14" customHeight="1" x14ac:dyDescent="0.15"/>
    <row r="615" ht="14" customHeight="1" x14ac:dyDescent="0.15"/>
    <row r="616" ht="14" customHeight="1" x14ac:dyDescent="0.15"/>
    <row r="617" ht="14" customHeight="1" x14ac:dyDescent="0.15"/>
    <row r="618" ht="14" customHeight="1" x14ac:dyDescent="0.15"/>
    <row r="619" ht="14" customHeight="1" x14ac:dyDescent="0.15"/>
    <row r="620" ht="14" customHeight="1" x14ac:dyDescent="0.15"/>
    <row r="621" ht="14" customHeight="1" x14ac:dyDescent="0.15"/>
    <row r="622" ht="14" customHeight="1" x14ac:dyDescent="0.15"/>
    <row r="623" ht="14" customHeight="1" x14ac:dyDescent="0.15"/>
    <row r="624" ht="14" customHeight="1" x14ac:dyDescent="0.15"/>
    <row r="625" ht="14" customHeight="1" x14ac:dyDescent="0.15"/>
    <row r="626" ht="14" customHeight="1" x14ac:dyDescent="0.15"/>
    <row r="627" ht="14" customHeight="1" x14ac:dyDescent="0.15"/>
    <row r="628" ht="14" customHeight="1" x14ac:dyDescent="0.15"/>
    <row r="629" ht="14" customHeight="1" x14ac:dyDescent="0.15"/>
    <row r="630" ht="14" customHeight="1" x14ac:dyDescent="0.15"/>
    <row r="631" ht="14" customHeight="1" x14ac:dyDescent="0.15"/>
    <row r="632" ht="14" customHeight="1" x14ac:dyDescent="0.15"/>
    <row r="633" ht="14" customHeight="1" x14ac:dyDescent="0.15"/>
    <row r="634" ht="14" customHeight="1" x14ac:dyDescent="0.15"/>
    <row r="635" ht="14" customHeight="1" x14ac:dyDescent="0.15"/>
    <row r="636" ht="14" customHeight="1" x14ac:dyDescent="0.15"/>
    <row r="637" ht="14" customHeight="1" x14ac:dyDescent="0.15"/>
    <row r="638" ht="14" customHeight="1" x14ac:dyDescent="0.15"/>
    <row r="639" ht="14" customHeight="1" x14ac:dyDescent="0.15"/>
    <row r="640" ht="14" customHeight="1" x14ac:dyDescent="0.15"/>
    <row r="641" ht="14" customHeight="1" x14ac:dyDescent="0.15"/>
    <row r="642" ht="14" customHeight="1" x14ac:dyDescent="0.15"/>
    <row r="643" ht="14" customHeight="1" x14ac:dyDescent="0.15"/>
    <row r="644" ht="14" customHeight="1" x14ac:dyDescent="0.15"/>
    <row r="645" ht="14" customHeight="1" x14ac:dyDescent="0.15"/>
    <row r="646" ht="14" customHeight="1" x14ac:dyDescent="0.15"/>
    <row r="647" ht="14" customHeight="1" x14ac:dyDescent="0.15"/>
    <row r="648" ht="14" customHeight="1" x14ac:dyDescent="0.15"/>
    <row r="649" ht="14" customHeight="1" x14ac:dyDescent="0.15"/>
    <row r="650" ht="14" customHeight="1" x14ac:dyDescent="0.15"/>
    <row r="651" ht="14" customHeight="1" x14ac:dyDescent="0.15"/>
    <row r="652" ht="14" customHeight="1" x14ac:dyDescent="0.15"/>
    <row r="653" ht="14" customHeight="1" x14ac:dyDescent="0.15"/>
    <row r="654" ht="14" customHeight="1" x14ac:dyDescent="0.15"/>
    <row r="655" ht="14" customHeight="1" x14ac:dyDescent="0.15"/>
    <row r="656" ht="14" customHeight="1" x14ac:dyDescent="0.15"/>
    <row r="657" ht="14" customHeight="1" x14ac:dyDescent="0.15"/>
    <row r="658" ht="14" customHeight="1" x14ac:dyDescent="0.15"/>
    <row r="659" ht="14" customHeight="1" x14ac:dyDescent="0.15"/>
    <row r="660" ht="14" customHeight="1" x14ac:dyDescent="0.15"/>
    <row r="661" ht="14" customHeight="1" x14ac:dyDescent="0.15"/>
    <row r="662" ht="14" customHeight="1" x14ac:dyDescent="0.15"/>
    <row r="663" ht="14" customHeight="1" x14ac:dyDescent="0.15"/>
    <row r="664" ht="14" customHeight="1" x14ac:dyDescent="0.15"/>
    <row r="665" ht="14" customHeight="1" x14ac:dyDescent="0.15"/>
    <row r="666" ht="14" customHeight="1" x14ac:dyDescent="0.15"/>
    <row r="667" ht="14" customHeight="1" x14ac:dyDescent="0.15"/>
    <row r="668" ht="14" customHeight="1" x14ac:dyDescent="0.15"/>
    <row r="669" ht="14" customHeight="1" x14ac:dyDescent="0.15"/>
    <row r="670" ht="14" customHeight="1" x14ac:dyDescent="0.15"/>
    <row r="671" ht="14" customHeight="1" x14ac:dyDescent="0.15"/>
    <row r="672" ht="14" customHeight="1" x14ac:dyDescent="0.15"/>
    <row r="673" ht="14" customHeight="1" x14ac:dyDescent="0.15"/>
    <row r="674" ht="14" customHeight="1" x14ac:dyDescent="0.15"/>
    <row r="675" ht="14" customHeight="1" x14ac:dyDescent="0.15"/>
    <row r="676" ht="14" customHeight="1" x14ac:dyDescent="0.15"/>
    <row r="677" ht="14" customHeight="1" x14ac:dyDescent="0.15"/>
    <row r="678" ht="14" customHeight="1" x14ac:dyDescent="0.15"/>
    <row r="679" ht="14" customHeight="1" x14ac:dyDescent="0.15"/>
    <row r="680" ht="14" customHeight="1" x14ac:dyDescent="0.15"/>
    <row r="681" ht="14" customHeight="1" x14ac:dyDescent="0.15"/>
    <row r="682" ht="14" customHeight="1" x14ac:dyDescent="0.15"/>
    <row r="683" ht="14" customHeight="1" x14ac:dyDescent="0.15"/>
    <row r="684" ht="14" customHeight="1" x14ac:dyDescent="0.15"/>
    <row r="685" ht="14" customHeight="1" x14ac:dyDescent="0.15"/>
    <row r="686" ht="14" customHeight="1" x14ac:dyDescent="0.15"/>
    <row r="687" ht="14" customHeight="1" x14ac:dyDescent="0.15"/>
    <row r="688" ht="14" customHeight="1" x14ac:dyDescent="0.15"/>
    <row r="689" ht="14" customHeight="1" x14ac:dyDescent="0.15"/>
    <row r="690" ht="14" customHeight="1" x14ac:dyDescent="0.15"/>
    <row r="691" ht="14" customHeight="1" x14ac:dyDescent="0.15"/>
    <row r="692" ht="14" customHeight="1" x14ac:dyDescent="0.15"/>
    <row r="693" ht="14" customHeight="1" x14ac:dyDescent="0.15"/>
    <row r="694" ht="14" customHeight="1" x14ac:dyDescent="0.15"/>
    <row r="695" ht="14" customHeight="1" x14ac:dyDescent="0.15"/>
    <row r="696" ht="14" customHeight="1" x14ac:dyDescent="0.15"/>
    <row r="697" ht="14" customHeight="1" x14ac:dyDescent="0.15"/>
    <row r="698" ht="14" customHeight="1" x14ac:dyDescent="0.15"/>
    <row r="699" ht="14" customHeight="1" x14ac:dyDescent="0.15"/>
    <row r="700" ht="14" customHeight="1" x14ac:dyDescent="0.15"/>
    <row r="701" ht="14" customHeight="1" x14ac:dyDescent="0.15"/>
    <row r="702" ht="14" customHeight="1" x14ac:dyDescent="0.15"/>
    <row r="703" ht="14" customHeight="1" x14ac:dyDescent="0.15"/>
    <row r="704" ht="14" customHeight="1" x14ac:dyDescent="0.15"/>
    <row r="705" ht="14" customHeight="1" x14ac:dyDescent="0.15"/>
    <row r="706" ht="14" customHeight="1" x14ac:dyDescent="0.15"/>
    <row r="707" ht="14" customHeight="1" x14ac:dyDescent="0.15"/>
    <row r="708" ht="14" customHeight="1" x14ac:dyDescent="0.15"/>
    <row r="709" ht="14" customHeight="1" x14ac:dyDescent="0.15"/>
    <row r="710" ht="14" customHeight="1" x14ac:dyDescent="0.15"/>
    <row r="711" ht="14" customHeight="1" x14ac:dyDescent="0.15"/>
    <row r="712" ht="14" customHeight="1" x14ac:dyDescent="0.15"/>
    <row r="713" ht="14" customHeight="1" x14ac:dyDescent="0.15"/>
    <row r="714" ht="14" customHeight="1" x14ac:dyDescent="0.15"/>
    <row r="715" ht="14" customHeight="1" x14ac:dyDescent="0.15"/>
    <row r="716" ht="14" customHeight="1" x14ac:dyDescent="0.15"/>
    <row r="717" ht="14" customHeight="1" x14ac:dyDescent="0.15"/>
    <row r="718" ht="14" customHeight="1" x14ac:dyDescent="0.15"/>
    <row r="719" ht="14" customHeight="1" x14ac:dyDescent="0.15"/>
    <row r="720" ht="14" customHeight="1" x14ac:dyDescent="0.15"/>
    <row r="721" ht="14" customHeight="1" x14ac:dyDescent="0.15"/>
    <row r="722" ht="14" customHeight="1" x14ac:dyDescent="0.15"/>
    <row r="723" ht="14" customHeight="1" x14ac:dyDescent="0.15"/>
    <row r="724" ht="14" customHeight="1" x14ac:dyDescent="0.15"/>
    <row r="725" ht="14" customHeight="1" x14ac:dyDescent="0.15"/>
    <row r="726" ht="14" customHeight="1" x14ac:dyDescent="0.15"/>
    <row r="727" ht="14" customHeight="1" x14ac:dyDescent="0.15"/>
    <row r="728" ht="14" customHeight="1" x14ac:dyDescent="0.15"/>
    <row r="729" ht="14" customHeight="1" x14ac:dyDescent="0.15"/>
    <row r="730" ht="14" customHeight="1" x14ac:dyDescent="0.15"/>
    <row r="731" ht="14" customHeight="1" x14ac:dyDescent="0.15"/>
    <row r="732" ht="14" customHeight="1" x14ac:dyDescent="0.15"/>
    <row r="733" ht="14" customHeight="1" x14ac:dyDescent="0.15"/>
    <row r="734" ht="14" customHeight="1" x14ac:dyDescent="0.15"/>
    <row r="735" ht="14" customHeight="1" x14ac:dyDescent="0.15"/>
    <row r="736" ht="14" customHeight="1" x14ac:dyDescent="0.15"/>
    <row r="737" ht="14" customHeight="1" x14ac:dyDescent="0.15"/>
    <row r="738" ht="14" customHeight="1" x14ac:dyDescent="0.15"/>
    <row r="739" ht="14" customHeight="1" x14ac:dyDescent="0.15"/>
    <row r="740" ht="14" customHeight="1" x14ac:dyDescent="0.15"/>
    <row r="741" ht="14" customHeight="1" x14ac:dyDescent="0.15"/>
    <row r="742" ht="14" customHeight="1" x14ac:dyDescent="0.15"/>
    <row r="743" ht="14" customHeight="1" x14ac:dyDescent="0.15"/>
    <row r="744" ht="14" customHeight="1" x14ac:dyDescent="0.15"/>
    <row r="745" ht="14" customHeight="1" x14ac:dyDescent="0.15"/>
    <row r="746" ht="14" customHeight="1" x14ac:dyDescent="0.15"/>
    <row r="747" ht="14" customHeight="1" x14ac:dyDescent="0.15"/>
    <row r="748" ht="14" customHeight="1" x14ac:dyDescent="0.15"/>
    <row r="749" ht="14" customHeight="1" x14ac:dyDescent="0.15"/>
    <row r="750" ht="14" customHeight="1" x14ac:dyDescent="0.15"/>
    <row r="751" ht="14" customHeight="1" x14ac:dyDescent="0.15"/>
    <row r="752" ht="14" customHeight="1" x14ac:dyDescent="0.15"/>
    <row r="753" ht="14" customHeight="1" x14ac:dyDescent="0.15"/>
    <row r="754" ht="14" customHeight="1" x14ac:dyDescent="0.15"/>
    <row r="755" ht="14" customHeight="1" x14ac:dyDescent="0.15"/>
    <row r="756" ht="14" customHeight="1" x14ac:dyDescent="0.15"/>
    <row r="757" ht="14" customHeight="1" x14ac:dyDescent="0.15"/>
    <row r="758" ht="14" customHeight="1" x14ac:dyDescent="0.15"/>
    <row r="759" ht="14" customHeight="1" x14ac:dyDescent="0.15"/>
    <row r="760" ht="14" customHeight="1" x14ac:dyDescent="0.15"/>
    <row r="761" ht="14" customHeight="1" x14ac:dyDescent="0.15"/>
    <row r="762" ht="14" customHeight="1" x14ac:dyDescent="0.15"/>
    <row r="763" ht="14" customHeight="1" x14ac:dyDescent="0.15"/>
    <row r="764" ht="14" customHeight="1" x14ac:dyDescent="0.15"/>
    <row r="765" ht="14" customHeight="1" x14ac:dyDescent="0.15"/>
    <row r="766" ht="14" customHeight="1" x14ac:dyDescent="0.15"/>
    <row r="767" ht="14" customHeight="1" x14ac:dyDescent="0.15"/>
    <row r="768" ht="14" customHeight="1" x14ac:dyDescent="0.15"/>
    <row r="769" ht="14" customHeight="1" x14ac:dyDescent="0.15"/>
    <row r="770" ht="14" customHeight="1" x14ac:dyDescent="0.15"/>
    <row r="771" ht="14" customHeight="1" x14ac:dyDescent="0.15"/>
    <row r="772" ht="14" customHeight="1" x14ac:dyDescent="0.15"/>
    <row r="773" ht="14" customHeight="1" x14ac:dyDescent="0.15"/>
    <row r="774" ht="14" customHeight="1" x14ac:dyDescent="0.15"/>
    <row r="775" ht="14" customHeight="1" x14ac:dyDescent="0.15"/>
    <row r="776" ht="14" customHeight="1" x14ac:dyDescent="0.15"/>
    <row r="777" ht="14" customHeight="1" x14ac:dyDescent="0.15"/>
    <row r="778" ht="14" customHeight="1" x14ac:dyDescent="0.15"/>
    <row r="779" ht="14" customHeight="1" x14ac:dyDescent="0.15"/>
    <row r="780" ht="14" customHeight="1" x14ac:dyDescent="0.15"/>
    <row r="781" ht="14" customHeight="1" x14ac:dyDescent="0.15"/>
    <row r="782" ht="14" customHeight="1" x14ac:dyDescent="0.15"/>
    <row r="783" ht="14" customHeight="1" x14ac:dyDescent="0.15"/>
    <row r="784" ht="14" customHeight="1" x14ac:dyDescent="0.15"/>
    <row r="785" ht="14" customHeight="1" x14ac:dyDescent="0.15"/>
    <row r="786" ht="14" customHeight="1" x14ac:dyDescent="0.15"/>
    <row r="787" ht="14" customHeight="1" x14ac:dyDescent="0.15"/>
    <row r="788" ht="14" customHeight="1" x14ac:dyDescent="0.15"/>
    <row r="789" ht="14" customHeight="1" x14ac:dyDescent="0.15"/>
    <row r="790" ht="14" customHeight="1" x14ac:dyDescent="0.15"/>
    <row r="791" ht="14" customHeight="1" x14ac:dyDescent="0.15"/>
    <row r="792" ht="14" customHeight="1" x14ac:dyDescent="0.15"/>
    <row r="793" ht="14" customHeight="1" x14ac:dyDescent="0.15"/>
    <row r="794" ht="14" customHeight="1" x14ac:dyDescent="0.15"/>
    <row r="795" ht="14" customHeight="1" x14ac:dyDescent="0.15"/>
    <row r="796" ht="14" customHeight="1" x14ac:dyDescent="0.15"/>
    <row r="797" ht="14" customHeight="1" x14ac:dyDescent="0.15"/>
    <row r="798" ht="14" customHeight="1" x14ac:dyDescent="0.15"/>
    <row r="799" ht="14" customHeight="1" x14ac:dyDescent="0.15"/>
    <row r="800" ht="14" customHeight="1" x14ac:dyDescent="0.15"/>
    <row r="801" ht="14" customHeight="1" x14ac:dyDescent="0.15"/>
    <row r="802" ht="14" customHeight="1" x14ac:dyDescent="0.15"/>
    <row r="803" ht="14" customHeight="1" x14ac:dyDescent="0.15"/>
    <row r="804" ht="14" customHeight="1" x14ac:dyDescent="0.15"/>
    <row r="805" ht="14" customHeight="1" x14ac:dyDescent="0.15"/>
    <row r="806" ht="14" customHeight="1" x14ac:dyDescent="0.15"/>
    <row r="807" ht="14" customHeight="1" x14ac:dyDescent="0.15"/>
    <row r="808" ht="14" customHeight="1" x14ac:dyDescent="0.15"/>
    <row r="809" ht="14" customHeight="1" x14ac:dyDescent="0.15"/>
    <row r="810" ht="14" customHeight="1" x14ac:dyDescent="0.15"/>
    <row r="811" ht="14" customHeight="1" x14ac:dyDescent="0.15"/>
    <row r="812" ht="14" customHeight="1" x14ac:dyDescent="0.15"/>
    <row r="813" ht="14" customHeight="1" x14ac:dyDescent="0.15"/>
    <row r="814" ht="14" customHeight="1" x14ac:dyDescent="0.15"/>
    <row r="815" ht="14" customHeight="1" x14ac:dyDescent="0.15"/>
    <row r="816" ht="14" customHeight="1" x14ac:dyDescent="0.15"/>
    <row r="817" ht="14" customHeight="1" x14ac:dyDescent="0.15"/>
    <row r="818" ht="14" customHeight="1" x14ac:dyDescent="0.15"/>
    <row r="819" ht="14" customHeight="1" x14ac:dyDescent="0.15"/>
    <row r="820" ht="14" customHeight="1" x14ac:dyDescent="0.15"/>
    <row r="821" ht="14" customHeight="1" x14ac:dyDescent="0.15"/>
    <row r="822" ht="14" customHeight="1" x14ac:dyDescent="0.15"/>
    <row r="823" ht="14" customHeight="1" x14ac:dyDescent="0.15"/>
    <row r="824" ht="14" customHeight="1" x14ac:dyDescent="0.15"/>
    <row r="825" ht="14" customHeight="1" x14ac:dyDescent="0.15"/>
    <row r="826" ht="14" customHeight="1" x14ac:dyDescent="0.15"/>
    <row r="827" ht="14" customHeight="1" x14ac:dyDescent="0.15"/>
    <row r="828" ht="14" customHeight="1" x14ac:dyDescent="0.15"/>
    <row r="829" ht="14" customHeight="1" x14ac:dyDescent="0.15"/>
    <row r="830" ht="14" customHeight="1" x14ac:dyDescent="0.15"/>
    <row r="831" ht="14" customHeight="1" x14ac:dyDescent="0.15"/>
    <row r="832" ht="14" customHeight="1" x14ac:dyDescent="0.15"/>
    <row r="833" ht="14" customHeight="1" x14ac:dyDescent="0.15"/>
    <row r="834" ht="14" customHeight="1" x14ac:dyDescent="0.15"/>
    <row r="835" ht="14" customHeight="1" x14ac:dyDescent="0.15"/>
    <row r="836" ht="14" customHeight="1" x14ac:dyDescent="0.15"/>
    <row r="837" ht="14" customHeight="1" x14ac:dyDescent="0.15"/>
    <row r="838" ht="14" customHeight="1" x14ac:dyDescent="0.15"/>
    <row r="839" ht="14" customHeight="1" x14ac:dyDescent="0.15"/>
    <row r="840" ht="14" customHeight="1" x14ac:dyDescent="0.15"/>
    <row r="841" ht="14" customHeight="1" x14ac:dyDescent="0.15"/>
    <row r="842" ht="14" customHeight="1" x14ac:dyDescent="0.15"/>
    <row r="843" ht="14" customHeight="1" x14ac:dyDescent="0.15"/>
    <row r="844" ht="14" customHeight="1" x14ac:dyDescent="0.15"/>
    <row r="845" ht="14" customHeight="1" x14ac:dyDescent="0.15"/>
    <row r="846" ht="14" customHeight="1" x14ac:dyDescent="0.15"/>
    <row r="847" ht="14" customHeight="1" x14ac:dyDescent="0.15"/>
    <row r="848" ht="14" customHeight="1" x14ac:dyDescent="0.15"/>
    <row r="849" ht="14" customHeight="1" x14ac:dyDescent="0.15"/>
    <row r="850" ht="14" customHeight="1" x14ac:dyDescent="0.15"/>
    <row r="851" ht="14" customHeight="1" x14ac:dyDescent="0.15"/>
    <row r="852" ht="14" customHeight="1" x14ac:dyDescent="0.15"/>
    <row r="853" ht="14" customHeight="1" x14ac:dyDescent="0.15"/>
    <row r="854" ht="14" customHeight="1" x14ac:dyDescent="0.15"/>
    <row r="855" ht="14" customHeight="1" x14ac:dyDescent="0.15"/>
    <row r="856" ht="14" customHeight="1" x14ac:dyDescent="0.15"/>
    <row r="857" ht="14" customHeight="1" x14ac:dyDescent="0.15"/>
    <row r="858" ht="14" customHeight="1" x14ac:dyDescent="0.15"/>
    <row r="859" ht="14" customHeight="1" x14ac:dyDescent="0.15"/>
    <row r="860" ht="14" customHeight="1" x14ac:dyDescent="0.15"/>
    <row r="861" ht="14" customHeight="1" x14ac:dyDescent="0.15"/>
    <row r="862" ht="14" customHeight="1" x14ac:dyDescent="0.15"/>
    <row r="863" ht="14" customHeight="1" x14ac:dyDescent="0.15"/>
    <row r="864" ht="14" customHeight="1" x14ac:dyDescent="0.15"/>
    <row r="865" ht="14" customHeight="1" x14ac:dyDescent="0.15"/>
    <row r="866" ht="14" customHeight="1" x14ac:dyDescent="0.15"/>
    <row r="867" ht="14" customHeight="1" x14ac:dyDescent="0.15"/>
    <row r="868" ht="14" customHeight="1" x14ac:dyDescent="0.15"/>
    <row r="869" ht="14" customHeight="1" x14ac:dyDescent="0.15"/>
    <row r="870" ht="14" customHeight="1" x14ac:dyDescent="0.15"/>
    <row r="871" ht="14" customHeight="1" x14ac:dyDescent="0.15"/>
    <row r="872" ht="14" customHeight="1" x14ac:dyDescent="0.15"/>
    <row r="873" ht="14" customHeight="1" x14ac:dyDescent="0.15"/>
    <row r="874" ht="14" customHeight="1" x14ac:dyDescent="0.15"/>
    <row r="875" ht="14" customHeight="1" x14ac:dyDescent="0.15"/>
    <row r="876" ht="14" customHeight="1" x14ac:dyDescent="0.15"/>
    <row r="877" ht="14" customHeight="1" x14ac:dyDescent="0.15"/>
    <row r="878" ht="14" customHeight="1" x14ac:dyDescent="0.15"/>
    <row r="879" ht="14" customHeight="1" x14ac:dyDescent="0.15"/>
    <row r="880" ht="14" customHeight="1" x14ac:dyDescent="0.15"/>
    <row r="881" ht="14" customHeight="1" x14ac:dyDescent="0.15"/>
    <row r="882" ht="14" customHeight="1" x14ac:dyDescent="0.15"/>
    <row r="883" ht="14" customHeight="1" x14ac:dyDescent="0.15"/>
    <row r="884" ht="14" customHeight="1" x14ac:dyDescent="0.15"/>
    <row r="885" ht="14" customHeight="1" x14ac:dyDescent="0.15"/>
    <row r="886" ht="14" customHeight="1" x14ac:dyDescent="0.15"/>
    <row r="887" ht="14" customHeight="1" x14ac:dyDescent="0.15"/>
    <row r="888" ht="14" customHeight="1" x14ac:dyDescent="0.15"/>
    <row r="889" ht="14" customHeight="1" x14ac:dyDescent="0.15"/>
    <row r="890" ht="14" customHeight="1" x14ac:dyDescent="0.15"/>
    <row r="891" ht="14" customHeight="1" x14ac:dyDescent="0.15"/>
    <row r="892" ht="14" customHeight="1" x14ac:dyDescent="0.15"/>
    <row r="893" ht="14" customHeight="1" x14ac:dyDescent="0.15"/>
    <row r="894" ht="14" customHeight="1" x14ac:dyDescent="0.15"/>
    <row r="895" ht="14" customHeight="1" x14ac:dyDescent="0.15"/>
    <row r="896" ht="14" customHeight="1" x14ac:dyDescent="0.15"/>
    <row r="897" ht="14" customHeight="1" x14ac:dyDescent="0.15"/>
    <row r="898" ht="14" customHeight="1" x14ac:dyDescent="0.15"/>
    <row r="899" ht="14" customHeight="1" x14ac:dyDescent="0.15"/>
    <row r="900" ht="14" customHeight="1" x14ac:dyDescent="0.15"/>
    <row r="901" ht="14" customHeight="1" x14ac:dyDescent="0.15"/>
    <row r="902" ht="14" customHeight="1" x14ac:dyDescent="0.15"/>
    <row r="903" ht="14" customHeight="1" x14ac:dyDescent="0.15"/>
    <row r="904" ht="14" customHeight="1" x14ac:dyDescent="0.15"/>
    <row r="905" ht="14" customHeight="1" x14ac:dyDescent="0.15"/>
    <row r="906" ht="14" customHeight="1" x14ac:dyDescent="0.15"/>
    <row r="907" ht="14" customHeight="1" x14ac:dyDescent="0.15"/>
    <row r="908" ht="14" customHeight="1" x14ac:dyDescent="0.15"/>
    <row r="909" ht="14" customHeight="1" x14ac:dyDescent="0.15"/>
    <row r="910" ht="14" customHeight="1" x14ac:dyDescent="0.15"/>
    <row r="911" ht="14" customHeight="1" x14ac:dyDescent="0.15"/>
    <row r="912" ht="14" customHeight="1" x14ac:dyDescent="0.15"/>
    <row r="913" ht="14" customHeight="1" x14ac:dyDescent="0.15"/>
    <row r="914" ht="14" customHeight="1" x14ac:dyDescent="0.15"/>
    <row r="915" ht="14" customHeight="1" x14ac:dyDescent="0.15"/>
    <row r="916" ht="14" customHeight="1" x14ac:dyDescent="0.15"/>
    <row r="917" ht="14" customHeight="1" x14ac:dyDescent="0.15"/>
    <row r="918" ht="14" customHeight="1" x14ac:dyDescent="0.15"/>
    <row r="919" ht="14" customHeight="1" x14ac:dyDescent="0.15"/>
    <row r="920" ht="14" customHeight="1" x14ac:dyDescent="0.15"/>
    <row r="921" ht="14" customHeight="1" x14ac:dyDescent="0.15"/>
    <row r="922" ht="14" customHeight="1" x14ac:dyDescent="0.15"/>
    <row r="923" ht="14" customHeight="1" x14ac:dyDescent="0.15"/>
    <row r="924" ht="14" customHeight="1" x14ac:dyDescent="0.15"/>
    <row r="925" ht="14" customHeight="1" x14ac:dyDescent="0.15"/>
    <row r="926" ht="14" customHeight="1" x14ac:dyDescent="0.15"/>
    <row r="927" ht="14" customHeight="1" x14ac:dyDescent="0.15"/>
    <row r="928" ht="14" customHeight="1" x14ac:dyDescent="0.15"/>
    <row r="929" ht="14" customHeight="1" x14ac:dyDescent="0.15"/>
    <row r="930" ht="14" customHeight="1" x14ac:dyDescent="0.15"/>
    <row r="931" ht="14" customHeight="1" x14ac:dyDescent="0.15"/>
    <row r="932" ht="14" customHeight="1" x14ac:dyDescent="0.15"/>
    <row r="933" ht="14" customHeight="1" x14ac:dyDescent="0.15"/>
    <row r="934" ht="14" customHeight="1" x14ac:dyDescent="0.15"/>
    <row r="935" ht="14" customHeight="1" x14ac:dyDescent="0.15"/>
    <row r="936" ht="14" customHeight="1" x14ac:dyDescent="0.15"/>
    <row r="937" ht="14" customHeight="1" x14ac:dyDescent="0.15"/>
    <row r="938" ht="14" customHeight="1" x14ac:dyDescent="0.15"/>
    <row r="939" ht="14" customHeight="1" x14ac:dyDescent="0.15"/>
    <row r="940" ht="14" customHeight="1" x14ac:dyDescent="0.15"/>
    <row r="941" ht="14" customHeight="1" x14ac:dyDescent="0.15"/>
    <row r="942" ht="14" customHeight="1" x14ac:dyDescent="0.15"/>
    <row r="943" ht="14" customHeight="1" x14ac:dyDescent="0.15"/>
    <row r="944" ht="14" customHeight="1" x14ac:dyDescent="0.15"/>
    <row r="945" ht="14" customHeight="1" x14ac:dyDescent="0.15"/>
    <row r="946" ht="14" customHeight="1" x14ac:dyDescent="0.15"/>
    <row r="947" ht="14" customHeight="1" x14ac:dyDescent="0.15"/>
    <row r="948" ht="14" customHeight="1" x14ac:dyDescent="0.15"/>
    <row r="949" ht="14" customHeight="1" x14ac:dyDescent="0.15"/>
    <row r="950" ht="14" customHeight="1" x14ac:dyDescent="0.15"/>
    <row r="951" ht="14" customHeight="1" x14ac:dyDescent="0.15"/>
    <row r="952" ht="14" customHeight="1" x14ac:dyDescent="0.15"/>
    <row r="953" ht="14" customHeight="1" x14ac:dyDescent="0.15"/>
    <row r="954" ht="14" customHeight="1" x14ac:dyDescent="0.15"/>
    <row r="955" ht="14" customHeight="1" x14ac:dyDescent="0.15"/>
    <row r="956" ht="14" customHeight="1" x14ac:dyDescent="0.15"/>
    <row r="957" ht="14" customHeight="1" x14ac:dyDescent="0.15"/>
    <row r="958" ht="14" customHeight="1" x14ac:dyDescent="0.15"/>
    <row r="959" ht="14" customHeight="1" x14ac:dyDescent="0.15"/>
    <row r="960" ht="14" customHeight="1" x14ac:dyDescent="0.15"/>
    <row r="961" ht="14" customHeight="1" x14ac:dyDescent="0.15"/>
    <row r="962" ht="14" customHeight="1" x14ac:dyDescent="0.15"/>
    <row r="963" ht="14" customHeight="1" x14ac:dyDescent="0.15"/>
    <row r="964" ht="14" customHeight="1" x14ac:dyDescent="0.15"/>
    <row r="965" ht="14" customHeight="1" x14ac:dyDescent="0.15"/>
    <row r="966" ht="14" customHeight="1" x14ac:dyDescent="0.15"/>
    <row r="967" ht="14" customHeight="1" x14ac:dyDescent="0.15"/>
    <row r="968" ht="14" customHeight="1" x14ac:dyDescent="0.15"/>
    <row r="969" ht="14" customHeight="1" x14ac:dyDescent="0.15"/>
    <row r="970" ht="14" customHeight="1" x14ac:dyDescent="0.15"/>
    <row r="971" ht="14" customHeight="1" x14ac:dyDescent="0.15"/>
    <row r="972" ht="14" customHeight="1" x14ac:dyDescent="0.15"/>
    <row r="973" ht="14" customHeight="1" x14ac:dyDescent="0.15"/>
    <row r="974" ht="14" customHeight="1" x14ac:dyDescent="0.15"/>
    <row r="975" ht="14" customHeight="1" x14ac:dyDescent="0.15"/>
    <row r="976" ht="14" customHeight="1" x14ac:dyDescent="0.15"/>
    <row r="977" ht="14" customHeight="1" x14ac:dyDescent="0.15"/>
    <row r="978" ht="14" customHeight="1" x14ac:dyDescent="0.15"/>
    <row r="979" ht="14" customHeight="1" x14ac:dyDescent="0.15"/>
    <row r="980" ht="14" customHeight="1" x14ac:dyDescent="0.15"/>
    <row r="981" ht="14" customHeight="1" x14ac:dyDescent="0.15"/>
    <row r="982" ht="14" customHeight="1" x14ac:dyDescent="0.15"/>
    <row r="983" ht="14" customHeight="1" x14ac:dyDescent="0.15"/>
    <row r="984" ht="14" customHeight="1" x14ac:dyDescent="0.15"/>
    <row r="985" ht="14" customHeight="1" x14ac:dyDescent="0.15"/>
    <row r="986" ht="14" customHeight="1" x14ac:dyDescent="0.15"/>
    <row r="987" ht="14" customHeight="1" x14ac:dyDescent="0.15"/>
    <row r="988" ht="14" customHeight="1" x14ac:dyDescent="0.15"/>
    <row r="989" ht="14" customHeight="1" x14ac:dyDescent="0.15"/>
    <row r="990" ht="14" customHeight="1" x14ac:dyDescent="0.15"/>
    <row r="991" ht="14" customHeight="1" x14ac:dyDescent="0.15"/>
    <row r="992" ht="14" customHeight="1" x14ac:dyDescent="0.15"/>
    <row r="993" ht="14" customHeight="1" x14ac:dyDescent="0.15"/>
    <row r="994" ht="14" customHeight="1" x14ac:dyDescent="0.15"/>
    <row r="995" ht="14" customHeight="1" x14ac:dyDescent="0.15"/>
    <row r="996" ht="14" customHeight="1" x14ac:dyDescent="0.15"/>
    <row r="997" ht="14" customHeight="1" x14ac:dyDescent="0.15"/>
    <row r="998" ht="14" customHeight="1" x14ac:dyDescent="0.15"/>
    <row r="999" ht="14" customHeight="1" x14ac:dyDescent="0.15"/>
    <row r="1000" ht="14" customHeight="1" x14ac:dyDescent="0.15"/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1F497D"/>
  </sheetPr>
  <dimension ref="A1:AI1000"/>
  <sheetViews>
    <sheetView workbookViewId="0">
      <selection activeCell="C20" sqref="C20"/>
    </sheetView>
  </sheetViews>
  <sheetFormatPr baseColWidth="10" defaultColWidth="8.83203125" defaultRowHeight="15" customHeight="1" x14ac:dyDescent="0.15"/>
  <cols>
    <col min="1" max="1" width="39.83203125" style="48" customWidth="1"/>
    <col min="2" max="2" width="17.83203125" style="30" customWidth="1"/>
    <col min="3" max="3" width="9.5" style="48" customWidth="1"/>
    <col min="4" max="35" width="9.5" style="48" bestFit="1" customWidth="1"/>
    <col min="36" max="43" width="8.83203125" style="48" customWidth="1"/>
    <col min="44" max="16384" width="8.83203125" style="48"/>
  </cols>
  <sheetData>
    <row r="1" spans="1:35" ht="14.5" customHeight="1" x14ac:dyDescent="0.2">
      <c r="A1" s="28" t="s">
        <v>177</v>
      </c>
      <c r="B1" s="29">
        <v>2020</v>
      </c>
      <c r="C1" s="29">
        <v>2021</v>
      </c>
      <c r="D1" s="29">
        <v>2022</v>
      </c>
      <c r="E1" s="29">
        <v>2023</v>
      </c>
      <c r="F1" s="29">
        <v>2024</v>
      </c>
      <c r="G1" s="29">
        <v>2025</v>
      </c>
      <c r="H1" s="29">
        <v>2026</v>
      </c>
      <c r="I1" s="29">
        <v>2027</v>
      </c>
      <c r="J1" s="29">
        <v>2028</v>
      </c>
      <c r="K1" s="29">
        <v>2029</v>
      </c>
      <c r="L1" s="29">
        <v>2030</v>
      </c>
      <c r="M1" s="29">
        <v>2031</v>
      </c>
      <c r="N1" s="29">
        <v>2032</v>
      </c>
      <c r="O1" s="29">
        <v>2033</v>
      </c>
      <c r="P1" s="29">
        <v>2034</v>
      </c>
      <c r="Q1" s="29">
        <v>2035</v>
      </c>
      <c r="R1" s="29">
        <v>2036</v>
      </c>
      <c r="S1" s="29">
        <v>2037</v>
      </c>
      <c r="T1" s="29">
        <v>2038</v>
      </c>
      <c r="U1" s="29">
        <v>2039</v>
      </c>
      <c r="V1" s="29">
        <v>2040</v>
      </c>
      <c r="W1" s="29">
        <v>2041</v>
      </c>
      <c r="X1" s="29">
        <v>2042</v>
      </c>
      <c r="Y1" s="29">
        <v>2043</v>
      </c>
      <c r="Z1" s="29">
        <v>2044</v>
      </c>
      <c r="AA1" s="29">
        <v>2045</v>
      </c>
      <c r="AB1" s="29">
        <v>2046</v>
      </c>
      <c r="AC1" s="29">
        <v>2047</v>
      </c>
      <c r="AD1" s="29">
        <v>2048</v>
      </c>
      <c r="AE1" s="29">
        <v>2049</v>
      </c>
      <c r="AF1" s="29">
        <v>2050</v>
      </c>
      <c r="AH1" s="29"/>
      <c r="AI1" s="29"/>
    </row>
    <row r="2" spans="1:35" ht="14" customHeight="1" x14ac:dyDescent="0.15">
      <c r="A2" s="48" t="s">
        <v>178</v>
      </c>
      <c r="B2">
        <v>1</v>
      </c>
      <c r="C2" s="57">
        <v>1</v>
      </c>
      <c r="D2" s="57">
        <v>1</v>
      </c>
      <c r="E2" s="57">
        <v>1</v>
      </c>
      <c r="F2" s="57">
        <v>1</v>
      </c>
      <c r="G2" s="57">
        <v>1</v>
      </c>
      <c r="H2" s="57">
        <v>1</v>
      </c>
      <c r="I2" s="57">
        <v>1</v>
      </c>
      <c r="J2" s="57">
        <v>1</v>
      </c>
      <c r="K2" s="57">
        <v>1</v>
      </c>
      <c r="L2" s="57">
        <v>1</v>
      </c>
      <c r="M2" s="57">
        <v>1</v>
      </c>
      <c r="N2" s="57">
        <v>1</v>
      </c>
      <c r="O2" s="57">
        <v>1</v>
      </c>
      <c r="P2" s="57">
        <v>1</v>
      </c>
      <c r="Q2" s="57">
        <v>1</v>
      </c>
      <c r="R2" s="57">
        <v>1</v>
      </c>
      <c r="S2" s="57">
        <v>1</v>
      </c>
      <c r="T2" s="57">
        <v>1</v>
      </c>
      <c r="U2" s="57">
        <v>1</v>
      </c>
      <c r="V2" s="57">
        <v>1</v>
      </c>
      <c r="W2" s="57">
        <v>1</v>
      </c>
      <c r="X2" s="57">
        <v>1</v>
      </c>
      <c r="Y2" s="57">
        <v>1</v>
      </c>
      <c r="Z2" s="57">
        <v>1</v>
      </c>
      <c r="AA2" s="57">
        <v>1</v>
      </c>
      <c r="AB2" s="57">
        <v>1</v>
      </c>
      <c r="AC2" s="57">
        <v>1</v>
      </c>
      <c r="AD2" s="57">
        <v>1</v>
      </c>
      <c r="AE2" s="57">
        <v>1</v>
      </c>
      <c r="AF2" s="57">
        <v>1</v>
      </c>
      <c r="AG2" s="57"/>
    </row>
    <row r="3" spans="1:35" ht="14" customHeight="1" x14ac:dyDescent="0.15">
      <c r="A3" s="48" t="s">
        <v>179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5" ht="14" customHeight="1" x14ac:dyDescent="0.15">
      <c r="A4" s="48" t="s">
        <v>135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5" ht="14" customHeight="1" x14ac:dyDescent="0.15">
      <c r="A5" s="48" t="s">
        <v>180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5" ht="14" customHeight="1" x14ac:dyDescent="0.15">
      <c r="A6" s="48" t="s">
        <v>181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5" ht="14" customHeight="1" x14ac:dyDescent="0.15">
      <c r="A7" s="48" t="s">
        <v>182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5" ht="14" customHeight="1" x14ac:dyDescent="0.15">
      <c r="A8" s="48" t="s">
        <v>183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5" ht="14" customHeight="1" x14ac:dyDescent="0.15">
      <c r="A9" s="48" t="s">
        <v>184</v>
      </c>
      <c r="B9">
        <v>1</v>
      </c>
      <c r="C9" s="57">
        <v>1</v>
      </c>
      <c r="D9" s="57">
        <v>1</v>
      </c>
      <c r="E9" s="57">
        <v>1</v>
      </c>
      <c r="F9" s="57">
        <v>1</v>
      </c>
      <c r="G9" s="57">
        <v>1</v>
      </c>
      <c r="H9" s="57">
        <v>1</v>
      </c>
      <c r="I9" s="57">
        <v>1</v>
      </c>
      <c r="J9" s="57">
        <v>1</v>
      </c>
      <c r="K9" s="57">
        <v>1</v>
      </c>
      <c r="L9" s="57">
        <v>1</v>
      </c>
      <c r="M9" s="57">
        <v>1</v>
      </c>
      <c r="N9" s="57">
        <v>1</v>
      </c>
      <c r="O9" s="57">
        <v>1</v>
      </c>
      <c r="P9" s="57">
        <v>1</v>
      </c>
      <c r="Q9" s="57">
        <v>1</v>
      </c>
      <c r="R9" s="57">
        <v>1</v>
      </c>
      <c r="S9" s="57">
        <v>1</v>
      </c>
      <c r="T9" s="57">
        <v>1</v>
      </c>
      <c r="U9" s="57">
        <v>1</v>
      </c>
      <c r="V9" s="57">
        <v>1</v>
      </c>
      <c r="W9" s="57">
        <v>1</v>
      </c>
      <c r="X9" s="57">
        <v>1</v>
      </c>
      <c r="Y9" s="57">
        <v>1</v>
      </c>
      <c r="Z9" s="57">
        <v>1</v>
      </c>
      <c r="AA9" s="57">
        <v>1</v>
      </c>
      <c r="AB9" s="57">
        <v>1</v>
      </c>
      <c r="AC9" s="57">
        <v>1</v>
      </c>
      <c r="AD9" s="57">
        <v>1</v>
      </c>
      <c r="AE9" s="57">
        <v>1</v>
      </c>
      <c r="AF9" s="57">
        <v>1</v>
      </c>
      <c r="AG9" s="57"/>
    </row>
    <row r="10" spans="1:35" ht="14" customHeight="1" x14ac:dyDescent="0.15">
      <c r="A10" s="48" t="s">
        <v>136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</row>
    <row r="11" spans="1:35" ht="14" customHeight="1" x14ac:dyDescent="0.15">
      <c r="A11" s="48" t="s">
        <v>185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</row>
    <row r="12" spans="1:35" ht="14" customHeight="1" x14ac:dyDescent="0.15">
      <c r="A12" s="48" t="s">
        <v>186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</row>
    <row r="13" spans="1:35" ht="14" customHeight="1" x14ac:dyDescent="0.15">
      <c r="A13" s="48" t="s">
        <v>187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</row>
    <row r="14" spans="1:35" ht="14" customHeight="1" x14ac:dyDescent="0.15">
      <c r="A14" s="48" t="s">
        <v>188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</row>
    <row r="15" spans="1:35" ht="14" customHeight="1" x14ac:dyDescent="0.15">
      <c r="A15" s="48" t="s">
        <v>189</v>
      </c>
      <c r="B15">
        <v>1</v>
      </c>
      <c r="C15" s="57">
        <v>1</v>
      </c>
      <c r="D15" s="57">
        <v>1</v>
      </c>
      <c r="E15" s="57">
        <v>1</v>
      </c>
      <c r="F15" s="57">
        <v>1</v>
      </c>
      <c r="G15" s="57">
        <v>1</v>
      </c>
      <c r="H15" s="57">
        <v>1</v>
      </c>
      <c r="I15" s="57">
        <v>1</v>
      </c>
      <c r="J15" s="57">
        <v>1</v>
      </c>
      <c r="K15" s="57">
        <v>1</v>
      </c>
      <c r="L15" s="57">
        <v>1</v>
      </c>
      <c r="M15" s="57">
        <v>1</v>
      </c>
      <c r="N15" s="57">
        <v>1</v>
      </c>
      <c r="O15" s="57">
        <v>1</v>
      </c>
      <c r="P15" s="57">
        <v>1</v>
      </c>
      <c r="Q15" s="57">
        <v>1</v>
      </c>
      <c r="R15" s="57">
        <v>1</v>
      </c>
      <c r="S15" s="57">
        <v>1</v>
      </c>
      <c r="T15" s="57">
        <v>1</v>
      </c>
      <c r="U15" s="57">
        <v>1</v>
      </c>
      <c r="V15" s="57">
        <v>1</v>
      </c>
      <c r="W15" s="57">
        <v>1</v>
      </c>
      <c r="X15" s="57">
        <v>1</v>
      </c>
      <c r="Y15" s="57">
        <v>1</v>
      </c>
      <c r="Z15" s="57">
        <v>1</v>
      </c>
      <c r="AA15" s="57">
        <v>1</v>
      </c>
      <c r="AB15" s="57">
        <v>1</v>
      </c>
      <c r="AC15" s="57">
        <v>1</v>
      </c>
      <c r="AD15" s="57">
        <v>1</v>
      </c>
      <c r="AE15" s="57">
        <v>1</v>
      </c>
      <c r="AF15" s="57">
        <v>1</v>
      </c>
      <c r="AG15" s="57"/>
    </row>
    <row r="16" spans="1:35" ht="14" customHeight="1" x14ac:dyDescent="0.15">
      <c r="A16" s="48" t="s">
        <v>190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</row>
    <row r="17" spans="1:33" ht="14" customHeight="1" x14ac:dyDescent="0.15">
      <c r="A17" s="48" t="s">
        <v>191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</row>
    <row r="18" spans="1:33" ht="14" customHeight="1" x14ac:dyDescent="0.15">
      <c r="A18" s="48" t="s">
        <v>192</v>
      </c>
      <c r="B18">
        <v>1</v>
      </c>
      <c r="C18" s="30">
        <v>1</v>
      </c>
      <c r="D18" s="30">
        <v>1</v>
      </c>
      <c r="E18" s="30">
        <v>1</v>
      </c>
      <c r="F18" s="30">
        <v>1</v>
      </c>
      <c r="G18" s="30">
        <v>1</v>
      </c>
      <c r="H18" s="30">
        <v>1</v>
      </c>
      <c r="I18" s="30">
        <v>1</v>
      </c>
      <c r="J18" s="30">
        <v>1</v>
      </c>
      <c r="K18" s="30">
        <v>1</v>
      </c>
      <c r="L18" s="30">
        <v>1</v>
      </c>
      <c r="M18" s="30">
        <v>1</v>
      </c>
      <c r="N18" s="30">
        <v>1</v>
      </c>
      <c r="O18" s="30">
        <v>1</v>
      </c>
      <c r="P18" s="30">
        <v>1</v>
      </c>
      <c r="Q18" s="30">
        <v>1</v>
      </c>
      <c r="R18" s="30">
        <v>1</v>
      </c>
      <c r="S18" s="30">
        <v>1</v>
      </c>
      <c r="T18" s="30">
        <v>1</v>
      </c>
      <c r="U18" s="30">
        <v>1</v>
      </c>
      <c r="V18" s="30">
        <v>1</v>
      </c>
      <c r="W18" s="30">
        <v>1</v>
      </c>
      <c r="X18" s="30">
        <v>1</v>
      </c>
      <c r="Y18" s="30">
        <v>1</v>
      </c>
      <c r="Z18" s="30">
        <v>1</v>
      </c>
      <c r="AA18" s="30">
        <v>1</v>
      </c>
      <c r="AB18" s="30">
        <v>1</v>
      </c>
      <c r="AC18" s="30">
        <v>1</v>
      </c>
      <c r="AD18" s="30">
        <v>1</v>
      </c>
      <c r="AE18" s="30">
        <v>1</v>
      </c>
      <c r="AF18" s="30">
        <v>1</v>
      </c>
      <c r="AG18" s="30"/>
    </row>
    <row r="19" spans="1:33" ht="14" customHeight="1" x14ac:dyDescent="0.15">
      <c r="A19" s="48" t="s">
        <v>193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</row>
    <row r="20" spans="1:33" ht="14" customHeight="1" x14ac:dyDescent="0.15">
      <c r="A20" s="48" t="s">
        <v>194</v>
      </c>
      <c r="B20">
        <v>1</v>
      </c>
      <c r="C20" s="57">
        <v>1</v>
      </c>
      <c r="D20" s="57">
        <v>1</v>
      </c>
      <c r="E20" s="57">
        <v>1</v>
      </c>
      <c r="F20" s="57">
        <v>1</v>
      </c>
      <c r="G20" s="57">
        <v>1</v>
      </c>
      <c r="H20" s="57">
        <v>1</v>
      </c>
      <c r="I20" s="57">
        <v>1</v>
      </c>
      <c r="J20" s="57">
        <v>1</v>
      </c>
      <c r="K20" s="57">
        <v>1</v>
      </c>
      <c r="L20" s="57">
        <v>1</v>
      </c>
      <c r="M20" s="57">
        <v>1</v>
      </c>
      <c r="N20" s="57">
        <v>1</v>
      </c>
      <c r="O20" s="57">
        <v>1</v>
      </c>
      <c r="P20" s="57">
        <v>1</v>
      </c>
      <c r="Q20" s="57">
        <v>1</v>
      </c>
      <c r="R20" s="57">
        <v>1</v>
      </c>
      <c r="S20" s="57">
        <v>1</v>
      </c>
      <c r="T20" s="57">
        <v>1</v>
      </c>
      <c r="U20" s="57">
        <v>1</v>
      </c>
      <c r="V20" s="57">
        <v>1</v>
      </c>
      <c r="W20" s="57">
        <v>1</v>
      </c>
      <c r="X20" s="57">
        <v>1</v>
      </c>
      <c r="Y20" s="57">
        <v>1</v>
      </c>
      <c r="Z20" s="57">
        <v>1</v>
      </c>
      <c r="AA20" s="57">
        <v>1</v>
      </c>
      <c r="AB20" s="57">
        <v>1</v>
      </c>
      <c r="AC20" s="57">
        <v>1</v>
      </c>
      <c r="AD20" s="57">
        <v>1</v>
      </c>
      <c r="AE20" s="57">
        <v>1</v>
      </c>
      <c r="AF20" s="57">
        <v>1</v>
      </c>
      <c r="AG20" s="57"/>
    </row>
    <row r="21" spans="1:33" ht="14" customHeight="1" x14ac:dyDescent="0.15">
      <c r="A21" s="48" t="s">
        <v>195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</row>
    <row r="22" spans="1:33" ht="14" customHeight="1" x14ac:dyDescent="0.15">
      <c r="A22" s="48" t="s">
        <v>196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3" ht="14" customHeight="1" x14ac:dyDescent="0.15">
      <c r="A23" s="48" t="s">
        <v>197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</row>
    <row r="24" spans="1:33" ht="14" customHeight="1" x14ac:dyDescent="0.15">
      <c r="A24" s="48" t="s">
        <v>198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3" ht="14" customHeight="1" x14ac:dyDescent="0.15">
      <c r="A25" s="48" t="s">
        <v>199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</row>
    <row r="26" spans="1:33" ht="14" customHeight="1" x14ac:dyDescent="0.15">
      <c r="A26" s="48" t="s">
        <v>200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  <row r="27" spans="1:33" ht="14" customHeight="1" x14ac:dyDescent="0.15"/>
    <row r="28" spans="1:33" ht="14.5" customHeight="1" x14ac:dyDescent="0.2">
      <c r="A28" s="29"/>
    </row>
    <row r="29" spans="1:33" ht="14" customHeight="1" x14ac:dyDescent="0.15"/>
    <row r="30" spans="1:33" ht="14.5" customHeight="1" x14ac:dyDescent="0.2">
      <c r="A30" s="29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 spans="1:33" ht="14" customHeight="1" x14ac:dyDescent="0.15"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 spans="1:33" ht="14" customHeight="1" x14ac:dyDescent="0.15"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 spans="1:35" ht="14.5" customHeight="1" x14ac:dyDescent="0.2">
      <c r="A33" s="29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 spans="1:35" ht="14" customHeight="1" x14ac:dyDescent="0.15">
      <c r="A34" s="31"/>
      <c r="B34" s="32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</row>
    <row r="35" spans="1:35" ht="14" customHeight="1" x14ac:dyDescent="0.15">
      <c r="A35" s="31"/>
      <c r="B35" s="32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  <c r="AD35" s="58"/>
      <c r="AE35" s="58"/>
      <c r="AF35" s="58"/>
      <c r="AG35" s="58"/>
      <c r="AH35" s="58"/>
      <c r="AI35" s="58"/>
    </row>
    <row r="36" spans="1:35" ht="14" customHeight="1" x14ac:dyDescent="0.15">
      <c r="A36" s="31"/>
      <c r="B36" s="32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</row>
    <row r="37" spans="1:35" ht="14" customHeight="1" x14ac:dyDescent="0.15">
      <c r="A37" s="31"/>
      <c r="B37" s="32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</row>
    <row r="38" spans="1:35" ht="14" customHeight="1" x14ac:dyDescent="0.15">
      <c r="A38" s="31"/>
      <c r="B38" s="32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</row>
    <row r="39" spans="1:35" ht="14" customHeight="1" x14ac:dyDescent="0.15">
      <c r="A39" s="31"/>
      <c r="B39" s="32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</row>
    <row r="40" spans="1:35" ht="14" customHeight="1" x14ac:dyDescent="0.15">
      <c r="A40" s="31"/>
      <c r="B40" s="32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</row>
    <row r="41" spans="1:35" ht="14" customHeight="1" x14ac:dyDescent="0.15">
      <c r="A41" s="31"/>
      <c r="B41" s="32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</row>
    <row r="42" spans="1:35" ht="14" customHeight="1" x14ac:dyDescent="0.15">
      <c r="A42" s="31"/>
      <c r="B42" s="32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58"/>
      <c r="AG42" s="58"/>
      <c r="AH42" s="58"/>
      <c r="AI42" s="58"/>
    </row>
    <row r="43" spans="1:35" ht="14" customHeight="1" x14ac:dyDescent="0.15">
      <c r="A43" s="31"/>
      <c r="B43" s="32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  <c r="AD43" s="58"/>
      <c r="AE43" s="58"/>
      <c r="AF43" s="58"/>
      <c r="AG43" s="58"/>
      <c r="AH43" s="58"/>
      <c r="AI43" s="58"/>
    </row>
    <row r="44" spans="1:35" ht="14" customHeight="1" x14ac:dyDescent="0.15">
      <c r="A44" s="31"/>
      <c r="B44" s="32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</row>
    <row r="45" spans="1:35" ht="14" customHeight="1" x14ac:dyDescent="0.15">
      <c r="A45" s="31"/>
      <c r="B45" s="32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</row>
    <row r="46" spans="1:35" ht="14" customHeight="1" x14ac:dyDescent="0.15">
      <c r="A46" s="33"/>
      <c r="B46" s="34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</row>
    <row r="47" spans="1:35" ht="14.5" customHeight="1" x14ac:dyDescent="0.2">
      <c r="A47" s="29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 spans="1:35" ht="14" customHeight="1" x14ac:dyDescent="0.15">
      <c r="A48" s="31"/>
      <c r="B48" s="32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  <c r="AD48" s="58"/>
      <c r="AE48" s="58"/>
      <c r="AF48" s="58"/>
      <c r="AG48" s="58"/>
      <c r="AH48" s="58"/>
      <c r="AI48" s="58"/>
    </row>
    <row r="49" spans="1:35" ht="14" customHeight="1" x14ac:dyDescent="0.15">
      <c r="A49" s="31"/>
      <c r="B49" s="32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  <c r="AC49" s="58"/>
      <c r="AD49" s="58"/>
      <c r="AE49" s="58"/>
      <c r="AF49" s="58"/>
      <c r="AG49" s="58"/>
      <c r="AH49" s="58"/>
      <c r="AI49" s="58"/>
    </row>
    <row r="50" spans="1:35" ht="14.5" customHeight="1" x14ac:dyDescent="0.2">
      <c r="A50" s="35"/>
      <c r="B50" s="32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  <c r="AD50" s="58"/>
      <c r="AE50" s="58"/>
      <c r="AF50" s="58"/>
      <c r="AG50" s="58"/>
      <c r="AH50" s="58"/>
      <c r="AI50" s="58"/>
    </row>
    <row r="51" spans="1:35" ht="14" customHeight="1" x14ac:dyDescent="0.15">
      <c r="A51" s="31"/>
      <c r="B51" s="32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  <c r="AD51" s="58"/>
      <c r="AE51" s="58"/>
      <c r="AF51" s="58"/>
      <c r="AG51" s="58"/>
      <c r="AH51" s="58"/>
      <c r="AI51" s="58"/>
    </row>
    <row r="52" spans="1:35" ht="14" customHeight="1" x14ac:dyDescent="0.15">
      <c r="A52" s="31"/>
      <c r="B52" s="32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</row>
    <row r="53" spans="1:35" ht="14" customHeight="1" x14ac:dyDescent="0.15">
      <c r="A53" s="31"/>
      <c r="B53" s="32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</row>
    <row r="54" spans="1:35" ht="14" customHeight="1" x14ac:dyDescent="0.15">
      <c r="A54" s="31"/>
      <c r="B54" s="32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</row>
    <row r="55" spans="1:35" ht="14" customHeight="1" x14ac:dyDescent="0.15">
      <c r="A55" s="31"/>
      <c r="B55" s="32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  <c r="AB55" s="58"/>
      <c r="AC55" s="58"/>
      <c r="AD55" s="58"/>
      <c r="AE55" s="58"/>
      <c r="AF55" s="58"/>
      <c r="AG55" s="58"/>
      <c r="AH55" s="58"/>
      <c r="AI55" s="58"/>
    </row>
    <row r="56" spans="1:35" ht="14" customHeight="1" x14ac:dyDescent="0.15">
      <c r="A56" s="31"/>
      <c r="B56" s="36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  <c r="AD56" s="58"/>
      <c r="AE56" s="58"/>
      <c r="AF56" s="58"/>
      <c r="AG56" s="58"/>
      <c r="AH56" s="58"/>
      <c r="AI56" s="58"/>
    </row>
    <row r="57" spans="1:35" ht="14" customHeight="1" x14ac:dyDescent="0.15">
      <c r="A57" s="31"/>
      <c r="B57" s="36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  <c r="AD57" s="58"/>
      <c r="AE57" s="58"/>
      <c r="AF57" s="58"/>
      <c r="AG57" s="58"/>
      <c r="AH57" s="58"/>
      <c r="AI57" s="58"/>
    </row>
    <row r="58" spans="1:35" ht="14" customHeight="1" x14ac:dyDescent="0.15">
      <c r="A58" s="31"/>
      <c r="B58" s="36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</row>
    <row r="59" spans="1:35" ht="14" customHeight="1" x14ac:dyDescent="0.15">
      <c r="A59" s="31"/>
      <c r="B59" s="36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</row>
    <row r="60" spans="1:35" ht="14" customHeight="1" x14ac:dyDescent="0.15">
      <c r="A60" s="31"/>
      <c r="B60" s="36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  <c r="AB60" s="58"/>
      <c r="AC60" s="58"/>
      <c r="AD60" s="58"/>
      <c r="AE60" s="58"/>
      <c r="AF60" s="58"/>
      <c r="AG60" s="58"/>
      <c r="AH60" s="58"/>
      <c r="AI60" s="58"/>
    </row>
    <row r="61" spans="1:35" ht="14" customHeight="1" x14ac:dyDescent="0.15">
      <c r="A61" s="31"/>
      <c r="B61" s="3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</row>
    <row r="62" spans="1:35" ht="14" customHeight="1" x14ac:dyDescent="0.15">
      <c r="A62" s="33"/>
      <c r="B62" s="36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</row>
    <row r="63" spans="1:35" ht="14.5" customHeight="1" x14ac:dyDescent="0.2">
      <c r="A63" s="37"/>
      <c r="B63" s="36"/>
    </row>
    <row r="64" spans="1:35" ht="14" customHeight="1" x14ac:dyDescent="0.15">
      <c r="A64" s="31"/>
      <c r="B64" s="36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</row>
    <row r="65" spans="1:35" ht="14" customHeight="1" x14ac:dyDescent="0.15">
      <c r="A65" s="31"/>
      <c r="B65" s="36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</row>
    <row r="66" spans="1:35" ht="14" customHeight="1" x14ac:dyDescent="0.15">
      <c r="A66" s="31"/>
      <c r="B66" s="36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  <c r="AD66" s="58"/>
      <c r="AE66" s="58"/>
      <c r="AF66" s="58"/>
      <c r="AG66" s="58"/>
      <c r="AH66" s="58"/>
      <c r="AI66" s="58"/>
    </row>
    <row r="67" spans="1:35" ht="14" customHeight="1" x14ac:dyDescent="0.15">
      <c r="A67" s="31"/>
      <c r="B67" s="36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  <c r="AD67" s="58"/>
      <c r="AE67" s="58"/>
      <c r="AF67" s="58"/>
      <c r="AG67" s="58"/>
      <c r="AH67" s="58"/>
      <c r="AI67" s="58"/>
    </row>
    <row r="68" spans="1:35" ht="14" customHeight="1" x14ac:dyDescent="0.15">
      <c r="A68" s="31"/>
      <c r="B68" s="36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</row>
    <row r="69" spans="1:35" ht="14" customHeight="1" x14ac:dyDescent="0.15">
      <c r="A69" s="31"/>
      <c r="B69" s="36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</row>
    <row r="70" spans="1:35" ht="14" customHeight="1" x14ac:dyDescent="0.15">
      <c r="A70" s="31"/>
      <c r="B70" s="36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</row>
    <row r="71" spans="1:35" ht="14" customHeight="1" x14ac:dyDescent="0.15">
      <c r="A71" s="31"/>
      <c r="B71" s="36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</row>
    <row r="72" spans="1:35" ht="14" customHeight="1" x14ac:dyDescent="0.15">
      <c r="A72" s="31"/>
      <c r="B72" s="36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</row>
    <row r="73" spans="1:35" ht="14" customHeight="1" x14ac:dyDescent="0.15">
      <c r="A73" s="31"/>
      <c r="B73" s="36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  <c r="AD73" s="58"/>
      <c r="AE73" s="58"/>
      <c r="AF73" s="58"/>
      <c r="AG73" s="58"/>
      <c r="AH73" s="58"/>
      <c r="AI73" s="58"/>
    </row>
    <row r="74" spans="1:35" ht="14" customHeight="1" x14ac:dyDescent="0.15">
      <c r="A74" s="31"/>
      <c r="B74" s="36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  <c r="AD74" s="58"/>
      <c r="AE74" s="58"/>
      <c r="AF74" s="58"/>
      <c r="AG74" s="58"/>
      <c r="AH74" s="58"/>
      <c r="AI74" s="58"/>
    </row>
    <row r="75" spans="1:35" ht="14" customHeight="1" x14ac:dyDescent="0.15">
      <c r="A75" s="31"/>
      <c r="B75" s="36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</row>
    <row r="76" spans="1:35" ht="14" customHeight="1" x14ac:dyDescent="0.15">
      <c r="A76" s="33"/>
      <c r="B76" s="36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</row>
    <row r="77" spans="1:35" ht="14.5" customHeight="1" x14ac:dyDescent="0.2">
      <c r="A77" s="37"/>
      <c r="B77" s="36"/>
    </row>
    <row r="78" spans="1:35" ht="14.5" customHeight="1" x14ac:dyDescent="0.2">
      <c r="A78" s="37"/>
      <c r="B78" s="36"/>
    </row>
    <row r="79" spans="1:35" ht="14" customHeight="1" x14ac:dyDescent="0.15">
      <c r="A79" s="31"/>
      <c r="B79" s="36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  <c r="AB79" s="58"/>
      <c r="AC79" s="58"/>
      <c r="AD79" s="58"/>
      <c r="AE79" s="58"/>
      <c r="AF79" s="58"/>
      <c r="AG79" s="58"/>
      <c r="AH79" s="58"/>
      <c r="AI79" s="58"/>
    </row>
    <row r="80" spans="1:35" ht="14" customHeight="1" x14ac:dyDescent="0.15">
      <c r="A80" s="31"/>
      <c r="B80" s="36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</row>
    <row r="81" spans="1:35" ht="14" customHeight="1" x14ac:dyDescent="0.15">
      <c r="A81" s="31"/>
      <c r="B81" s="36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</row>
    <row r="82" spans="1:35" ht="14" customHeight="1" x14ac:dyDescent="0.15">
      <c r="A82" s="31"/>
      <c r="B82" s="32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  <c r="AD82" s="58"/>
      <c r="AE82" s="58"/>
      <c r="AF82" s="58"/>
      <c r="AG82" s="58"/>
      <c r="AH82" s="58"/>
      <c r="AI82" s="58"/>
    </row>
    <row r="83" spans="1:35" ht="14" customHeight="1" x14ac:dyDescent="0.15">
      <c r="A83" s="31"/>
      <c r="B83" s="32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  <c r="AB83" s="58"/>
      <c r="AC83" s="58"/>
      <c r="AD83" s="58"/>
      <c r="AE83" s="58"/>
      <c r="AF83" s="58"/>
      <c r="AG83" s="58"/>
      <c r="AH83" s="58"/>
      <c r="AI83" s="58"/>
    </row>
    <row r="84" spans="1:35" ht="14" customHeight="1" x14ac:dyDescent="0.15">
      <c r="A84" s="31"/>
      <c r="B84" s="32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</row>
    <row r="85" spans="1:35" ht="14" customHeight="1" x14ac:dyDescent="0.15">
      <c r="A85" s="31"/>
      <c r="B85" s="32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  <c r="AC85" s="58"/>
      <c r="AD85" s="58"/>
      <c r="AE85" s="58"/>
      <c r="AF85" s="58"/>
      <c r="AG85" s="58"/>
      <c r="AH85" s="58"/>
      <c r="AI85" s="58"/>
    </row>
    <row r="86" spans="1:35" ht="14" customHeight="1" x14ac:dyDescent="0.15">
      <c r="A86" s="31"/>
      <c r="B86" s="32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</row>
    <row r="87" spans="1:35" ht="14" customHeight="1" x14ac:dyDescent="0.15">
      <c r="A87" s="31"/>
      <c r="B87" s="32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  <c r="AC87" s="58"/>
      <c r="AD87" s="58"/>
      <c r="AE87" s="58"/>
      <c r="AF87" s="58"/>
      <c r="AG87" s="58"/>
      <c r="AH87" s="58"/>
      <c r="AI87" s="58"/>
    </row>
    <row r="88" spans="1:35" ht="14" customHeight="1" x14ac:dyDescent="0.15">
      <c r="A88" s="31"/>
      <c r="B88" s="32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  <c r="AB88" s="58"/>
      <c r="AC88" s="58"/>
      <c r="AD88" s="58"/>
      <c r="AE88" s="58"/>
      <c r="AF88" s="58"/>
      <c r="AG88" s="58"/>
      <c r="AH88" s="58"/>
      <c r="AI88" s="58"/>
    </row>
    <row r="89" spans="1:35" ht="14" customHeight="1" x14ac:dyDescent="0.15">
      <c r="A89" s="31"/>
      <c r="B89" s="32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  <c r="AD89" s="58"/>
      <c r="AE89" s="58"/>
      <c r="AF89" s="58"/>
      <c r="AG89" s="58"/>
      <c r="AH89" s="58"/>
      <c r="AI89" s="58"/>
    </row>
    <row r="90" spans="1:35" ht="14.5" customHeight="1" x14ac:dyDescent="0.2">
      <c r="A90" s="38"/>
      <c r="B90" s="32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  <c r="AB90" s="58"/>
      <c r="AC90" s="58"/>
      <c r="AD90" s="58"/>
      <c r="AE90" s="58"/>
      <c r="AF90" s="58"/>
      <c r="AG90" s="58"/>
      <c r="AH90" s="58"/>
      <c r="AI90" s="58"/>
    </row>
    <row r="91" spans="1:35" ht="14.5" customHeight="1" x14ac:dyDescent="0.2">
      <c r="A91" s="35"/>
      <c r="B91" s="32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</row>
    <row r="92" spans="1:35" ht="14" customHeight="1" x14ac:dyDescent="0.15">
      <c r="A92" s="31"/>
      <c r="B92" s="32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</row>
    <row r="93" spans="1:35" ht="14" customHeight="1" x14ac:dyDescent="0.15">
      <c r="A93" s="31"/>
      <c r="B93" s="32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  <c r="AB93" s="58"/>
      <c r="AC93" s="58"/>
      <c r="AD93" s="58"/>
      <c r="AE93" s="58"/>
      <c r="AF93" s="58"/>
      <c r="AG93" s="58"/>
      <c r="AH93" s="58"/>
      <c r="AI93" s="58"/>
    </row>
    <row r="94" spans="1:35" ht="14" customHeight="1" x14ac:dyDescent="0.15">
      <c r="A94" s="31"/>
      <c r="B94" s="32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  <c r="AB94" s="58"/>
      <c r="AC94" s="58"/>
      <c r="AD94" s="58"/>
      <c r="AE94" s="58"/>
      <c r="AF94" s="58"/>
      <c r="AG94" s="58"/>
      <c r="AH94" s="58"/>
      <c r="AI94" s="58"/>
    </row>
    <row r="95" spans="1:35" ht="14.5" customHeight="1" x14ac:dyDescent="0.2">
      <c r="A95" s="37"/>
    </row>
    <row r="96" spans="1:35" ht="14" customHeight="1" x14ac:dyDescent="0.15">
      <c r="A96" s="31"/>
      <c r="B96" s="32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  <c r="AB96" s="58"/>
      <c r="AC96" s="58"/>
      <c r="AD96" s="58"/>
      <c r="AE96" s="58"/>
      <c r="AF96" s="58"/>
      <c r="AG96" s="58"/>
      <c r="AH96" s="58"/>
      <c r="AI96" s="58"/>
    </row>
    <row r="97" spans="1:35" ht="14" customHeight="1" x14ac:dyDescent="0.15">
      <c r="A97" s="31"/>
      <c r="B97" s="32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  <c r="AA97" s="58"/>
      <c r="AB97" s="58"/>
      <c r="AC97" s="58"/>
      <c r="AD97" s="58"/>
      <c r="AE97" s="58"/>
      <c r="AF97" s="58"/>
      <c r="AG97" s="58"/>
      <c r="AH97" s="58"/>
      <c r="AI97" s="58"/>
    </row>
    <row r="98" spans="1:35" ht="14" customHeight="1" x14ac:dyDescent="0.15">
      <c r="A98" s="31"/>
      <c r="B98" s="32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  <c r="AA98" s="58"/>
      <c r="AB98" s="58"/>
      <c r="AC98" s="58"/>
      <c r="AD98" s="58"/>
      <c r="AE98" s="58"/>
      <c r="AF98" s="58"/>
      <c r="AG98" s="58"/>
      <c r="AH98" s="58"/>
      <c r="AI98" s="58"/>
    </row>
    <row r="99" spans="1:35" ht="14" customHeight="1" x14ac:dyDescent="0.15">
      <c r="A99" s="31"/>
      <c r="B99" s="32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  <c r="AA99" s="58"/>
      <c r="AB99" s="58"/>
      <c r="AC99" s="58"/>
      <c r="AD99" s="58"/>
      <c r="AE99" s="58"/>
      <c r="AF99" s="58"/>
      <c r="AG99" s="58"/>
      <c r="AH99" s="58"/>
      <c r="AI99" s="58"/>
    </row>
    <row r="100" spans="1:35" ht="14" customHeight="1" x14ac:dyDescent="0.15">
      <c r="A100" s="31"/>
      <c r="B100" s="32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  <c r="AB100" s="58"/>
      <c r="AC100" s="58"/>
      <c r="AD100" s="58"/>
      <c r="AE100" s="58"/>
      <c r="AF100" s="58"/>
      <c r="AG100" s="58"/>
      <c r="AH100" s="58"/>
      <c r="AI100" s="58"/>
    </row>
    <row r="101" spans="1:35" ht="14" customHeight="1" x14ac:dyDescent="0.15">
      <c r="A101" s="31"/>
      <c r="B101" s="32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  <c r="AA101" s="58"/>
      <c r="AB101" s="58"/>
      <c r="AC101" s="58"/>
      <c r="AD101" s="58"/>
      <c r="AE101" s="58"/>
      <c r="AF101" s="58"/>
      <c r="AG101" s="58"/>
      <c r="AH101" s="58"/>
      <c r="AI101" s="58"/>
    </row>
    <row r="102" spans="1:35" ht="14" customHeight="1" x14ac:dyDescent="0.15">
      <c r="A102" s="31"/>
      <c r="B102" s="32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</row>
    <row r="103" spans="1:35" ht="14" customHeight="1" x14ac:dyDescent="0.15">
      <c r="A103" s="31"/>
      <c r="B103" s="32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  <c r="AA103" s="58"/>
      <c r="AB103" s="58"/>
      <c r="AC103" s="58"/>
      <c r="AD103" s="58"/>
      <c r="AE103" s="58"/>
      <c r="AF103" s="58"/>
      <c r="AG103" s="58"/>
      <c r="AH103" s="58"/>
      <c r="AI103" s="58"/>
    </row>
    <row r="104" spans="1:35" ht="14" customHeight="1" x14ac:dyDescent="0.15">
      <c r="A104" s="31"/>
      <c r="B104" s="32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</row>
    <row r="105" spans="1:35" ht="14" customHeight="1" x14ac:dyDescent="0.15">
      <c r="A105" s="31"/>
      <c r="B105" s="32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  <c r="AH105" s="58"/>
      <c r="AI105" s="58"/>
    </row>
    <row r="106" spans="1:35" ht="14" customHeight="1" x14ac:dyDescent="0.15">
      <c r="A106" s="31"/>
      <c r="B106" s="32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</row>
    <row r="107" spans="1:35" ht="14" customHeight="1" x14ac:dyDescent="0.15">
      <c r="A107" s="33"/>
      <c r="B107" s="34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</row>
    <row r="108" spans="1:35" ht="14.5" customHeight="1" x14ac:dyDescent="0.2">
      <c r="A108" s="29"/>
    </row>
    <row r="109" spans="1:35" ht="14" customHeight="1" x14ac:dyDescent="0.15">
      <c r="A109" s="39"/>
      <c r="B109" s="40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  <c r="AB109" s="41"/>
      <c r="AC109" s="41"/>
      <c r="AD109" s="41"/>
      <c r="AE109" s="41"/>
      <c r="AF109" s="41"/>
      <c r="AG109" s="41"/>
      <c r="AH109" s="41"/>
      <c r="AI109" s="41"/>
    </row>
    <row r="110" spans="1:35" ht="14" customHeight="1" x14ac:dyDescent="0.15">
      <c r="A110" s="39"/>
      <c r="B110" s="40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</row>
    <row r="111" spans="1:35" ht="14" customHeight="1" x14ac:dyDescent="0.15">
      <c r="A111" s="39"/>
      <c r="B111" s="43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</row>
    <row r="112" spans="1:35" ht="14" customHeight="1" x14ac:dyDescent="0.15">
      <c r="A112" s="39"/>
      <c r="B112" s="43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</row>
    <row r="113" spans="1:35" ht="14.5" customHeight="1" x14ac:dyDescent="0.2">
      <c r="A113" s="29"/>
    </row>
    <row r="114" spans="1:35" ht="14" customHeight="1" x14ac:dyDescent="0.15">
      <c r="A114" s="31"/>
      <c r="B114" s="32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</row>
    <row r="115" spans="1:35" ht="14" customHeight="1" x14ac:dyDescent="0.15">
      <c r="A115" s="31"/>
      <c r="B115" s="32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</row>
    <row r="116" spans="1:35" ht="14" customHeight="1" x14ac:dyDescent="0.15">
      <c r="A116" s="31"/>
      <c r="B116" s="32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</row>
    <row r="117" spans="1:35" ht="14" customHeight="1" x14ac:dyDescent="0.15">
      <c r="A117" s="31"/>
      <c r="B117" s="32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</row>
    <row r="118" spans="1:35" ht="14" customHeight="1" x14ac:dyDescent="0.15">
      <c r="A118" s="31"/>
      <c r="B118" s="32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  <c r="AA118" s="58"/>
      <c r="AB118" s="58"/>
      <c r="AC118" s="58"/>
      <c r="AD118" s="58"/>
      <c r="AE118" s="58"/>
      <c r="AF118" s="58"/>
      <c r="AG118" s="58"/>
      <c r="AH118" s="58"/>
      <c r="AI118" s="58"/>
    </row>
    <row r="119" spans="1:35" ht="14" customHeight="1" x14ac:dyDescent="0.15">
      <c r="A119" s="31"/>
      <c r="B119" s="32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  <c r="AA119" s="58"/>
      <c r="AB119" s="58"/>
      <c r="AC119" s="58"/>
      <c r="AD119" s="58"/>
      <c r="AE119" s="58"/>
      <c r="AF119" s="58"/>
      <c r="AG119" s="58"/>
      <c r="AH119" s="58"/>
      <c r="AI119" s="58"/>
    </row>
    <row r="120" spans="1:35" ht="14" customHeight="1" x14ac:dyDescent="0.15">
      <c r="A120" s="31"/>
      <c r="B120" s="32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  <c r="AA120" s="58"/>
      <c r="AB120" s="58"/>
      <c r="AC120" s="58"/>
      <c r="AD120" s="58"/>
      <c r="AE120" s="58"/>
      <c r="AF120" s="58"/>
      <c r="AG120" s="58"/>
      <c r="AH120" s="58"/>
      <c r="AI120" s="58"/>
    </row>
    <row r="121" spans="1:35" ht="14" customHeight="1" x14ac:dyDescent="0.15">
      <c r="A121" s="31"/>
      <c r="B121" s="32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  <c r="AA121" s="58"/>
      <c r="AB121" s="58"/>
      <c r="AC121" s="58"/>
      <c r="AD121" s="58"/>
      <c r="AE121" s="58"/>
      <c r="AF121" s="58"/>
      <c r="AG121" s="58"/>
      <c r="AH121" s="58"/>
      <c r="AI121" s="58"/>
    </row>
    <row r="122" spans="1:35" ht="14" customHeight="1" x14ac:dyDescent="0.15">
      <c r="A122" s="31"/>
      <c r="B122" s="32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  <c r="AA122" s="58"/>
      <c r="AB122" s="58"/>
      <c r="AC122" s="58"/>
      <c r="AD122" s="58"/>
      <c r="AE122" s="58"/>
      <c r="AF122" s="58"/>
      <c r="AG122" s="58"/>
      <c r="AH122" s="58"/>
      <c r="AI122" s="58"/>
    </row>
    <row r="123" spans="1:35" ht="14" customHeight="1" x14ac:dyDescent="0.15">
      <c r="A123" s="31"/>
      <c r="B123" s="32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  <c r="AA123" s="58"/>
      <c r="AB123" s="58"/>
      <c r="AC123" s="58"/>
      <c r="AD123" s="58"/>
      <c r="AE123" s="58"/>
      <c r="AF123" s="58"/>
      <c r="AG123" s="58"/>
      <c r="AH123" s="58"/>
      <c r="AI123" s="58"/>
    </row>
    <row r="124" spans="1:35" ht="14" customHeight="1" x14ac:dyDescent="0.15">
      <c r="A124" s="33"/>
      <c r="B124" s="34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</row>
    <row r="125" spans="1:35" ht="14.5" customHeight="1" x14ac:dyDescent="0.2">
      <c r="A125" s="29"/>
    </row>
    <row r="126" spans="1:35" ht="14.5" customHeight="1" x14ac:dyDescent="0.2">
      <c r="A126" s="35"/>
      <c r="B126" s="32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</row>
    <row r="127" spans="1:35" ht="14" customHeight="1" x14ac:dyDescent="0.15">
      <c r="A127" s="31"/>
      <c r="B127" s="32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</row>
    <row r="128" spans="1:35" ht="14" customHeight="1" x14ac:dyDescent="0.15">
      <c r="A128" s="31"/>
      <c r="B128" s="32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</row>
    <row r="129" spans="1:35" ht="14" customHeight="1" x14ac:dyDescent="0.15">
      <c r="A129" s="31"/>
      <c r="B129" s="32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</row>
    <row r="130" spans="1:35" ht="14" customHeight="1" x14ac:dyDescent="0.15">
      <c r="A130" s="31"/>
      <c r="B130" s="32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</row>
    <row r="131" spans="1:35" ht="14" customHeight="1" x14ac:dyDescent="0.15">
      <c r="A131" s="31"/>
      <c r="B131" s="32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</row>
    <row r="132" spans="1:35" ht="14" customHeight="1" x14ac:dyDescent="0.15">
      <c r="A132" s="31"/>
      <c r="B132" s="32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</row>
    <row r="133" spans="1:35" ht="14" customHeight="1" x14ac:dyDescent="0.15">
      <c r="A133" s="31"/>
      <c r="B133" s="32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</row>
    <row r="134" spans="1:35" ht="14" customHeight="1" x14ac:dyDescent="0.15">
      <c r="A134" s="31"/>
      <c r="B134" s="32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</row>
    <row r="135" spans="1:35" ht="14" customHeight="1" x14ac:dyDescent="0.15">
      <c r="A135" s="31"/>
      <c r="B135" s="32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</row>
    <row r="136" spans="1:35" ht="14" customHeight="1" x14ac:dyDescent="0.15">
      <c r="A136" s="31"/>
      <c r="B136" s="32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</row>
    <row r="137" spans="1:35" ht="14" customHeight="1" x14ac:dyDescent="0.15">
      <c r="A137" s="31"/>
      <c r="B137" s="32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</row>
    <row r="138" spans="1:35" ht="14" customHeight="1" x14ac:dyDescent="0.15">
      <c r="A138" s="31"/>
      <c r="B138" s="32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</row>
    <row r="139" spans="1:35" ht="14" customHeight="1" x14ac:dyDescent="0.15">
      <c r="A139" s="31"/>
      <c r="B139" s="32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</row>
    <row r="140" spans="1:35" ht="14" customHeight="1" x14ac:dyDescent="0.15">
      <c r="A140" s="31"/>
      <c r="B140" s="32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</row>
    <row r="141" spans="1:35" ht="14" customHeight="1" x14ac:dyDescent="0.15">
      <c r="A141" s="31"/>
      <c r="B141" s="32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</row>
    <row r="142" spans="1:35" ht="14" customHeight="1" x14ac:dyDescent="0.15">
      <c r="A142" s="31"/>
      <c r="B142" s="32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</row>
    <row r="143" spans="1:35" ht="14" customHeight="1" x14ac:dyDescent="0.15">
      <c r="A143" s="31"/>
      <c r="B143" s="32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</row>
    <row r="144" spans="1:35" ht="14" customHeight="1" x14ac:dyDescent="0.15">
      <c r="A144" s="31"/>
      <c r="B144" s="32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</row>
    <row r="145" spans="1:35" ht="14" customHeight="1" x14ac:dyDescent="0.15">
      <c r="A145" s="31"/>
      <c r="B145" s="32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</row>
    <row r="146" spans="1:35" ht="14" customHeight="1" x14ac:dyDescent="0.15">
      <c r="A146" s="33"/>
      <c r="B146" s="34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</row>
    <row r="147" spans="1:35" ht="14" customHeight="1" x14ac:dyDescent="0.15">
      <c r="A147" s="31"/>
      <c r="B147" s="32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</row>
    <row r="148" spans="1:35" ht="14" customHeight="1" x14ac:dyDescent="0.15">
      <c r="A148" s="33"/>
      <c r="B148" s="34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</row>
    <row r="149" spans="1:35" ht="14" customHeight="1" x14ac:dyDescent="0.15"/>
    <row r="150" spans="1:35" ht="14" customHeight="1" x14ac:dyDescent="0.15">
      <c r="C150" s="60"/>
      <c r="D150" s="60"/>
      <c r="E150" s="60"/>
      <c r="F150" s="60"/>
      <c r="G150" s="60"/>
      <c r="H150" s="60"/>
      <c r="I150" s="60"/>
      <c r="J150" s="60"/>
      <c r="K150" s="60"/>
      <c r="L150" s="60"/>
    </row>
    <row r="151" spans="1:35" ht="14" customHeight="1" x14ac:dyDescent="0.15">
      <c r="C151" s="60"/>
      <c r="D151" s="60"/>
      <c r="E151" s="60"/>
      <c r="F151" s="60"/>
      <c r="G151" s="60"/>
      <c r="H151" s="60"/>
      <c r="I151" s="60"/>
      <c r="J151" s="60"/>
      <c r="K151" s="60"/>
      <c r="L151" s="60"/>
    </row>
    <row r="152" spans="1:35" ht="14" customHeight="1" x14ac:dyDescent="0.15"/>
    <row r="153" spans="1:35" ht="14" customHeight="1" x14ac:dyDescent="0.15"/>
    <row r="154" spans="1:35" ht="14" customHeight="1" x14ac:dyDescent="0.15"/>
    <row r="155" spans="1:35" ht="14" customHeight="1" x14ac:dyDescent="0.15"/>
    <row r="156" spans="1:35" ht="14" customHeight="1" x14ac:dyDescent="0.15"/>
    <row r="157" spans="1:35" ht="14" customHeight="1" x14ac:dyDescent="0.15"/>
    <row r="158" spans="1:35" ht="14" customHeight="1" x14ac:dyDescent="0.15"/>
    <row r="159" spans="1:35" ht="14" customHeight="1" x14ac:dyDescent="0.15"/>
    <row r="160" spans="1:35" ht="14" customHeight="1" x14ac:dyDescent="0.15"/>
    <row r="161" ht="14" customHeight="1" x14ac:dyDescent="0.15"/>
    <row r="162" ht="14" customHeight="1" x14ac:dyDescent="0.15"/>
    <row r="163" ht="14" customHeight="1" x14ac:dyDescent="0.15"/>
    <row r="164" ht="14" customHeight="1" x14ac:dyDescent="0.15"/>
    <row r="165" ht="14" customHeight="1" x14ac:dyDescent="0.15"/>
    <row r="166" ht="14" customHeight="1" x14ac:dyDescent="0.15"/>
    <row r="167" ht="14" customHeight="1" x14ac:dyDescent="0.15"/>
    <row r="168" ht="14" customHeight="1" x14ac:dyDescent="0.15"/>
    <row r="169" ht="14" customHeight="1" x14ac:dyDescent="0.15"/>
    <row r="170" ht="14" customHeight="1" x14ac:dyDescent="0.15"/>
    <row r="171" ht="14" customHeight="1" x14ac:dyDescent="0.15"/>
    <row r="172" ht="14" customHeight="1" x14ac:dyDescent="0.15"/>
    <row r="173" ht="14" customHeight="1" x14ac:dyDescent="0.15"/>
    <row r="174" ht="14" customHeight="1" x14ac:dyDescent="0.15"/>
    <row r="175" ht="14" customHeight="1" x14ac:dyDescent="0.15"/>
    <row r="176" ht="14" customHeight="1" x14ac:dyDescent="0.15"/>
    <row r="177" ht="14" customHeight="1" x14ac:dyDescent="0.15"/>
    <row r="178" ht="14" customHeight="1" x14ac:dyDescent="0.15"/>
    <row r="179" ht="14" customHeight="1" x14ac:dyDescent="0.15"/>
    <row r="180" ht="14" customHeight="1" x14ac:dyDescent="0.15"/>
    <row r="181" ht="14" customHeight="1" x14ac:dyDescent="0.15"/>
    <row r="182" ht="14" customHeight="1" x14ac:dyDescent="0.15"/>
    <row r="183" ht="14" customHeight="1" x14ac:dyDescent="0.15"/>
    <row r="184" ht="14" customHeight="1" x14ac:dyDescent="0.15"/>
    <row r="185" ht="14" customHeight="1" x14ac:dyDescent="0.15"/>
    <row r="186" ht="14" customHeight="1" x14ac:dyDescent="0.15"/>
    <row r="187" ht="14" customHeight="1" x14ac:dyDescent="0.15"/>
    <row r="188" ht="14" customHeight="1" x14ac:dyDescent="0.15"/>
    <row r="189" ht="14" customHeight="1" x14ac:dyDescent="0.15"/>
    <row r="190" ht="14" customHeight="1" x14ac:dyDescent="0.15"/>
    <row r="191" ht="14" customHeight="1" x14ac:dyDescent="0.15"/>
    <row r="192" ht="14" customHeight="1" x14ac:dyDescent="0.15"/>
    <row r="193" ht="14" customHeight="1" x14ac:dyDescent="0.15"/>
    <row r="194" ht="14" customHeight="1" x14ac:dyDescent="0.15"/>
    <row r="195" ht="14" customHeight="1" x14ac:dyDescent="0.15"/>
    <row r="196" ht="14" customHeight="1" x14ac:dyDescent="0.15"/>
    <row r="197" ht="14" customHeight="1" x14ac:dyDescent="0.15"/>
    <row r="198" ht="14" customHeight="1" x14ac:dyDescent="0.15"/>
    <row r="199" ht="14" customHeight="1" x14ac:dyDescent="0.15"/>
    <row r="200" ht="14" customHeight="1" x14ac:dyDescent="0.15"/>
    <row r="201" ht="14" customHeight="1" x14ac:dyDescent="0.15"/>
    <row r="202" ht="14" customHeight="1" x14ac:dyDescent="0.15"/>
    <row r="203" ht="14" customHeight="1" x14ac:dyDescent="0.15"/>
    <row r="204" ht="14" customHeight="1" x14ac:dyDescent="0.15"/>
    <row r="205" ht="14" customHeight="1" x14ac:dyDescent="0.15"/>
    <row r="206" ht="14" customHeight="1" x14ac:dyDescent="0.15"/>
    <row r="207" ht="14" customHeight="1" x14ac:dyDescent="0.15"/>
    <row r="208" ht="14" customHeight="1" x14ac:dyDescent="0.15"/>
    <row r="209" ht="14" customHeight="1" x14ac:dyDescent="0.15"/>
    <row r="210" ht="14" customHeight="1" x14ac:dyDescent="0.15"/>
    <row r="211" ht="14" customHeight="1" x14ac:dyDescent="0.15"/>
    <row r="212" ht="14" customHeight="1" x14ac:dyDescent="0.15"/>
    <row r="213" ht="14" customHeight="1" x14ac:dyDescent="0.15"/>
    <row r="214" ht="14" customHeight="1" x14ac:dyDescent="0.15"/>
    <row r="215" ht="14" customHeight="1" x14ac:dyDescent="0.15"/>
    <row r="216" ht="14" customHeight="1" x14ac:dyDescent="0.15"/>
    <row r="217" ht="14" customHeight="1" x14ac:dyDescent="0.15"/>
    <row r="218" ht="14" customHeight="1" x14ac:dyDescent="0.15"/>
    <row r="219" ht="14" customHeight="1" x14ac:dyDescent="0.15"/>
    <row r="220" ht="14" customHeight="1" x14ac:dyDescent="0.15"/>
    <row r="221" ht="14" customHeight="1" x14ac:dyDescent="0.15"/>
    <row r="222" ht="14" customHeight="1" x14ac:dyDescent="0.15"/>
    <row r="223" ht="14" customHeight="1" x14ac:dyDescent="0.15"/>
    <row r="224" ht="14" customHeight="1" x14ac:dyDescent="0.15"/>
    <row r="225" ht="14" customHeight="1" x14ac:dyDescent="0.15"/>
    <row r="226" ht="14" customHeight="1" x14ac:dyDescent="0.15"/>
    <row r="227" ht="14" customHeight="1" x14ac:dyDescent="0.15"/>
    <row r="228" ht="14" customHeight="1" x14ac:dyDescent="0.15"/>
    <row r="229" ht="14" customHeight="1" x14ac:dyDescent="0.15"/>
    <row r="230" ht="14" customHeight="1" x14ac:dyDescent="0.15"/>
    <row r="231" ht="14" customHeight="1" x14ac:dyDescent="0.15"/>
    <row r="232" ht="14" customHeight="1" x14ac:dyDescent="0.15"/>
    <row r="233" ht="14" customHeight="1" x14ac:dyDescent="0.15"/>
    <row r="234" ht="14" customHeight="1" x14ac:dyDescent="0.15"/>
    <row r="235" ht="14" customHeight="1" x14ac:dyDescent="0.15"/>
    <row r="236" ht="14" customHeight="1" x14ac:dyDescent="0.15"/>
    <row r="237" ht="14" customHeight="1" x14ac:dyDescent="0.15"/>
    <row r="238" ht="14" customHeight="1" x14ac:dyDescent="0.15"/>
    <row r="239" ht="14" customHeight="1" x14ac:dyDescent="0.15"/>
    <row r="240" ht="14" customHeight="1" x14ac:dyDescent="0.15"/>
    <row r="241" ht="14" customHeight="1" x14ac:dyDescent="0.15"/>
    <row r="242" ht="14" customHeight="1" x14ac:dyDescent="0.15"/>
    <row r="243" ht="14" customHeight="1" x14ac:dyDescent="0.15"/>
    <row r="244" ht="14" customHeight="1" x14ac:dyDescent="0.15"/>
    <row r="245" ht="14" customHeight="1" x14ac:dyDescent="0.15"/>
    <row r="246" ht="14" customHeight="1" x14ac:dyDescent="0.15"/>
    <row r="247" ht="14" customHeight="1" x14ac:dyDescent="0.15"/>
    <row r="248" ht="14" customHeight="1" x14ac:dyDescent="0.15"/>
    <row r="249" ht="14" customHeight="1" x14ac:dyDescent="0.15"/>
    <row r="250" ht="14" customHeight="1" x14ac:dyDescent="0.15"/>
    <row r="251" ht="14" customHeight="1" x14ac:dyDescent="0.15"/>
    <row r="252" ht="14" customHeight="1" x14ac:dyDescent="0.15"/>
    <row r="253" ht="14" customHeight="1" x14ac:dyDescent="0.15"/>
    <row r="254" ht="14" customHeight="1" x14ac:dyDescent="0.15"/>
    <row r="255" ht="14" customHeight="1" x14ac:dyDescent="0.15"/>
    <row r="256" ht="14" customHeight="1" x14ac:dyDescent="0.15"/>
    <row r="257" ht="14" customHeight="1" x14ac:dyDescent="0.15"/>
    <row r="258" ht="14" customHeight="1" x14ac:dyDescent="0.15"/>
    <row r="259" ht="14" customHeight="1" x14ac:dyDescent="0.15"/>
    <row r="260" ht="14" customHeight="1" x14ac:dyDescent="0.15"/>
    <row r="261" ht="14" customHeight="1" x14ac:dyDescent="0.15"/>
    <row r="262" ht="14" customHeight="1" x14ac:dyDescent="0.15"/>
    <row r="263" ht="14" customHeight="1" x14ac:dyDescent="0.15"/>
    <row r="264" ht="14" customHeight="1" x14ac:dyDescent="0.15"/>
    <row r="265" ht="14" customHeight="1" x14ac:dyDescent="0.15"/>
    <row r="266" ht="14" customHeight="1" x14ac:dyDescent="0.15"/>
    <row r="267" ht="14" customHeight="1" x14ac:dyDescent="0.15"/>
    <row r="268" ht="14" customHeight="1" x14ac:dyDescent="0.15"/>
    <row r="269" ht="14" customHeight="1" x14ac:dyDescent="0.15"/>
    <row r="270" ht="14" customHeight="1" x14ac:dyDescent="0.15"/>
    <row r="271" ht="14" customHeight="1" x14ac:dyDescent="0.15"/>
    <row r="272" ht="14" customHeight="1" x14ac:dyDescent="0.15"/>
    <row r="273" ht="14" customHeight="1" x14ac:dyDescent="0.15"/>
    <row r="274" ht="14" customHeight="1" x14ac:dyDescent="0.15"/>
    <row r="275" ht="14" customHeight="1" x14ac:dyDescent="0.15"/>
    <row r="276" ht="14" customHeight="1" x14ac:dyDescent="0.15"/>
    <row r="277" ht="14" customHeight="1" x14ac:dyDescent="0.15"/>
    <row r="278" ht="14" customHeight="1" x14ac:dyDescent="0.15"/>
    <row r="279" ht="14" customHeight="1" x14ac:dyDescent="0.15"/>
    <row r="280" ht="14" customHeight="1" x14ac:dyDescent="0.15"/>
    <row r="281" ht="14" customHeight="1" x14ac:dyDescent="0.15"/>
    <row r="282" ht="14" customHeight="1" x14ac:dyDescent="0.15"/>
    <row r="283" ht="14" customHeight="1" x14ac:dyDescent="0.15"/>
    <row r="284" ht="14" customHeight="1" x14ac:dyDescent="0.15"/>
    <row r="285" ht="14" customHeight="1" x14ac:dyDescent="0.15"/>
    <row r="286" ht="14" customHeight="1" x14ac:dyDescent="0.15"/>
    <row r="287" ht="14" customHeight="1" x14ac:dyDescent="0.15"/>
    <row r="288" ht="14" customHeight="1" x14ac:dyDescent="0.15"/>
    <row r="289" ht="14" customHeight="1" x14ac:dyDescent="0.15"/>
    <row r="290" ht="14" customHeight="1" x14ac:dyDescent="0.15"/>
    <row r="291" ht="14" customHeight="1" x14ac:dyDescent="0.15"/>
    <row r="292" ht="14" customHeight="1" x14ac:dyDescent="0.15"/>
    <row r="293" ht="14" customHeight="1" x14ac:dyDescent="0.15"/>
    <row r="294" ht="14" customHeight="1" x14ac:dyDescent="0.15"/>
    <row r="295" ht="14" customHeight="1" x14ac:dyDescent="0.15"/>
    <row r="296" ht="14" customHeight="1" x14ac:dyDescent="0.15"/>
    <row r="297" ht="14" customHeight="1" x14ac:dyDescent="0.15"/>
    <row r="298" ht="14" customHeight="1" x14ac:dyDescent="0.15"/>
    <row r="299" ht="14" customHeight="1" x14ac:dyDescent="0.15"/>
    <row r="300" ht="14" customHeight="1" x14ac:dyDescent="0.15"/>
    <row r="301" ht="14" customHeight="1" x14ac:dyDescent="0.15"/>
    <row r="302" ht="14" customHeight="1" x14ac:dyDescent="0.15"/>
    <row r="303" ht="14" customHeight="1" x14ac:dyDescent="0.15"/>
    <row r="304" ht="14" customHeight="1" x14ac:dyDescent="0.15"/>
    <row r="305" ht="14" customHeight="1" x14ac:dyDescent="0.15"/>
    <row r="306" ht="14" customHeight="1" x14ac:dyDescent="0.15"/>
    <row r="307" ht="14" customHeight="1" x14ac:dyDescent="0.15"/>
    <row r="308" ht="14" customHeight="1" x14ac:dyDescent="0.15"/>
    <row r="309" ht="14" customHeight="1" x14ac:dyDescent="0.15"/>
    <row r="310" ht="14" customHeight="1" x14ac:dyDescent="0.15"/>
    <row r="311" ht="14" customHeight="1" x14ac:dyDescent="0.15"/>
    <row r="312" ht="14" customHeight="1" x14ac:dyDescent="0.15"/>
    <row r="313" ht="14" customHeight="1" x14ac:dyDescent="0.15"/>
    <row r="314" ht="14" customHeight="1" x14ac:dyDescent="0.15"/>
    <row r="315" ht="14" customHeight="1" x14ac:dyDescent="0.15"/>
    <row r="316" ht="14" customHeight="1" x14ac:dyDescent="0.15"/>
    <row r="317" ht="14" customHeight="1" x14ac:dyDescent="0.15"/>
    <row r="318" ht="14" customHeight="1" x14ac:dyDescent="0.15"/>
    <row r="319" ht="14" customHeight="1" x14ac:dyDescent="0.15"/>
    <row r="320" ht="14" customHeight="1" x14ac:dyDescent="0.15"/>
    <row r="321" ht="14" customHeight="1" x14ac:dyDescent="0.15"/>
    <row r="322" ht="14" customHeight="1" x14ac:dyDescent="0.15"/>
    <row r="323" ht="14" customHeight="1" x14ac:dyDescent="0.15"/>
    <row r="324" ht="14" customHeight="1" x14ac:dyDescent="0.15"/>
    <row r="325" ht="14" customHeight="1" x14ac:dyDescent="0.15"/>
    <row r="326" ht="14" customHeight="1" x14ac:dyDescent="0.15"/>
    <row r="327" ht="14" customHeight="1" x14ac:dyDescent="0.15"/>
    <row r="328" ht="14" customHeight="1" x14ac:dyDescent="0.15"/>
    <row r="329" ht="14" customHeight="1" x14ac:dyDescent="0.15"/>
    <row r="330" ht="14" customHeight="1" x14ac:dyDescent="0.15"/>
    <row r="331" ht="14" customHeight="1" x14ac:dyDescent="0.15"/>
    <row r="332" ht="14" customHeight="1" x14ac:dyDescent="0.15"/>
    <row r="333" ht="14" customHeight="1" x14ac:dyDescent="0.15"/>
    <row r="334" ht="14" customHeight="1" x14ac:dyDescent="0.15"/>
    <row r="335" ht="14" customHeight="1" x14ac:dyDescent="0.15"/>
    <row r="336" ht="14" customHeight="1" x14ac:dyDescent="0.15"/>
    <row r="337" ht="14" customHeight="1" x14ac:dyDescent="0.15"/>
    <row r="338" ht="14" customHeight="1" x14ac:dyDescent="0.15"/>
    <row r="339" ht="14" customHeight="1" x14ac:dyDescent="0.15"/>
    <row r="340" ht="14" customHeight="1" x14ac:dyDescent="0.15"/>
    <row r="341" ht="14" customHeight="1" x14ac:dyDescent="0.15"/>
    <row r="342" ht="14" customHeight="1" x14ac:dyDescent="0.15"/>
    <row r="343" ht="14" customHeight="1" x14ac:dyDescent="0.15"/>
    <row r="344" ht="14" customHeight="1" x14ac:dyDescent="0.15"/>
    <row r="345" ht="14" customHeight="1" x14ac:dyDescent="0.15"/>
    <row r="346" ht="14" customHeight="1" x14ac:dyDescent="0.15"/>
    <row r="347" ht="14" customHeight="1" x14ac:dyDescent="0.15"/>
    <row r="348" ht="14" customHeight="1" x14ac:dyDescent="0.15"/>
    <row r="349" ht="14" customHeight="1" x14ac:dyDescent="0.15"/>
    <row r="350" ht="14" customHeight="1" x14ac:dyDescent="0.15"/>
    <row r="351" ht="14" customHeight="1" x14ac:dyDescent="0.15"/>
    <row r="352" ht="14" customHeight="1" x14ac:dyDescent="0.15"/>
    <row r="353" ht="14" customHeight="1" x14ac:dyDescent="0.15"/>
    <row r="354" ht="14" customHeight="1" x14ac:dyDescent="0.15"/>
    <row r="355" ht="14" customHeight="1" x14ac:dyDescent="0.15"/>
    <row r="356" ht="14" customHeight="1" x14ac:dyDescent="0.15"/>
    <row r="357" ht="14" customHeight="1" x14ac:dyDescent="0.15"/>
    <row r="358" ht="14" customHeight="1" x14ac:dyDescent="0.15"/>
    <row r="359" ht="14" customHeight="1" x14ac:dyDescent="0.15"/>
    <row r="360" ht="14" customHeight="1" x14ac:dyDescent="0.15"/>
    <row r="361" ht="14" customHeight="1" x14ac:dyDescent="0.15"/>
    <row r="362" ht="14" customHeight="1" x14ac:dyDescent="0.15"/>
    <row r="363" ht="14" customHeight="1" x14ac:dyDescent="0.15"/>
    <row r="364" ht="14" customHeight="1" x14ac:dyDescent="0.15"/>
    <row r="365" ht="14" customHeight="1" x14ac:dyDescent="0.15"/>
    <row r="366" ht="14" customHeight="1" x14ac:dyDescent="0.15"/>
    <row r="367" ht="14" customHeight="1" x14ac:dyDescent="0.15"/>
    <row r="368" ht="14" customHeight="1" x14ac:dyDescent="0.15"/>
    <row r="369" ht="14" customHeight="1" x14ac:dyDescent="0.15"/>
    <row r="370" ht="14" customHeight="1" x14ac:dyDescent="0.15"/>
    <row r="371" ht="14" customHeight="1" x14ac:dyDescent="0.15"/>
    <row r="372" ht="14" customHeight="1" x14ac:dyDescent="0.15"/>
    <row r="373" ht="14" customHeight="1" x14ac:dyDescent="0.15"/>
    <row r="374" ht="14" customHeight="1" x14ac:dyDescent="0.15"/>
    <row r="375" ht="14" customHeight="1" x14ac:dyDescent="0.15"/>
    <row r="376" ht="14" customHeight="1" x14ac:dyDescent="0.15"/>
    <row r="377" ht="14" customHeight="1" x14ac:dyDescent="0.15"/>
    <row r="378" ht="14" customHeight="1" x14ac:dyDescent="0.15"/>
    <row r="379" ht="14" customHeight="1" x14ac:dyDescent="0.15"/>
    <row r="380" ht="14" customHeight="1" x14ac:dyDescent="0.15"/>
    <row r="381" ht="14" customHeight="1" x14ac:dyDescent="0.15"/>
    <row r="382" ht="14" customHeight="1" x14ac:dyDescent="0.15"/>
    <row r="383" ht="14" customHeight="1" x14ac:dyDescent="0.15"/>
    <row r="384" ht="14" customHeight="1" x14ac:dyDescent="0.15"/>
    <row r="385" ht="14" customHeight="1" x14ac:dyDescent="0.15"/>
    <row r="386" ht="14" customHeight="1" x14ac:dyDescent="0.15"/>
    <row r="387" ht="14" customHeight="1" x14ac:dyDescent="0.15"/>
    <row r="388" ht="14" customHeight="1" x14ac:dyDescent="0.15"/>
    <row r="389" ht="14" customHeight="1" x14ac:dyDescent="0.15"/>
    <row r="390" ht="14" customHeight="1" x14ac:dyDescent="0.15"/>
    <row r="391" ht="14" customHeight="1" x14ac:dyDescent="0.15"/>
    <row r="392" ht="14" customHeight="1" x14ac:dyDescent="0.15"/>
    <row r="393" ht="14" customHeight="1" x14ac:dyDescent="0.15"/>
    <row r="394" ht="14" customHeight="1" x14ac:dyDescent="0.15"/>
    <row r="395" ht="14" customHeight="1" x14ac:dyDescent="0.15"/>
    <row r="396" ht="14" customHeight="1" x14ac:dyDescent="0.15"/>
    <row r="397" ht="14" customHeight="1" x14ac:dyDescent="0.15"/>
    <row r="398" ht="14" customHeight="1" x14ac:dyDescent="0.15"/>
    <row r="399" ht="14" customHeight="1" x14ac:dyDescent="0.15"/>
    <row r="400" ht="14" customHeight="1" x14ac:dyDescent="0.15"/>
    <row r="401" ht="14" customHeight="1" x14ac:dyDescent="0.15"/>
    <row r="402" ht="14" customHeight="1" x14ac:dyDescent="0.15"/>
    <row r="403" ht="14" customHeight="1" x14ac:dyDescent="0.15"/>
    <row r="404" ht="14" customHeight="1" x14ac:dyDescent="0.15"/>
    <row r="405" ht="14" customHeight="1" x14ac:dyDescent="0.15"/>
    <row r="406" ht="14" customHeight="1" x14ac:dyDescent="0.15"/>
    <row r="407" ht="14" customHeight="1" x14ac:dyDescent="0.15"/>
    <row r="408" ht="14" customHeight="1" x14ac:dyDescent="0.15"/>
    <row r="409" ht="14" customHeight="1" x14ac:dyDescent="0.15"/>
    <row r="410" ht="14" customHeight="1" x14ac:dyDescent="0.15"/>
    <row r="411" ht="14" customHeight="1" x14ac:dyDescent="0.15"/>
    <row r="412" ht="14" customHeight="1" x14ac:dyDescent="0.15"/>
    <row r="413" ht="14" customHeight="1" x14ac:dyDescent="0.15"/>
    <row r="414" ht="14" customHeight="1" x14ac:dyDescent="0.15"/>
    <row r="415" ht="14" customHeight="1" x14ac:dyDescent="0.15"/>
    <row r="416" ht="14" customHeight="1" x14ac:dyDescent="0.15"/>
    <row r="417" ht="14" customHeight="1" x14ac:dyDescent="0.15"/>
    <row r="418" ht="14" customHeight="1" x14ac:dyDescent="0.15"/>
    <row r="419" ht="14" customHeight="1" x14ac:dyDescent="0.15"/>
    <row r="420" ht="14" customHeight="1" x14ac:dyDescent="0.15"/>
    <row r="421" ht="14" customHeight="1" x14ac:dyDescent="0.15"/>
    <row r="422" ht="14" customHeight="1" x14ac:dyDescent="0.15"/>
    <row r="423" ht="14" customHeight="1" x14ac:dyDescent="0.15"/>
    <row r="424" ht="14" customHeight="1" x14ac:dyDescent="0.15"/>
    <row r="425" ht="14" customHeight="1" x14ac:dyDescent="0.15"/>
    <row r="426" ht="14" customHeight="1" x14ac:dyDescent="0.15"/>
    <row r="427" ht="14" customHeight="1" x14ac:dyDescent="0.15"/>
    <row r="428" ht="14" customHeight="1" x14ac:dyDescent="0.15"/>
    <row r="429" ht="14" customHeight="1" x14ac:dyDescent="0.15"/>
    <row r="430" ht="14" customHeight="1" x14ac:dyDescent="0.15"/>
    <row r="431" ht="14" customHeight="1" x14ac:dyDescent="0.15"/>
    <row r="432" ht="14" customHeight="1" x14ac:dyDescent="0.15"/>
    <row r="433" ht="14" customHeight="1" x14ac:dyDescent="0.15"/>
    <row r="434" ht="14" customHeight="1" x14ac:dyDescent="0.15"/>
    <row r="435" ht="14" customHeight="1" x14ac:dyDescent="0.15"/>
    <row r="436" ht="14" customHeight="1" x14ac:dyDescent="0.15"/>
    <row r="437" ht="14" customHeight="1" x14ac:dyDescent="0.15"/>
    <row r="438" ht="14" customHeight="1" x14ac:dyDescent="0.15"/>
    <row r="439" ht="14" customHeight="1" x14ac:dyDescent="0.15"/>
    <row r="440" ht="14" customHeight="1" x14ac:dyDescent="0.15"/>
    <row r="441" ht="14" customHeight="1" x14ac:dyDescent="0.15"/>
    <row r="442" ht="14" customHeight="1" x14ac:dyDescent="0.15"/>
    <row r="443" ht="14" customHeight="1" x14ac:dyDescent="0.15"/>
    <row r="444" ht="14" customHeight="1" x14ac:dyDescent="0.15"/>
    <row r="445" ht="14" customHeight="1" x14ac:dyDescent="0.15"/>
    <row r="446" ht="14" customHeight="1" x14ac:dyDescent="0.15"/>
    <row r="447" ht="14" customHeight="1" x14ac:dyDescent="0.15"/>
    <row r="448" ht="14" customHeight="1" x14ac:dyDescent="0.15"/>
    <row r="449" ht="14" customHeight="1" x14ac:dyDescent="0.15"/>
    <row r="450" ht="14" customHeight="1" x14ac:dyDescent="0.15"/>
    <row r="451" ht="14" customHeight="1" x14ac:dyDescent="0.15"/>
    <row r="452" ht="14" customHeight="1" x14ac:dyDescent="0.15"/>
    <row r="453" ht="14" customHeight="1" x14ac:dyDescent="0.15"/>
    <row r="454" ht="14" customHeight="1" x14ac:dyDescent="0.15"/>
    <row r="455" ht="14" customHeight="1" x14ac:dyDescent="0.15"/>
    <row r="456" ht="14" customHeight="1" x14ac:dyDescent="0.15"/>
    <row r="457" ht="14" customHeight="1" x14ac:dyDescent="0.15"/>
    <row r="458" ht="14" customHeight="1" x14ac:dyDescent="0.15"/>
    <row r="459" ht="14" customHeight="1" x14ac:dyDescent="0.15"/>
    <row r="460" ht="14" customHeight="1" x14ac:dyDescent="0.15"/>
    <row r="461" ht="14" customHeight="1" x14ac:dyDescent="0.15"/>
    <row r="462" ht="14" customHeight="1" x14ac:dyDescent="0.15"/>
    <row r="463" ht="14" customHeight="1" x14ac:dyDescent="0.15"/>
    <row r="464" ht="14" customHeight="1" x14ac:dyDescent="0.15"/>
    <row r="465" ht="14" customHeight="1" x14ac:dyDescent="0.15"/>
    <row r="466" ht="14" customHeight="1" x14ac:dyDescent="0.15"/>
    <row r="467" ht="14" customHeight="1" x14ac:dyDescent="0.15"/>
    <row r="468" ht="14" customHeight="1" x14ac:dyDescent="0.15"/>
    <row r="469" ht="14" customHeight="1" x14ac:dyDescent="0.15"/>
    <row r="470" ht="14" customHeight="1" x14ac:dyDescent="0.15"/>
    <row r="471" ht="14" customHeight="1" x14ac:dyDescent="0.15"/>
    <row r="472" ht="14" customHeight="1" x14ac:dyDescent="0.15"/>
    <row r="473" ht="14" customHeight="1" x14ac:dyDescent="0.15"/>
    <row r="474" ht="14" customHeight="1" x14ac:dyDescent="0.15"/>
    <row r="475" ht="14" customHeight="1" x14ac:dyDescent="0.15"/>
    <row r="476" ht="14" customHeight="1" x14ac:dyDescent="0.15"/>
    <row r="477" ht="14" customHeight="1" x14ac:dyDescent="0.15"/>
    <row r="478" ht="14" customHeight="1" x14ac:dyDescent="0.15"/>
    <row r="479" ht="14" customHeight="1" x14ac:dyDescent="0.15"/>
    <row r="480" ht="14" customHeight="1" x14ac:dyDescent="0.15"/>
    <row r="481" ht="14" customHeight="1" x14ac:dyDescent="0.15"/>
    <row r="482" ht="14" customHeight="1" x14ac:dyDescent="0.15"/>
    <row r="483" ht="14" customHeight="1" x14ac:dyDescent="0.15"/>
    <row r="484" ht="14" customHeight="1" x14ac:dyDescent="0.15"/>
    <row r="485" ht="14" customHeight="1" x14ac:dyDescent="0.15"/>
    <row r="486" ht="14" customHeight="1" x14ac:dyDescent="0.15"/>
    <row r="487" ht="14" customHeight="1" x14ac:dyDescent="0.15"/>
    <row r="488" ht="14" customHeight="1" x14ac:dyDescent="0.15"/>
    <row r="489" ht="14" customHeight="1" x14ac:dyDescent="0.15"/>
    <row r="490" ht="14" customHeight="1" x14ac:dyDescent="0.15"/>
    <row r="491" ht="14" customHeight="1" x14ac:dyDescent="0.15"/>
    <row r="492" ht="14" customHeight="1" x14ac:dyDescent="0.15"/>
    <row r="493" ht="14" customHeight="1" x14ac:dyDescent="0.15"/>
    <row r="494" ht="14" customHeight="1" x14ac:dyDescent="0.15"/>
    <row r="495" ht="14" customHeight="1" x14ac:dyDescent="0.15"/>
    <row r="496" ht="14" customHeight="1" x14ac:dyDescent="0.15"/>
    <row r="497" ht="14" customHeight="1" x14ac:dyDescent="0.15"/>
    <row r="498" ht="14" customHeight="1" x14ac:dyDescent="0.15"/>
    <row r="499" ht="14" customHeight="1" x14ac:dyDescent="0.15"/>
    <row r="500" ht="14" customHeight="1" x14ac:dyDescent="0.15"/>
    <row r="501" ht="14" customHeight="1" x14ac:dyDescent="0.15"/>
    <row r="502" ht="14" customHeight="1" x14ac:dyDescent="0.15"/>
    <row r="503" ht="14" customHeight="1" x14ac:dyDescent="0.15"/>
    <row r="504" ht="14" customHeight="1" x14ac:dyDescent="0.15"/>
    <row r="505" ht="14" customHeight="1" x14ac:dyDescent="0.15"/>
    <row r="506" ht="14" customHeight="1" x14ac:dyDescent="0.15"/>
    <row r="507" ht="14" customHeight="1" x14ac:dyDescent="0.15"/>
    <row r="508" ht="14" customHeight="1" x14ac:dyDescent="0.15"/>
    <row r="509" ht="14" customHeight="1" x14ac:dyDescent="0.15"/>
    <row r="510" ht="14" customHeight="1" x14ac:dyDescent="0.15"/>
    <row r="511" ht="14" customHeight="1" x14ac:dyDescent="0.15"/>
    <row r="512" ht="14" customHeight="1" x14ac:dyDescent="0.15"/>
    <row r="513" ht="14" customHeight="1" x14ac:dyDescent="0.15"/>
    <row r="514" ht="14" customHeight="1" x14ac:dyDescent="0.15"/>
    <row r="515" ht="14" customHeight="1" x14ac:dyDescent="0.15"/>
    <row r="516" ht="14" customHeight="1" x14ac:dyDescent="0.15"/>
    <row r="517" ht="14" customHeight="1" x14ac:dyDescent="0.15"/>
    <row r="518" ht="14" customHeight="1" x14ac:dyDescent="0.15"/>
    <row r="519" ht="14" customHeight="1" x14ac:dyDescent="0.15"/>
    <row r="520" ht="14" customHeight="1" x14ac:dyDescent="0.15"/>
    <row r="521" ht="14" customHeight="1" x14ac:dyDescent="0.15"/>
    <row r="522" ht="14" customHeight="1" x14ac:dyDescent="0.15"/>
    <row r="523" ht="14" customHeight="1" x14ac:dyDescent="0.15"/>
    <row r="524" ht="14" customHeight="1" x14ac:dyDescent="0.15"/>
    <row r="525" ht="14" customHeight="1" x14ac:dyDescent="0.15"/>
    <row r="526" ht="14" customHeight="1" x14ac:dyDescent="0.15"/>
    <row r="527" ht="14" customHeight="1" x14ac:dyDescent="0.15"/>
    <row r="528" ht="14" customHeight="1" x14ac:dyDescent="0.15"/>
    <row r="529" ht="14" customHeight="1" x14ac:dyDescent="0.15"/>
    <row r="530" ht="14" customHeight="1" x14ac:dyDescent="0.15"/>
    <row r="531" ht="14" customHeight="1" x14ac:dyDescent="0.15"/>
    <row r="532" ht="14" customHeight="1" x14ac:dyDescent="0.15"/>
    <row r="533" ht="14" customHeight="1" x14ac:dyDescent="0.15"/>
    <row r="534" ht="14" customHeight="1" x14ac:dyDescent="0.15"/>
    <row r="535" ht="14" customHeight="1" x14ac:dyDescent="0.15"/>
    <row r="536" ht="14" customHeight="1" x14ac:dyDescent="0.15"/>
    <row r="537" ht="14" customHeight="1" x14ac:dyDescent="0.15"/>
    <row r="538" ht="14" customHeight="1" x14ac:dyDescent="0.15"/>
    <row r="539" ht="14" customHeight="1" x14ac:dyDescent="0.15"/>
    <row r="540" ht="14" customHeight="1" x14ac:dyDescent="0.15"/>
    <row r="541" ht="14" customHeight="1" x14ac:dyDescent="0.15"/>
    <row r="542" ht="14" customHeight="1" x14ac:dyDescent="0.15"/>
    <row r="543" ht="14" customHeight="1" x14ac:dyDescent="0.15"/>
    <row r="544" ht="14" customHeight="1" x14ac:dyDescent="0.15"/>
    <row r="545" ht="14" customHeight="1" x14ac:dyDescent="0.15"/>
    <row r="546" ht="14" customHeight="1" x14ac:dyDescent="0.15"/>
    <row r="547" ht="14" customHeight="1" x14ac:dyDescent="0.15"/>
    <row r="548" ht="14" customHeight="1" x14ac:dyDescent="0.15"/>
    <row r="549" ht="14" customHeight="1" x14ac:dyDescent="0.15"/>
    <row r="550" ht="14" customHeight="1" x14ac:dyDescent="0.15"/>
    <row r="551" ht="14" customHeight="1" x14ac:dyDescent="0.15"/>
    <row r="552" ht="14" customHeight="1" x14ac:dyDescent="0.15"/>
    <row r="553" ht="14" customHeight="1" x14ac:dyDescent="0.15"/>
    <row r="554" ht="14" customHeight="1" x14ac:dyDescent="0.15"/>
    <row r="555" ht="14" customHeight="1" x14ac:dyDescent="0.15"/>
    <row r="556" ht="14" customHeight="1" x14ac:dyDescent="0.15"/>
    <row r="557" ht="14" customHeight="1" x14ac:dyDescent="0.15"/>
    <row r="558" ht="14" customHeight="1" x14ac:dyDescent="0.15"/>
    <row r="559" ht="14" customHeight="1" x14ac:dyDescent="0.15"/>
    <row r="560" ht="14" customHeight="1" x14ac:dyDescent="0.15"/>
    <row r="561" ht="14" customHeight="1" x14ac:dyDescent="0.15"/>
    <row r="562" ht="14" customHeight="1" x14ac:dyDescent="0.15"/>
    <row r="563" ht="14" customHeight="1" x14ac:dyDescent="0.15"/>
    <row r="564" ht="14" customHeight="1" x14ac:dyDescent="0.15"/>
    <row r="565" ht="14" customHeight="1" x14ac:dyDescent="0.15"/>
    <row r="566" ht="14" customHeight="1" x14ac:dyDescent="0.15"/>
    <row r="567" ht="14" customHeight="1" x14ac:dyDescent="0.15"/>
    <row r="568" ht="14" customHeight="1" x14ac:dyDescent="0.15"/>
    <row r="569" ht="14" customHeight="1" x14ac:dyDescent="0.15"/>
    <row r="570" ht="14" customHeight="1" x14ac:dyDescent="0.15"/>
    <row r="571" ht="14" customHeight="1" x14ac:dyDescent="0.15"/>
    <row r="572" ht="14" customHeight="1" x14ac:dyDescent="0.15"/>
    <row r="573" ht="14" customHeight="1" x14ac:dyDescent="0.15"/>
    <row r="574" ht="14" customHeight="1" x14ac:dyDescent="0.15"/>
    <row r="575" ht="14" customHeight="1" x14ac:dyDescent="0.15"/>
    <row r="576" ht="14" customHeight="1" x14ac:dyDescent="0.15"/>
    <row r="577" ht="14" customHeight="1" x14ac:dyDescent="0.15"/>
    <row r="578" ht="14" customHeight="1" x14ac:dyDescent="0.15"/>
    <row r="579" ht="14" customHeight="1" x14ac:dyDescent="0.15"/>
    <row r="580" ht="14" customHeight="1" x14ac:dyDescent="0.15"/>
    <row r="581" ht="14" customHeight="1" x14ac:dyDescent="0.15"/>
    <row r="582" ht="14" customHeight="1" x14ac:dyDescent="0.15"/>
    <row r="583" ht="14" customHeight="1" x14ac:dyDescent="0.15"/>
    <row r="584" ht="14" customHeight="1" x14ac:dyDescent="0.15"/>
    <row r="585" ht="14" customHeight="1" x14ac:dyDescent="0.15"/>
    <row r="586" ht="14" customHeight="1" x14ac:dyDescent="0.15"/>
    <row r="587" ht="14" customHeight="1" x14ac:dyDescent="0.15"/>
    <row r="588" ht="14" customHeight="1" x14ac:dyDescent="0.15"/>
    <row r="589" ht="14" customHeight="1" x14ac:dyDescent="0.15"/>
    <row r="590" ht="14" customHeight="1" x14ac:dyDescent="0.15"/>
    <row r="591" ht="14" customHeight="1" x14ac:dyDescent="0.15"/>
    <row r="592" ht="14" customHeight="1" x14ac:dyDescent="0.15"/>
    <row r="593" ht="14" customHeight="1" x14ac:dyDescent="0.15"/>
    <row r="594" ht="14" customHeight="1" x14ac:dyDescent="0.15"/>
    <row r="595" ht="14" customHeight="1" x14ac:dyDescent="0.15"/>
    <row r="596" ht="14" customHeight="1" x14ac:dyDescent="0.15"/>
    <row r="597" ht="14" customHeight="1" x14ac:dyDescent="0.15"/>
    <row r="598" ht="14" customHeight="1" x14ac:dyDescent="0.15"/>
    <row r="599" ht="14" customHeight="1" x14ac:dyDescent="0.15"/>
    <row r="600" ht="14" customHeight="1" x14ac:dyDescent="0.15"/>
    <row r="601" ht="14" customHeight="1" x14ac:dyDescent="0.15"/>
    <row r="602" ht="14" customHeight="1" x14ac:dyDescent="0.15"/>
    <row r="603" ht="14" customHeight="1" x14ac:dyDescent="0.15"/>
    <row r="604" ht="14" customHeight="1" x14ac:dyDescent="0.15"/>
    <row r="605" ht="14" customHeight="1" x14ac:dyDescent="0.15"/>
    <row r="606" ht="14" customHeight="1" x14ac:dyDescent="0.15"/>
    <row r="607" ht="14" customHeight="1" x14ac:dyDescent="0.15"/>
    <row r="608" ht="14" customHeight="1" x14ac:dyDescent="0.15"/>
    <row r="609" ht="14" customHeight="1" x14ac:dyDescent="0.15"/>
    <row r="610" ht="14" customHeight="1" x14ac:dyDescent="0.15"/>
    <row r="611" ht="14" customHeight="1" x14ac:dyDescent="0.15"/>
    <row r="612" ht="14" customHeight="1" x14ac:dyDescent="0.15"/>
    <row r="613" ht="14" customHeight="1" x14ac:dyDescent="0.15"/>
    <row r="614" ht="14" customHeight="1" x14ac:dyDescent="0.15"/>
    <row r="615" ht="14" customHeight="1" x14ac:dyDescent="0.15"/>
    <row r="616" ht="14" customHeight="1" x14ac:dyDescent="0.15"/>
    <row r="617" ht="14" customHeight="1" x14ac:dyDescent="0.15"/>
    <row r="618" ht="14" customHeight="1" x14ac:dyDescent="0.15"/>
    <row r="619" ht="14" customHeight="1" x14ac:dyDescent="0.15"/>
    <row r="620" ht="14" customHeight="1" x14ac:dyDescent="0.15"/>
    <row r="621" ht="14" customHeight="1" x14ac:dyDescent="0.15"/>
    <row r="622" ht="14" customHeight="1" x14ac:dyDescent="0.15"/>
    <row r="623" ht="14" customHeight="1" x14ac:dyDescent="0.15"/>
    <row r="624" ht="14" customHeight="1" x14ac:dyDescent="0.15"/>
    <row r="625" ht="14" customHeight="1" x14ac:dyDescent="0.15"/>
    <row r="626" ht="14" customHeight="1" x14ac:dyDescent="0.15"/>
    <row r="627" ht="14" customHeight="1" x14ac:dyDescent="0.15"/>
    <row r="628" ht="14" customHeight="1" x14ac:dyDescent="0.15"/>
    <row r="629" ht="14" customHeight="1" x14ac:dyDescent="0.15"/>
    <row r="630" ht="14" customHeight="1" x14ac:dyDescent="0.15"/>
    <row r="631" ht="14" customHeight="1" x14ac:dyDescent="0.15"/>
    <row r="632" ht="14" customHeight="1" x14ac:dyDescent="0.15"/>
    <row r="633" ht="14" customHeight="1" x14ac:dyDescent="0.15"/>
    <row r="634" ht="14" customHeight="1" x14ac:dyDescent="0.15"/>
    <row r="635" ht="14" customHeight="1" x14ac:dyDescent="0.15"/>
    <row r="636" ht="14" customHeight="1" x14ac:dyDescent="0.15"/>
    <row r="637" ht="14" customHeight="1" x14ac:dyDescent="0.15"/>
    <row r="638" ht="14" customHeight="1" x14ac:dyDescent="0.15"/>
    <row r="639" ht="14" customHeight="1" x14ac:dyDescent="0.15"/>
    <row r="640" ht="14" customHeight="1" x14ac:dyDescent="0.15"/>
    <row r="641" ht="14" customHeight="1" x14ac:dyDescent="0.15"/>
    <row r="642" ht="14" customHeight="1" x14ac:dyDescent="0.15"/>
    <row r="643" ht="14" customHeight="1" x14ac:dyDescent="0.15"/>
    <row r="644" ht="14" customHeight="1" x14ac:dyDescent="0.15"/>
    <row r="645" ht="14" customHeight="1" x14ac:dyDescent="0.15"/>
    <row r="646" ht="14" customHeight="1" x14ac:dyDescent="0.15"/>
    <row r="647" ht="14" customHeight="1" x14ac:dyDescent="0.15"/>
    <row r="648" ht="14" customHeight="1" x14ac:dyDescent="0.15"/>
    <row r="649" ht="14" customHeight="1" x14ac:dyDescent="0.15"/>
    <row r="650" ht="14" customHeight="1" x14ac:dyDescent="0.15"/>
    <row r="651" ht="14" customHeight="1" x14ac:dyDescent="0.15"/>
    <row r="652" ht="14" customHeight="1" x14ac:dyDescent="0.15"/>
    <row r="653" ht="14" customHeight="1" x14ac:dyDescent="0.15"/>
    <row r="654" ht="14" customHeight="1" x14ac:dyDescent="0.15"/>
    <row r="655" ht="14" customHeight="1" x14ac:dyDescent="0.15"/>
    <row r="656" ht="14" customHeight="1" x14ac:dyDescent="0.15"/>
    <row r="657" ht="14" customHeight="1" x14ac:dyDescent="0.15"/>
    <row r="658" ht="14" customHeight="1" x14ac:dyDescent="0.15"/>
    <row r="659" ht="14" customHeight="1" x14ac:dyDescent="0.15"/>
    <row r="660" ht="14" customHeight="1" x14ac:dyDescent="0.15"/>
    <row r="661" ht="14" customHeight="1" x14ac:dyDescent="0.15"/>
    <row r="662" ht="14" customHeight="1" x14ac:dyDescent="0.15"/>
    <row r="663" ht="14" customHeight="1" x14ac:dyDescent="0.15"/>
    <row r="664" ht="14" customHeight="1" x14ac:dyDescent="0.15"/>
    <row r="665" ht="14" customHeight="1" x14ac:dyDescent="0.15"/>
    <row r="666" ht="14" customHeight="1" x14ac:dyDescent="0.15"/>
    <row r="667" ht="14" customHeight="1" x14ac:dyDescent="0.15"/>
    <row r="668" ht="14" customHeight="1" x14ac:dyDescent="0.15"/>
    <row r="669" ht="14" customHeight="1" x14ac:dyDescent="0.15"/>
    <row r="670" ht="14" customHeight="1" x14ac:dyDescent="0.15"/>
    <row r="671" ht="14" customHeight="1" x14ac:dyDescent="0.15"/>
    <row r="672" ht="14" customHeight="1" x14ac:dyDescent="0.15"/>
    <row r="673" ht="14" customHeight="1" x14ac:dyDescent="0.15"/>
    <row r="674" ht="14" customHeight="1" x14ac:dyDescent="0.15"/>
    <row r="675" ht="14" customHeight="1" x14ac:dyDescent="0.15"/>
    <row r="676" ht="14" customHeight="1" x14ac:dyDescent="0.15"/>
    <row r="677" ht="14" customHeight="1" x14ac:dyDescent="0.15"/>
    <row r="678" ht="14" customHeight="1" x14ac:dyDescent="0.15"/>
    <row r="679" ht="14" customHeight="1" x14ac:dyDescent="0.15"/>
    <row r="680" ht="14" customHeight="1" x14ac:dyDescent="0.15"/>
    <row r="681" ht="14" customHeight="1" x14ac:dyDescent="0.15"/>
    <row r="682" ht="14" customHeight="1" x14ac:dyDescent="0.15"/>
    <row r="683" ht="14" customHeight="1" x14ac:dyDescent="0.15"/>
    <row r="684" ht="14" customHeight="1" x14ac:dyDescent="0.15"/>
    <row r="685" ht="14" customHeight="1" x14ac:dyDescent="0.15"/>
    <row r="686" ht="14" customHeight="1" x14ac:dyDescent="0.15"/>
    <row r="687" ht="14" customHeight="1" x14ac:dyDescent="0.15"/>
    <row r="688" ht="14" customHeight="1" x14ac:dyDescent="0.15"/>
    <row r="689" ht="14" customHeight="1" x14ac:dyDescent="0.15"/>
    <row r="690" ht="14" customHeight="1" x14ac:dyDescent="0.15"/>
    <row r="691" ht="14" customHeight="1" x14ac:dyDescent="0.15"/>
    <row r="692" ht="14" customHeight="1" x14ac:dyDescent="0.15"/>
    <row r="693" ht="14" customHeight="1" x14ac:dyDescent="0.15"/>
    <row r="694" ht="14" customHeight="1" x14ac:dyDescent="0.15"/>
    <row r="695" ht="14" customHeight="1" x14ac:dyDescent="0.15"/>
    <row r="696" ht="14" customHeight="1" x14ac:dyDescent="0.15"/>
    <row r="697" ht="14" customHeight="1" x14ac:dyDescent="0.15"/>
    <row r="698" ht="14" customHeight="1" x14ac:dyDescent="0.15"/>
    <row r="699" ht="14" customHeight="1" x14ac:dyDescent="0.15"/>
    <row r="700" ht="14" customHeight="1" x14ac:dyDescent="0.15"/>
    <row r="701" ht="14" customHeight="1" x14ac:dyDescent="0.15"/>
    <row r="702" ht="14" customHeight="1" x14ac:dyDescent="0.15"/>
    <row r="703" ht="14" customHeight="1" x14ac:dyDescent="0.15"/>
    <row r="704" ht="14" customHeight="1" x14ac:dyDescent="0.15"/>
    <row r="705" ht="14" customHeight="1" x14ac:dyDescent="0.15"/>
    <row r="706" ht="14" customHeight="1" x14ac:dyDescent="0.15"/>
    <row r="707" ht="14" customHeight="1" x14ac:dyDescent="0.15"/>
    <row r="708" ht="14" customHeight="1" x14ac:dyDescent="0.15"/>
    <row r="709" ht="14" customHeight="1" x14ac:dyDescent="0.15"/>
    <row r="710" ht="14" customHeight="1" x14ac:dyDescent="0.15"/>
    <row r="711" ht="14" customHeight="1" x14ac:dyDescent="0.15"/>
    <row r="712" ht="14" customHeight="1" x14ac:dyDescent="0.15"/>
    <row r="713" ht="14" customHeight="1" x14ac:dyDescent="0.15"/>
    <row r="714" ht="14" customHeight="1" x14ac:dyDescent="0.15"/>
    <row r="715" ht="14" customHeight="1" x14ac:dyDescent="0.15"/>
    <row r="716" ht="14" customHeight="1" x14ac:dyDescent="0.15"/>
    <row r="717" ht="14" customHeight="1" x14ac:dyDescent="0.15"/>
    <row r="718" ht="14" customHeight="1" x14ac:dyDescent="0.15"/>
    <row r="719" ht="14" customHeight="1" x14ac:dyDescent="0.15"/>
    <row r="720" ht="14" customHeight="1" x14ac:dyDescent="0.15"/>
    <row r="721" ht="14" customHeight="1" x14ac:dyDescent="0.15"/>
    <row r="722" ht="14" customHeight="1" x14ac:dyDescent="0.15"/>
    <row r="723" ht="14" customHeight="1" x14ac:dyDescent="0.15"/>
    <row r="724" ht="14" customHeight="1" x14ac:dyDescent="0.15"/>
    <row r="725" ht="14" customHeight="1" x14ac:dyDescent="0.15"/>
    <row r="726" ht="14" customHeight="1" x14ac:dyDescent="0.15"/>
    <row r="727" ht="14" customHeight="1" x14ac:dyDescent="0.15"/>
    <row r="728" ht="14" customHeight="1" x14ac:dyDescent="0.15"/>
    <row r="729" ht="14" customHeight="1" x14ac:dyDescent="0.15"/>
    <row r="730" ht="14" customHeight="1" x14ac:dyDescent="0.15"/>
    <row r="731" ht="14" customHeight="1" x14ac:dyDescent="0.15"/>
    <row r="732" ht="14" customHeight="1" x14ac:dyDescent="0.15"/>
    <row r="733" ht="14" customHeight="1" x14ac:dyDescent="0.15"/>
    <row r="734" ht="14" customHeight="1" x14ac:dyDescent="0.15"/>
    <row r="735" ht="14" customHeight="1" x14ac:dyDescent="0.15"/>
    <row r="736" ht="14" customHeight="1" x14ac:dyDescent="0.15"/>
    <row r="737" ht="14" customHeight="1" x14ac:dyDescent="0.15"/>
    <row r="738" ht="14" customHeight="1" x14ac:dyDescent="0.15"/>
    <row r="739" ht="14" customHeight="1" x14ac:dyDescent="0.15"/>
    <row r="740" ht="14" customHeight="1" x14ac:dyDescent="0.15"/>
    <row r="741" ht="14" customHeight="1" x14ac:dyDescent="0.15"/>
    <row r="742" ht="14" customHeight="1" x14ac:dyDescent="0.15"/>
    <row r="743" ht="14" customHeight="1" x14ac:dyDescent="0.15"/>
    <row r="744" ht="14" customHeight="1" x14ac:dyDescent="0.15"/>
    <row r="745" ht="14" customHeight="1" x14ac:dyDescent="0.15"/>
    <row r="746" ht="14" customHeight="1" x14ac:dyDescent="0.15"/>
    <row r="747" ht="14" customHeight="1" x14ac:dyDescent="0.15"/>
    <row r="748" ht="14" customHeight="1" x14ac:dyDescent="0.15"/>
    <row r="749" ht="14" customHeight="1" x14ac:dyDescent="0.15"/>
    <row r="750" ht="14" customHeight="1" x14ac:dyDescent="0.15"/>
    <row r="751" ht="14" customHeight="1" x14ac:dyDescent="0.15"/>
    <row r="752" ht="14" customHeight="1" x14ac:dyDescent="0.15"/>
    <row r="753" ht="14" customHeight="1" x14ac:dyDescent="0.15"/>
    <row r="754" ht="14" customHeight="1" x14ac:dyDescent="0.15"/>
    <row r="755" ht="14" customHeight="1" x14ac:dyDescent="0.15"/>
    <row r="756" ht="14" customHeight="1" x14ac:dyDescent="0.15"/>
    <row r="757" ht="14" customHeight="1" x14ac:dyDescent="0.15"/>
    <row r="758" ht="14" customHeight="1" x14ac:dyDescent="0.15"/>
    <row r="759" ht="14" customHeight="1" x14ac:dyDescent="0.15"/>
    <row r="760" ht="14" customHeight="1" x14ac:dyDescent="0.15"/>
    <row r="761" ht="14" customHeight="1" x14ac:dyDescent="0.15"/>
    <row r="762" ht="14" customHeight="1" x14ac:dyDescent="0.15"/>
    <row r="763" ht="14" customHeight="1" x14ac:dyDescent="0.15"/>
    <row r="764" ht="14" customHeight="1" x14ac:dyDescent="0.15"/>
    <row r="765" ht="14" customHeight="1" x14ac:dyDescent="0.15"/>
    <row r="766" ht="14" customHeight="1" x14ac:dyDescent="0.15"/>
    <row r="767" ht="14" customHeight="1" x14ac:dyDescent="0.15"/>
    <row r="768" ht="14" customHeight="1" x14ac:dyDescent="0.15"/>
    <row r="769" ht="14" customHeight="1" x14ac:dyDescent="0.15"/>
    <row r="770" ht="14" customHeight="1" x14ac:dyDescent="0.15"/>
    <row r="771" ht="14" customHeight="1" x14ac:dyDescent="0.15"/>
    <row r="772" ht="14" customHeight="1" x14ac:dyDescent="0.15"/>
    <row r="773" ht="14" customHeight="1" x14ac:dyDescent="0.15"/>
    <row r="774" ht="14" customHeight="1" x14ac:dyDescent="0.15"/>
    <row r="775" ht="14" customHeight="1" x14ac:dyDescent="0.15"/>
    <row r="776" ht="14" customHeight="1" x14ac:dyDescent="0.15"/>
    <row r="777" ht="14" customHeight="1" x14ac:dyDescent="0.15"/>
    <row r="778" ht="14" customHeight="1" x14ac:dyDescent="0.15"/>
    <row r="779" ht="14" customHeight="1" x14ac:dyDescent="0.15"/>
    <row r="780" ht="14" customHeight="1" x14ac:dyDescent="0.15"/>
    <row r="781" ht="14" customHeight="1" x14ac:dyDescent="0.15"/>
    <row r="782" ht="14" customHeight="1" x14ac:dyDescent="0.15"/>
    <row r="783" ht="14" customHeight="1" x14ac:dyDescent="0.15"/>
    <row r="784" ht="14" customHeight="1" x14ac:dyDescent="0.15"/>
    <row r="785" ht="14" customHeight="1" x14ac:dyDescent="0.15"/>
    <row r="786" ht="14" customHeight="1" x14ac:dyDescent="0.15"/>
    <row r="787" ht="14" customHeight="1" x14ac:dyDescent="0.15"/>
    <row r="788" ht="14" customHeight="1" x14ac:dyDescent="0.15"/>
    <row r="789" ht="14" customHeight="1" x14ac:dyDescent="0.15"/>
    <row r="790" ht="14" customHeight="1" x14ac:dyDescent="0.15"/>
    <row r="791" ht="14" customHeight="1" x14ac:dyDescent="0.15"/>
    <row r="792" ht="14" customHeight="1" x14ac:dyDescent="0.15"/>
    <row r="793" ht="14" customHeight="1" x14ac:dyDescent="0.15"/>
    <row r="794" ht="14" customHeight="1" x14ac:dyDescent="0.15"/>
    <row r="795" ht="14" customHeight="1" x14ac:dyDescent="0.15"/>
    <row r="796" ht="14" customHeight="1" x14ac:dyDescent="0.15"/>
    <row r="797" ht="14" customHeight="1" x14ac:dyDescent="0.15"/>
    <row r="798" ht="14" customHeight="1" x14ac:dyDescent="0.15"/>
    <row r="799" ht="14" customHeight="1" x14ac:dyDescent="0.15"/>
    <row r="800" ht="14" customHeight="1" x14ac:dyDescent="0.15"/>
    <row r="801" ht="14" customHeight="1" x14ac:dyDescent="0.15"/>
    <row r="802" ht="14" customHeight="1" x14ac:dyDescent="0.15"/>
    <row r="803" ht="14" customHeight="1" x14ac:dyDescent="0.15"/>
    <row r="804" ht="14" customHeight="1" x14ac:dyDescent="0.15"/>
    <row r="805" ht="14" customHeight="1" x14ac:dyDescent="0.15"/>
    <row r="806" ht="14" customHeight="1" x14ac:dyDescent="0.15"/>
    <row r="807" ht="14" customHeight="1" x14ac:dyDescent="0.15"/>
    <row r="808" ht="14" customHeight="1" x14ac:dyDescent="0.15"/>
    <row r="809" ht="14" customHeight="1" x14ac:dyDescent="0.15"/>
    <row r="810" ht="14" customHeight="1" x14ac:dyDescent="0.15"/>
    <row r="811" ht="14" customHeight="1" x14ac:dyDescent="0.15"/>
    <row r="812" ht="14" customHeight="1" x14ac:dyDescent="0.15"/>
    <row r="813" ht="14" customHeight="1" x14ac:dyDescent="0.15"/>
    <row r="814" ht="14" customHeight="1" x14ac:dyDescent="0.15"/>
    <row r="815" ht="14" customHeight="1" x14ac:dyDescent="0.15"/>
    <row r="816" ht="14" customHeight="1" x14ac:dyDescent="0.15"/>
    <row r="817" ht="14" customHeight="1" x14ac:dyDescent="0.15"/>
    <row r="818" ht="14" customHeight="1" x14ac:dyDescent="0.15"/>
    <row r="819" ht="14" customHeight="1" x14ac:dyDescent="0.15"/>
    <row r="820" ht="14" customHeight="1" x14ac:dyDescent="0.15"/>
    <row r="821" ht="14" customHeight="1" x14ac:dyDescent="0.15"/>
    <row r="822" ht="14" customHeight="1" x14ac:dyDescent="0.15"/>
    <row r="823" ht="14" customHeight="1" x14ac:dyDescent="0.15"/>
    <row r="824" ht="14" customHeight="1" x14ac:dyDescent="0.15"/>
    <row r="825" ht="14" customHeight="1" x14ac:dyDescent="0.15"/>
    <row r="826" ht="14" customHeight="1" x14ac:dyDescent="0.15"/>
    <row r="827" ht="14" customHeight="1" x14ac:dyDescent="0.15"/>
    <row r="828" ht="14" customHeight="1" x14ac:dyDescent="0.15"/>
    <row r="829" ht="14" customHeight="1" x14ac:dyDescent="0.15"/>
    <row r="830" ht="14" customHeight="1" x14ac:dyDescent="0.15"/>
    <row r="831" ht="14" customHeight="1" x14ac:dyDescent="0.15"/>
    <row r="832" ht="14" customHeight="1" x14ac:dyDescent="0.15"/>
    <row r="833" ht="14" customHeight="1" x14ac:dyDescent="0.15"/>
    <row r="834" ht="14" customHeight="1" x14ac:dyDescent="0.15"/>
    <row r="835" ht="14" customHeight="1" x14ac:dyDescent="0.15"/>
    <row r="836" ht="14" customHeight="1" x14ac:dyDescent="0.15"/>
    <row r="837" ht="14" customHeight="1" x14ac:dyDescent="0.15"/>
    <row r="838" ht="14" customHeight="1" x14ac:dyDescent="0.15"/>
    <row r="839" ht="14" customHeight="1" x14ac:dyDescent="0.15"/>
    <row r="840" ht="14" customHeight="1" x14ac:dyDescent="0.15"/>
    <row r="841" ht="14" customHeight="1" x14ac:dyDescent="0.15"/>
    <row r="842" ht="14" customHeight="1" x14ac:dyDescent="0.15"/>
    <row r="843" ht="14" customHeight="1" x14ac:dyDescent="0.15"/>
    <row r="844" ht="14" customHeight="1" x14ac:dyDescent="0.15"/>
    <row r="845" ht="14" customHeight="1" x14ac:dyDescent="0.15"/>
    <row r="846" ht="14" customHeight="1" x14ac:dyDescent="0.15"/>
    <row r="847" ht="14" customHeight="1" x14ac:dyDescent="0.15"/>
    <row r="848" ht="14" customHeight="1" x14ac:dyDescent="0.15"/>
    <row r="849" ht="14" customHeight="1" x14ac:dyDescent="0.15"/>
    <row r="850" ht="14" customHeight="1" x14ac:dyDescent="0.15"/>
    <row r="851" ht="14" customHeight="1" x14ac:dyDescent="0.15"/>
    <row r="852" ht="14" customHeight="1" x14ac:dyDescent="0.15"/>
    <row r="853" ht="14" customHeight="1" x14ac:dyDescent="0.15"/>
    <row r="854" ht="14" customHeight="1" x14ac:dyDescent="0.15"/>
    <row r="855" ht="14" customHeight="1" x14ac:dyDescent="0.15"/>
    <row r="856" ht="14" customHeight="1" x14ac:dyDescent="0.15"/>
    <row r="857" ht="14" customHeight="1" x14ac:dyDescent="0.15"/>
    <row r="858" ht="14" customHeight="1" x14ac:dyDescent="0.15"/>
    <row r="859" ht="14" customHeight="1" x14ac:dyDescent="0.15"/>
    <row r="860" ht="14" customHeight="1" x14ac:dyDescent="0.15"/>
    <row r="861" ht="14" customHeight="1" x14ac:dyDescent="0.15"/>
    <row r="862" ht="14" customHeight="1" x14ac:dyDescent="0.15"/>
    <row r="863" ht="14" customHeight="1" x14ac:dyDescent="0.15"/>
    <row r="864" ht="14" customHeight="1" x14ac:dyDescent="0.15"/>
    <row r="865" ht="14" customHeight="1" x14ac:dyDescent="0.15"/>
    <row r="866" ht="14" customHeight="1" x14ac:dyDescent="0.15"/>
    <row r="867" ht="14" customHeight="1" x14ac:dyDescent="0.15"/>
    <row r="868" ht="14" customHeight="1" x14ac:dyDescent="0.15"/>
    <row r="869" ht="14" customHeight="1" x14ac:dyDescent="0.15"/>
    <row r="870" ht="14" customHeight="1" x14ac:dyDescent="0.15"/>
    <row r="871" ht="14" customHeight="1" x14ac:dyDescent="0.15"/>
    <row r="872" ht="14" customHeight="1" x14ac:dyDescent="0.15"/>
    <row r="873" ht="14" customHeight="1" x14ac:dyDescent="0.15"/>
    <row r="874" ht="14" customHeight="1" x14ac:dyDescent="0.15"/>
    <row r="875" ht="14" customHeight="1" x14ac:dyDescent="0.15"/>
    <row r="876" ht="14" customHeight="1" x14ac:dyDescent="0.15"/>
    <row r="877" ht="14" customHeight="1" x14ac:dyDescent="0.15"/>
    <row r="878" ht="14" customHeight="1" x14ac:dyDescent="0.15"/>
    <row r="879" ht="14" customHeight="1" x14ac:dyDescent="0.15"/>
    <row r="880" ht="14" customHeight="1" x14ac:dyDescent="0.15"/>
    <row r="881" ht="14" customHeight="1" x14ac:dyDescent="0.15"/>
    <row r="882" ht="14" customHeight="1" x14ac:dyDescent="0.15"/>
    <row r="883" ht="14" customHeight="1" x14ac:dyDescent="0.15"/>
    <row r="884" ht="14" customHeight="1" x14ac:dyDescent="0.15"/>
    <row r="885" ht="14" customHeight="1" x14ac:dyDescent="0.15"/>
    <row r="886" ht="14" customHeight="1" x14ac:dyDescent="0.15"/>
    <row r="887" ht="14" customHeight="1" x14ac:dyDescent="0.15"/>
    <row r="888" ht="14" customHeight="1" x14ac:dyDescent="0.15"/>
    <row r="889" ht="14" customHeight="1" x14ac:dyDescent="0.15"/>
    <row r="890" ht="14" customHeight="1" x14ac:dyDescent="0.15"/>
    <row r="891" ht="14" customHeight="1" x14ac:dyDescent="0.15"/>
    <row r="892" ht="14" customHeight="1" x14ac:dyDescent="0.15"/>
    <row r="893" ht="14" customHeight="1" x14ac:dyDescent="0.15"/>
    <row r="894" ht="14" customHeight="1" x14ac:dyDescent="0.15"/>
    <row r="895" ht="14" customHeight="1" x14ac:dyDescent="0.15"/>
    <row r="896" ht="14" customHeight="1" x14ac:dyDescent="0.15"/>
    <row r="897" ht="14" customHeight="1" x14ac:dyDescent="0.15"/>
    <row r="898" ht="14" customHeight="1" x14ac:dyDescent="0.15"/>
    <row r="899" ht="14" customHeight="1" x14ac:dyDescent="0.15"/>
    <row r="900" ht="14" customHeight="1" x14ac:dyDescent="0.15"/>
    <row r="901" ht="14" customHeight="1" x14ac:dyDescent="0.15"/>
    <row r="902" ht="14" customHeight="1" x14ac:dyDescent="0.15"/>
    <row r="903" ht="14" customHeight="1" x14ac:dyDescent="0.15"/>
    <row r="904" ht="14" customHeight="1" x14ac:dyDescent="0.15"/>
    <row r="905" ht="14" customHeight="1" x14ac:dyDescent="0.15"/>
    <row r="906" ht="14" customHeight="1" x14ac:dyDescent="0.15"/>
    <row r="907" ht="14" customHeight="1" x14ac:dyDescent="0.15"/>
    <row r="908" ht="14" customHeight="1" x14ac:dyDescent="0.15"/>
    <row r="909" ht="14" customHeight="1" x14ac:dyDescent="0.15"/>
    <row r="910" ht="14" customHeight="1" x14ac:dyDescent="0.15"/>
    <row r="911" ht="14" customHeight="1" x14ac:dyDescent="0.15"/>
    <row r="912" ht="14" customHeight="1" x14ac:dyDescent="0.15"/>
    <row r="913" ht="14" customHeight="1" x14ac:dyDescent="0.15"/>
    <row r="914" ht="14" customHeight="1" x14ac:dyDescent="0.15"/>
    <row r="915" ht="14" customHeight="1" x14ac:dyDescent="0.15"/>
    <row r="916" ht="14" customHeight="1" x14ac:dyDescent="0.15"/>
    <row r="917" ht="14" customHeight="1" x14ac:dyDescent="0.15"/>
    <row r="918" ht="14" customHeight="1" x14ac:dyDescent="0.15"/>
    <row r="919" ht="14" customHeight="1" x14ac:dyDescent="0.15"/>
    <row r="920" ht="14" customHeight="1" x14ac:dyDescent="0.15"/>
    <row r="921" ht="14" customHeight="1" x14ac:dyDescent="0.15"/>
    <row r="922" ht="14" customHeight="1" x14ac:dyDescent="0.15"/>
    <row r="923" ht="14" customHeight="1" x14ac:dyDescent="0.15"/>
    <row r="924" ht="14" customHeight="1" x14ac:dyDescent="0.15"/>
    <row r="925" ht="14" customHeight="1" x14ac:dyDescent="0.15"/>
    <row r="926" ht="14" customHeight="1" x14ac:dyDescent="0.15"/>
    <row r="927" ht="14" customHeight="1" x14ac:dyDescent="0.15"/>
    <row r="928" ht="14" customHeight="1" x14ac:dyDescent="0.15"/>
    <row r="929" ht="14" customHeight="1" x14ac:dyDescent="0.15"/>
    <row r="930" ht="14" customHeight="1" x14ac:dyDescent="0.15"/>
    <row r="931" ht="14" customHeight="1" x14ac:dyDescent="0.15"/>
    <row r="932" ht="14" customHeight="1" x14ac:dyDescent="0.15"/>
    <row r="933" ht="14" customHeight="1" x14ac:dyDescent="0.15"/>
    <row r="934" ht="14" customHeight="1" x14ac:dyDescent="0.15"/>
    <row r="935" ht="14" customHeight="1" x14ac:dyDescent="0.15"/>
    <row r="936" ht="14" customHeight="1" x14ac:dyDescent="0.15"/>
    <row r="937" ht="14" customHeight="1" x14ac:dyDescent="0.15"/>
    <row r="938" ht="14" customHeight="1" x14ac:dyDescent="0.15"/>
    <row r="939" ht="14" customHeight="1" x14ac:dyDescent="0.15"/>
    <row r="940" ht="14" customHeight="1" x14ac:dyDescent="0.15"/>
    <row r="941" ht="14" customHeight="1" x14ac:dyDescent="0.15"/>
    <row r="942" ht="14" customHeight="1" x14ac:dyDescent="0.15"/>
    <row r="943" ht="14" customHeight="1" x14ac:dyDescent="0.15"/>
    <row r="944" ht="14" customHeight="1" x14ac:dyDescent="0.15"/>
    <row r="945" ht="14" customHeight="1" x14ac:dyDescent="0.15"/>
    <row r="946" ht="14" customHeight="1" x14ac:dyDescent="0.15"/>
    <row r="947" ht="14" customHeight="1" x14ac:dyDescent="0.15"/>
    <row r="948" ht="14" customHeight="1" x14ac:dyDescent="0.15"/>
    <row r="949" ht="14" customHeight="1" x14ac:dyDescent="0.15"/>
    <row r="950" ht="14" customHeight="1" x14ac:dyDescent="0.15"/>
    <row r="951" ht="14" customHeight="1" x14ac:dyDescent="0.15"/>
    <row r="952" ht="14" customHeight="1" x14ac:dyDescent="0.15"/>
    <row r="953" ht="14" customHeight="1" x14ac:dyDescent="0.15"/>
    <row r="954" ht="14" customHeight="1" x14ac:dyDescent="0.15"/>
    <row r="955" ht="14" customHeight="1" x14ac:dyDescent="0.15"/>
    <row r="956" ht="14" customHeight="1" x14ac:dyDescent="0.15"/>
    <row r="957" ht="14" customHeight="1" x14ac:dyDescent="0.15"/>
    <row r="958" ht="14" customHeight="1" x14ac:dyDescent="0.15"/>
    <row r="959" ht="14" customHeight="1" x14ac:dyDescent="0.15"/>
    <row r="960" ht="14" customHeight="1" x14ac:dyDescent="0.15"/>
    <row r="961" ht="14" customHeight="1" x14ac:dyDescent="0.15"/>
    <row r="962" ht="14" customHeight="1" x14ac:dyDescent="0.15"/>
    <row r="963" ht="14" customHeight="1" x14ac:dyDescent="0.15"/>
    <row r="964" ht="14" customHeight="1" x14ac:dyDescent="0.15"/>
    <row r="965" ht="14" customHeight="1" x14ac:dyDescent="0.15"/>
    <row r="966" ht="14" customHeight="1" x14ac:dyDescent="0.15"/>
    <row r="967" ht="14" customHeight="1" x14ac:dyDescent="0.15"/>
    <row r="968" ht="14" customHeight="1" x14ac:dyDescent="0.15"/>
    <row r="969" ht="14" customHeight="1" x14ac:dyDescent="0.15"/>
    <row r="970" ht="14" customHeight="1" x14ac:dyDescent="0.15"/>
    <row r="971" ht="14" customHeight="1" x14ac:dyDescent="0.15"/>
    <row r="972" ht="14" customHeight="1" x14ac:dyDescent="0.15"/>
    <row r="973" ht="14" customHeight="1" x14ac:dyDescent="0.15"/>
    <row r="974" ht="14" customHeight="1" x14ac:dyDescent="0.15"/>
    <row r="975" ht="14" customHeight="1" x14ac:dyDescent="0.15"/>
    <row r="976" ht="14" customHeight="1" x14ac:dyDescent="0.15"/>
    <row r="977" ht="14" customHeight="1" x14ac:dyDescent="0.15"/>
    <row r="978" ht="14" customHeight="1" x14ac:dyDescent="0.15"/>
    <row r="979" ht="14" customHeight="1" x14ac:dyDescent="0.15"/>
    <row r="980" ht="14" customHeight="1" x14ac:dyDescent="0.15"/>
    <row r="981" ht="14" customHeight="1" x14ac:dyDescent="0.15"/>
    <row r="982" ht="14" customHeight="1" x14ac:dyDescent="0.15"/>
    <row r="983" ht="14" customHeight="1" x14ac:dyDescent="0.15"/>
    <row r="984" ht="14" customHeight="1" x14ac:dyDescent="0.15"/>
    <row r="985" ht="14" customHeight="1" x14ac:dyDescent="0.15"/>
    <row r="986" ht="14" customHeight="1" x14ac:dyDescent="0.15"/>
    <row r="987" ht="14" customHeight="1" x14ac:dyDescent="0.15"/>
    <row r="988" ht="14" customHeight="1" x14ac:dyDescent="0.15"/>
    <row r="989" ht="14" customHeight="1" x14ac:dyDescent="0.15"/>
    <row r="990" ht="14" customHeight="1" x14ac:dyDescent="0.15"/>
    <row r="991" ht="14" customHeight="1" x14ac:dyDescent="0.15"/>
    <row r="992" ht="14" customHeight="1" x14ac:dyDescent="0.15"/>
    <row r="993" ht="14" customHeight="1" x14ac:dyDescent="0.15"/>
    <row r="994" ht="14" customHeight="1" x14ac:dyDescent="0.15"/>
    <row r="995" ht="14" customHeight="1" x14ac:dyDescent="0.15"/>
    <row r="996" ht="14" customHeight="1" x14ac:dyDescent="0.15"/>
    <row r="997" ht="14" customHeight="1" x14ac:dyDescent="0.15"/>
    <row r="998" ht="14" customHeight="1" x14ac:dyDescent="0.15"/>
    <row r="999" ht="14" customHeight="1" x14ac:dyDescent="0.15"/>
    <row r="1000" ht="14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About</vt:lpstr>
      <vt:lpstr>E3 Oil + Gas Ext vs. Refi</vt:lpstr>
      <vt:lpstr>E3 BIFUbC-natural-gas</vt:lpstr>
      <vt:lpstr>Calibration Multiplier</vt:lpstr>
      <vt:lpstr>BIFUbC-natural-gas-script</vt:lpstr>
      <vt:lpstr>E3 BIFUbC-heavy-residual-oil</vt:lpstr>
      <vt:lpstr>BIFUbC-electricity</vt:lpstr>
      <vt:lpstr>BIFUbC-coal</vt:lpstr>
      <vt:lpstr>BIFUbC-natural-gas</vt:lpstr>
      <vt:lpstr>BIFUbC-biomass</vt:lpstr>
      <vt:lpstr>BIFUbC-petroleum-diesel</vt:lpstr>
      <vt:lpstr>BIFUbC-heat</vt:lpstr>
      <vt:lpstr>BIFUbC-crude-oil</vt:lpstr>
      <vt:lpstr>BIFUbC-heavy-or-residual-oil</vt:lpstr>
      <vt:lpstr>BIFUbC-LPG-propane-or-butane</vt:lpstr>
      <vt:lpstr>BIFUbC-hydrogen</vt:lpstr>
      <vt:lpstr>gal_per_barrel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Ashna Aggarwal</cp:lastModifiedBy>
  <dcterms:created xsi:type="dcterms:W3CDTF">2014-03-20T21:01:41Z</dcterms:created>
  <dcterms:modified xsi:type="dcterms:W3CDTF">2023-12-11T15:21:20Z</dcterms:modified>
</cp:coreProperties>
</file>