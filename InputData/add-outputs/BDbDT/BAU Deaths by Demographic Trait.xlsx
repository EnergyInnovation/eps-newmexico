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BD6DFC5D-4108-41B9-890D-E59125E16CE6}"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<sst xmlns="http://schemas.openxmlformats.org/spreadsheetml/2006/main" count="5677" uniqueCount="335">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</sst>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132</v>
      </c>
    </row>
    <row r="2" spans="1:2" x14ac:dyDescent="0.25">
      <c r="A2" s="3" t="s">
        <v>2</v>
      </c>
      <c r="B2" s="4" t="str">
        <f>IFERROR(INDEX(Geography!B:B, MATCH($B$1, Geography!C:C, 0)), "")</f>
        <v>NM</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1060177</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2130256</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1.0038685871402098</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1070079</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2130256</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0.99619650307831753</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1715139</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2130256</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1.0714073594558136</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61889</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2130256</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0.21266426005290212</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45430</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2130256</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0.33027512632346523</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307798</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2130256</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3.0517798637459777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1046254</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2130256</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2.5168639659734731</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1084002</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2130256</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0.6322338872112242</v>
      </c>
    </row>
    <row r="12" spans="1:28" x14ac:dyDescent="0.25">
      <c r="A12" s="4" t="s">
        <v>319</v>
      </c>
    </row>
    <row r="13" spans="1:28" x14ac:dyDescent="0.25">
      <c r="A13" s="4" t="s">
        <v>320</v>
      </c>
      <c r="B13" s="37">
        <f>INDEX(Census_pop_2020_2025!G:G, MATCH("."&amp;About!$B$1, Census_pop_2020_2025!A:A, 0))</f>
        <v>2126774</v>
      </c>
      <c r="C13" s="37">
        <f>INDEX(Census_pop_2020_2025!H:H, MATCH("."&amp;About!$B$1, Census_pop_2020_2025!A:A, 0))</f>
        <v>2125498</v>
      </c>
      <c r="D13" s="37">
        <f>INDEX(Census_pop_2020_2025!H:H, MATCH("."&amp;About!$B$1, Census_pop_2020_2025!A:A, 0))+0.2*(INDEX(Cooper_pop_2030_2050!D:D, MATCH(About!$B$1, Cooper_pop_2030_2050!B:B, 0))-INDEX(Census_pop_2020_2025!H:H, MATCH("."&amp;About!$B$1, Census_pop_2020_2025!A:A, 0)))</f>
        <v>2132819.5540191745</v>
      </c>
      <c r="E13" s="37">
        <f>INDEX(Census_pop_2020_2025!H:H, MATCH("."&amp;About!$B$1, Census_pop_2020_2025!A:A, 0))+0.4*(INDEX(Cooper_pop_2030_2050!D:D, MATCH(About!$B$1, Cooper_pop_2030_2050!B:B, 0))-INDEX(Census_pop_2020_2025!H:H, MATCH("."&amp;About!$B$1, Census_pop_2020_2025!A:A, 0)))</f>
        <v>2140141.1080383491</v>
      </c>
      <c r="F13" s="37">
        <f>INDEX(Census_pop_2020_2025!H:H, MATCH("."&amp;About!$B$1, Census_pop_2020_2025!A:A, 0))+0.6*(INDEX(Cooper_pop_2030_2050!D:D, MATCH(About!$B$1, Cooper_pop_2030_2050!B:B, 0))-INDEX(Census_pop_2020_2025!H:H, MATCH("."&amp;About!$B$1, Census_pop_2020_2025!A:A, 0)))</f>
        <v>2147462.6620575241</v>
      </c>
      <c r="G13" s="37">
        <f>INDEX(Census_pop_2020_2025!H:H, MATCH("."&amp;About!$B$1, Census_pop_2020_2025!A:A, 0))+0.8*(INDEX(Cooper_pop_2030_2050!D:D, MATCH(About!$B$1, Cooper_pop_2030_2050!B:B, 0))-INDEX(Census_pop_2020_2025!H:H, MATCH("."&amp;About!$B$1, Census_pop_2020_2025!A:A, 0)))</f>
        <v>2154784.2160766986</v>
      </c>
      <c r="H13" s="37">
        <f>INDEX(Cooper_pop_2030_2050!D:D, MATCH(About!$B$1, Cooper_pop_2030_2050!B:B, 0))</f>
        <v>2162105.7700958732</v>
      </c>
      <c r="I13" s="37">
        <f>INDEX(Cooper_pop_2030_2050!D:D, MATCH(About!$B$1, Cooper_pop_2030_2050!B:B, 0))+0.1*(INDEX(Cooper_pop_2030_2050!E:E, MATCH(About!$B$1, Cooper_pop_2030_2050!B:B, 0))-INDEX(Cooper_pop_2030_2050!D:D, MATCH(About!$B$1, Cooper_pop_2030_2050!B:B, 0)))</f>
        <v>2159660.337003971</v>
      </c>
      <c r="J13" s="37">
        <f>INDEX(Cooper_pop_2030_2050!D:D, MATCH(About!$B$1, Cooper_pop_2030_2050!B:B, 0))+0.2*(INDEX(Cooper_pop_2030_2050!E:E, MATCH(About!$B$1, Cooper_pop_2030_2050!B:B, 0))-INDEX(Cooper_pop_2030_2050!D:D, MATCH(About!$B$1, Cooper_pop_2030_2050!B:B, 0)))</f>
        <v>2157214.9039120693</v>
      </c>
      <c r="K13" s="37">
        <f>INDEX(Cooper_pop_2030_2050!D:D, MATCH(About!$B$1, Cooper_pop_2030_2050!B:B, 0))+0.3*(INDEX(Cooper_pop_2030_2050!E:E, MATCH(About!$B$1, Cooper_pop_2030_2050!B:B, 0))-INDEX(Cooper_pop_2030_2050!D:D, MATCH(About!$B$1, Cooper_pop_2030_2050!B:B, 0)))</f>
        <v>2154769.4708201671</v>
      </c>
      <c r="L13" s="37">
        <f>INDEX(Cooper_pop_2030_2050!D:D, MATCH(About!$B$1, Cooper_pop_2030_2050!B:B, 0))+0.4*(INDEX(Cooper_pop_2030_2050!E:E, MATCH(About!$B$1, Cooper_pop_2030_2050!B:B, 0))-INDEX(Cooper_pop_2030_2050!D:D, MATCH(About!$B$1, Cooper_pop_2030_2050!B:B, 0)))</f>
        <v>2152324.0377282649</v>
      </c>
      <c r="M13" s="37">
        <f>INDEX(Cooper_pop_2030_2050!D:D, MATCH(About!$B$1, Cooper_pop_2030_2050!B:B, 0))+0.5*(INDEX(Cooper_pop_2030_2050!E:E, MATCH(About!$B$1, Cooper_pop_2030_2050!B:B, 0))-INDEX(Cooper_pop_2030_2050!D:D, MATCH(About!$B$1, Cooper_pop_2030_2050!B:B, 0)))</f>
        <v>2149878.6046363628</v>
      </c>
      <c r="N13" s="37">
        <f>INDEX(Cooper_pop_2030_2050!D:D, MATCH(About!$B$1, Cooper_pop_2030_2050!B:B, 0))+0.6*(INDEX(Cooper_pop_2030_2050!E:E, MATCH(About!$B$1, Cooper_pop_2030_2050!B:B, 0))-INDEX(Cooper_pop_2030_2050!D:D, MATCH(About!$B$1, Cooper_pop_2030_2050!B:B, 0)))</f>
        <v>2147433.171544461</v>
      </c>
      <c r="O13" s="37">
        <f>INDEX(Cooper_pop_2030_2050!D:D, MATCH(About!$B$1, Cooper_pop_2030_2050!B:B, 0))+0.7*(INDEX(Cooper_pop_2030_2050!E:E, MATCH(About!$B$1, Cooper_pop_2030_2050!B:B, 0))-INDEX(Cooper_pop_2030_2050!D:D, MATCH(About!$B$1, Cooper_pop_2030_2050!B:B, 0)))</f>
        <v>2144987.7384525589</v>
      </c>
      <c r="P13" s="37">
        <f>INDEX(Cooper_pop_2030_2050!D:D, MATCH(About!$B$1, Cooper_pop_2030_2050!B:B, 0))+0.8*(INDEX(Cooper_pop_2030_2050!E:E, MATCH(About!$B$1, Cooper_pop_2030_2050!B:B, 0))-INDEX(Cooper_pop_2030_2050!D:D, MATCH(About!$B$1, Cooper_pop_2030_2050!B:B, 0)))</f>
        <v>2142542.3053606567</v>
      </c>
      <c r="Q13" s="37">
        <f>INDEX(Cooper_pop_2030_2050!D:D, MATCH(About!$B$1, Cooper_pop_2030_2050!B:B, 0))+0.9*(INDEX(Cooper_pop_2030_2050!E:E, MATCH(About!$B$1, Cooper_pop_2030_2050!B:B, 0))-INDEX(Cooper_pop_2030_2050!D:D, MATCH(About!$B$1, Cooper_pop_2030_2050!B:B, 0)))</f>
        <v>2140096.872268755</v>
      </c>
      <c r="R13" s="37">
        <f>INDEX(Cooper_pop_2030_2050!E:E, MATCH(About!$B$1, Cooper_pop_2030_2050!B:B, 0))</f>
        <v>2137651.4391768528</v>
      </c>
      <c r="S13" s="37">
        <f>INDEX(Cooper_pop_2030_2050!E:E, MATCH(About!$B$1, Cooper_pop_2030_2050!B:B, 0))+0.1*(INDEX(Cooper_pop_2030_2050!F:F, MATCH(About!$B$1, Cooper_pop_2030_2050!B:B, 0))-INDEX(Cooper_pop_2030_2050!E:E, MATCH(About!$B$1, Cooper_pop_2030_2050!B:B, 0)))</f>
        <v>2132757.1182249864</v>
      </c>
      <c r="T13" s="37">
        <f>INDEX(Cooper_pop_2030_2050!E:E, MATCH(About!$B$1, Cooper_pop_2030_2050!B:B, 0))+0.2*(INDEX(Cooper_pop_2030_2050!F:F, MATCH(About!$B$1, Cooper_pop_2030_2050!B:B, 0))-INDEX(Cooper_pop_2030_2050!E:E, MATCH(About!$B$1, Cooper_pop_2030_2050!B:B, 0)))</f>
        <v>2127862.7972731194</v>
      </c>
      <c r="U13" s="37">
        <f>INDEX(Cooper_pop_2030_2050!E:E, MATCH(About!$B$1, Cooper_pop_2030_2050!B:B, 0))+0.3*(INDEX(Cooper_pop_2030_2050!F:F, MATCH(About!$B$1, Cooper_pop_2030_2050!B:B, 0))-INDEX(Cooper_pop_2030_2050!E:E, MATCH(About!$B$1, Cooper_pop_2030_2050!B:B, 0)))</f>
        <v>2122968.476321253</v>
      </c>
      <c r="V13" s="37">
        <f>INDEX(Cooper_pop_2030_2050!E:E, MATCH(About!$B$1, Cooper_pop_2030_2050!B:B, 0))+0.4*(INDEX(Cooper_pop_2030_2050!F:F, MATCH(About!$B$1, Cooper_pop_2030_2050!B:B, 0))-INDEX(Cooper_pop_2030_2050!E:E, MATCH(About!$B$1, Cooper_pop_2030_2050!B:B, 0)))</f>
        <v>2118074.1553693865</v>
      </c>
      <c r="W13" s="37">
        <f>INDEX(Cooper_pop_2030_2050!E:E, MATCH(About!$B$1, Cooper_pop_2030_2050!B:B, 0))+0.5*(INDEX(Cooper_pop_2030_2050!F:F, MATCH(About!$B$1, Cooper_pop_2030_2050!B:B, 0))-INDEX(Cooper_pop_2030_2050!E:E, MATCH(About!$B$1, Cooper_pop_2030_2050!B:B, 0)))</f>
        <v>2113179.8344175201</v>
      </c>
      <c r="X13" s="37">
        <f>INDEX(Cooper_pop_2030_2050!E:E, MATCH(About!$B$1, Cooper_pop_2030_2050!B:B, 0))+0.6*(INDEX(Cooper_pop_2030_2050!F:F, MATCH(About!$B$1, Cooper_pop_2030_2050!B:B, 0))-INDEX(Cooper_pop_2030_2050!E:E, MATCH(About!$B$1, Cooper_pop_2030_2050!B:B, 0)))</f>
        <v>2108285.5134656532</v>
      </c>
      <c r="Y13" s="37">
        <f>INDEX(Cooper_pop_2030_2050!E:E, MATCH(About!$B$1, Cooper_pop_2030_2050!B:B, 0))+0.7*(INDEX(Cooper_pop_2030_2050!F:F, MATCH(About!$B$1, Cooper_pop_2030_2050!B:B, 0))-INDEX(Cooper_pop_2030_2050!E:E, MATCH(About!$B$1, Cooper_pop_2030_2050!B:B, 0)))</f>
        <v>2103391.1925137867</v>
      </c>
      <c r="Z13" s="37">
        <f>INDEX(Cooper_pop_2030_2050!E:E, MATCH(About!$B$1, Cooper_pop_2030_2050!B:B, 0))+0.8*(INDEX(Cooper_pop_2030_2050!F:F, MATCH(About!$B$1, Cooper_pop_2030_2050!B:B, 0))-INDEX(Cooper_pop_2030_2050!E:E, MATCH(About!$B$1, Cooper_pop_2030_2050!B:B, 0)))</f>
        <v>2098496.8715619203</v>
      </c>
      <c r="AA13" s="37">
        <f>INDEX(Cooper_pop_2030_2050!E:E, MATCH(About!$B$1, Cooper_pop_2030_2050!B:B, 0))+0.9*(INDEX(Cooper_pop_2030_2050!F:F, MATCH(About!$B$1, Cooper_pop_2030_2050!B:B, 0))-INDEX(Cooper_pop_2030_2050!E:E, MATCH(About!$B$1, Cooper_pop_2030_2050!B:B, 0)))</f>
        <v>2093602.5506100536</v>
      </c>
      <c r="AB13" s="37">
        <f>INDEX(Cooper_pop_2030_2050!F:F, MATCH(About!$B$1, Cooper_pop_2030_2050!B:B, 0))</f>
        <v>2088708.2296581869</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6.3206142918099603E-3</v>
      </c>
      <c r="C15" s="39">
        <f t="shared" si="1"/>
        <v>6.2881531388109943E-3</v>
      </c>
      <c r="D15" s="39">
        <f t="shared" si="1"/>
        <v>6.2819958921436275E-3</v>
      </c>
      <c r="E15" s="39">
        <f t="shared" si="1"/>
        <v>6.2766166960039529E-3</v>
      </c>
      <c r="F15" s="39">
        <f t="shared" si="1"/>
        <v>6.2720740123838039E-3</v>
      </c>
      <c r="G15" s="39">
        <f t="shared" si="1"/>
        <v>6.2683940439123729E-3</v>
      </c>
      <c r="H15" s="39">
        <f t="shared" si="1"/>
        <v>6.2656372130269478E-3</v>
      </c>
      <c r="I15" s="39">
        <f t="shared" si="1"/>
        <v>6.2356786004025546E-3</v>
      </c>
      <c r="J15" s="39">
        <f t="shared" si="1"/>
        <v>6.2070071375659834E-3</v>
      </c>
      <c r="K15" s="39">
        <f t="shared" si="1"/>
        <v>6.1794042837384714E-3</v>
      </c>
      <c r="L15" s="39">
        <f t="shared" si="1"/>
        <v>6.1528787497554761E-3</v>
      </c>
      <c r="M15" s="39">
        <f t="shared" si="1"/>
        <v>6.1274353374464376E-3</v>
      </c>
      <c r="N15" s="39">
        <f t="shared" si="1"/>
        <v>6.1030734105700039E-3</v>
      </c>
      <c r="O15" s="39">
        <f t="shared" si="1"/>
        <v>6.0797930100459953E-3</v>
      </c>
      <c r="P15" s="39">
        <f t="shared" si="1"/>
        <v>6.0575869677180639E-3</v>
      </c>
      <c r="Q15" s="39">
        <f t="shared" si="1"/>
        <v>6.0364362948830573E-3</v>
      </c>
      <c r="R15" s="39">
        <f t="shared" si="1"/>
        <v>6.0163155624126828E-3</v>
      </c>
      <c r="S15" s="39">
        <f t="shared" si="1"/>
        <v>5.9903263615388802E-3</v>
      </c>
      <c r="T15" s="39">
        <f t="shared" si="1"/>
        <v>5.9653220514375386E-3</v>
      </c>
      <c r="U15" s="39">
        <f t="shared" si="1"/>
        <v>5.9412416256074355E-3</v>
      </c>
      <c r="V15" s="39">
        <f t="shared" si="1"/>
        <v>5.9180052239722171E-3</v>
      </c>
      <c r="W15" s="39">
        <f t="shared" si="1"/>
        <v>5.8955244521972563E-3</v>
      </c>
      <c r="X15" s="39">
        <f t="shared" si="1"/>
        <v>5.8737097355396417E-3</v>
      </c>
      <c r="Y15" s="39">
        <f t="shared" si="1"/>
        <v>5.8525021993616356E-3</v>
      </c>
      <c r="Z15" s="39">
        <f t="shared" si="1"/>
        <v>5.8318185331732025E-3</v>
      </c>
      <c r="AA15" s="39">
        <f t="shared" si="1"/>
        <v>5.8115752864928904E-3</v>
      </c>
      <c r="AB15" s="39">
        <f t="shared" si="1"/>
        <v>5.7916913319083106E-3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59.713417433917087</v>
      </c>
      <c r="C48" s="37">
        <f t="shared" si="10"/>
        <v>58.958557663056233</v>
      </c>
      <c r="D48" s="37">
        <f t="shared" si="10"/>
        <v>58.446773021300139</v>
      </c>
      <c r="E48" s="37">
        <f t="shared" si="10"/>
        <v>57.943061085332332</v>
      </c>
      <c r="F48" s="37">
        <f t="shared" si="10"/>
        <v>57.43519594067957</v>
      </c>
      <c r="G48" s="37">
        <f t="shared" si="10"/>
        <v>56.923256470638798</v>
      </c>
      <c r="H48" s="37">
        <f t="shared" si="10"/>
        <v>56.407611345119967</v>
      </c>
      <c r="I48" s="37">
        <f t="shared" si="10"/>
        <v>55.668417998309195</v>
      </c>
      <c r="J48" s="37">
        <f t="shared" si="10"/>
        <v>54.901512687247674</v>
      </c>
      <c r="K48" s="37">
        <f t="shared" si="10"/>
        <v>54.154894970287422</v>
      </c>
      <c r="L48" s="37">
        <f t="shared" si="10"/>
        <v>53.3850599103002</v>
      </c>
      <c r="M48" s="37">
        <f t="shared" si="10"/>
        <v>52.635303739195209</v>
      </c>
      <c r="N48" s="37">
        <f t="shared" si="10"/>
        <v>51.911390836585262</v>
      </c>
      <c r="O48" s="37">
        <f t="shared" si="10"/>
        <v>51.127454836398996</v>
      </c>
      <c r="P48" s="37">
        <f t="shared" si="10"/>
        <v>50.375180206993072</v>
      </c>
      <c r="Q48" s="37">
        <f t="shared" si="10"/>
        <v>49.599371120969735</v>
      </c>
      <c r="R48" s="37">
        <f t="shared" si="10"/>
        <v>48.830086794722462</v>
      </c>
      <c r="S48" s="37">
        <f t="shared" si="10"/>
        <v>47.999760680235113</v>
      </c>
      <c r="T48" s="37">
        <f t="shared" si="10"/>
        <v>47.182599027130351</v>
      </c>
      <c r="U48" s="37">
        <f t="shared" si="10"/>
        <v>46.377820105068317</v>
      </c>
      <c r="V48" s="37">
        <f t="shared" si="10"/>
        <v>45.584522192498063</v>
      </c>
      <c r="W48" s="37">
        <f t="shared" si="10"/>
        <v>44.807690075045365</v>
      </c>
      <c r="X48" s="37">
        <f t="shared" si="10"/>
        <v>44.087627249208843</v>
      </c>
      <c r="Y48" s="37">
        <f t="shared" si="10"/>
        <v>43.376181611460368</v>
      </c>
      <c r="Z48" s="37">
        <f t="shared" si="10"/>
        <v>42.701843572300987</v>
      </c>
      <c r="AA48" s="37">
        <f t="shared" si="10"/>
        <v>42.040221024987623</v>
      </c>
      <c r="AB48" s="37">
        <f t="shared" si="10"/>
        <v>41.384742406957741</v>
      </c>
    </row>
    <row r="49" spans="1:28" x14ac:dyDescent="0.25">
      <c r="A49" s="4" t="s">
        <v>216</v>
      </c>
      <c r="B49" s="37">
        <f t="shared" ref="B49:AB49" si="11">B29*B15*$F$5</f>
        <v>47.249490206478626</v>
      </c>
      <c r="C49" s="37">
        <f t="shared" si="11"/>
        <v>46.749994519578372</v>
      </c>
      <c r="D49" s="37">
        <f t="shared" si="11"/>
        <v>46.447635568265525</v>
      </c>
      <c r="E49" s="37">
        <f t="shared" si="11"/>
        <v>46.14524779546926</v>
      </c>
      <c r="F49" s="37">
        <f t="shared" si="11"/>
        <v>45.836928701886166</v>
      </c>
      <c r="G49" s="37">
        <f t="shared" si="11"/>
        <v>45.535274835364255</v>
      </c>
      <c r="H49" s="37">
        <f t="shared" si="11"/>
        <v>45.234367220873928</v>
      </c>
      <c r="I49" s="37">
        <f t="shared" si="11"/>
        <v>44.707484871849395</v>
      </c>
      <c r="J49" s="37">
        <f t="shared" si="11"/>
        <v>44.21130145593154</v>
      </c>
      <c r="K49" s="37">
        <f t="shared" si="11"/>
        <v>43.68842896101313</v>
      </c>
      <c r="L49" s="37">
        <f t="shared" si="11"/>
        <v>43.188289970140147</v>
      </c>
      <c r="M49" s="37">
        <f t="shared" si="11"/>
        <v>42.661762165802529</v>
      </c>
      <c r="N49" s="37">
        <f t="shared" si="11"/>
        <v>42.115192919036964</v>
      </c>
      <c r="O49" s="37">
        <f t="shared" si="11"/>
        <v>41.609312842648514</v>
      </c>
      <c r="P49" s="37">
        <f t="shared" si="11"/>
        <v>41.053022930330968</v>
      </c>
      <c r="Q49" s="37">
        <f t="shared" si="11"/>
        <v>40.518806193382169</v>
      </c>
      <c r="R49" s="37">
        <f t="shared" si="11"/>
        <v>39.964208074640759</v>
      </c>
      <c r="S49" s="37">
        <f t="shared" si="11"/>
        <v>39.373843261827773</v>
      </c>
      <c r="T49" s="37">
        <f t="shared" si="11"/>
        <v>38.781622745109168</v>
      </c>
      <c r="U49" s="37">
        <f t="shared" si="11"/>
        <v>38.198929223884349</v>
      </c>
      <c r="V49" s="37">
        <f t="shared" si="11"/>
        <v>37.636847161901038</v>
      </c>
      <c r="W49" s="37">
        <f t="shared" si="11"/>
        <v>37.088631824123581</v>
      </c>
      <c r="X49" s="37">
        <f t="shared" si="11"/>
        <v>36.541800021017174</v>
      </c>
      <c r="Y49" s="37">
        <f t="shared" si="11"/>
        <v>36.025066709895277</v>
      </c>
      <c r="Z49" s="37">
        <f t="shared" si="11"/>
        <v>35.508502745692269</v>
      </c>
      <c r="AA49" s="37">
        <f t="shared" si="11"/>
        <v>35.014720473616997</v>
      </c>
      <c r="AB49" s="37">
        <f t="shared" si="11"/>
        <v>34.560279284018812</v>
      </c>
    </row>
    <row r="50" spans="1:28" x14ac:dyDescent="0.25">
      <c r="A50" s="4" t="s">
        <v>217</v>
      </c>
      <c r="B50" s="37">
        <f t="shared" ref="B50:AB50" si="12">B30*B15*$F$6</f>
        <v>66.757909406337063</v>
      </c>
      <c r="C50" s="37">
        <f t="shared" si="12"/>
        <v>65.977140578159123</v>
      </c>
      <c r="D50" s="37">
        <f t="shared" si="12"/>
        <v>65.481780042161063</v>
      </c>
      <c r="E50" s="37">
        <f t="shared" si="12"/>
        <v>64.981871116782585</v>
      </c>
      <c r="F50" s="37">
        <f t="shared" si="12"/>
        <v>64.484604271804102</v>
      </c>
      <c r="G50" s="37">
        <f t="shared" si="12"/>
        <v>63.996797452666577</v>
      </c>
      <c r="H50" s="37">
        <f t="shared" si="12"/>
        <v>63.49202521380208</v>
      </c>
      <c r="I50" s="37">
        <f t="shared" si="12"/>
        <v>62.720776847196717</v>
      </c>
      <c r="J50" s="37">
        <f t="shared" si="12"/>
        <v>61.933621115317493</v>
      </c>
      <c r="K50" s="37">
        <f t="shared" si="12"/>
        <v>61.135167298887744</v>
      </c>
      <c r="L50" s="37">
        <f t="shared" si="12"/>
        <v>60.318992105094814</v>
      </c>
      <c r="M50" s="37">
        <f t="shared" si="12"/>
        <v>59.48527757439048</v>
      </c>
      <c r="N50" s="37">
        <f t="shared" si="12"/>
        <v>58.634116940130482</v>
      </c>
      <c r="O50" s="37">
        <f t="shared" si="12"/>
        <v>57.746033552765908</v>
      </c>
      <c r="P50" s="37">
        <f t="shared" si="12"/>
        <v>56.847164794691459</v>
      </c>
      <c r="Q50" s="37">
        <f t="shared" si="12"/>
        <v>55.930786681544205</v>
      </c>
      <c r="R50" s="37">
        <f t="shared" si="12"/>
        <v>54.996630140860745</v>
      </c>
      <c r="S50" s="37">
        <f t="shared" si="12"/>
        <v>53.995304930818186</v>
      </c>
      <c r="T50" s="37">
        <f t="shared" si="12"/>
        <v>53.0093588240195</v>
      </c>
      <c r="U50" s="37">
        <f t="shared" si="12"/>
        <v>52.037880766194903</v>
      </c>
      <c r="V50" s="37">
        <f t="shared" si="12"/>
        <v>51.086168680059188</v>
      </c>
      <c r="W50" s="37">
        <f t="shared" si="12"/>
        <v>50.165708806902472</v>
      </c>
      <c r="X50" s="37">
        <f t="shared" si="12"/>
        <v>49.281546747099476</v>
      </c>
      <c r="Y50" s="37">
        <f t="shared" si="12"/>
        <v>48.420136349138716</v>
      </c>
      <c r="Z50" s="37">
        <f t="shared" si="12"/>
        <v>47.58669709816683</v>
      </c>
      <c r="AA50" s="37">
        <f t="shared" si="12"/>
        <v>46.792632457829782</v>
      </c>
      <c r="AB50" s="37">
        <f t="shared" si="12"/>
        <v>46.024418735786206</v>
      </c>
    </row>
    <row r="51" spans="1:28" x14ac:dyDescent="0.25">
      <c r="A51" s="4" t="s">
        <v>218</v>
      </c>
      <c r="B51" s="37">
        <f t="shared" ref="B51:AB51" si="13">B31*B15*$F$7</f>
        <v>6.2880214660517</v>
      </c>
      <c r="C51" s="37">
        <f t="shared" si="13"/>
        <v>6.171479979592509</v>
      </c>
      <c r="D51" s="37">
        <f t="shared" si="13"/>
        <v>6.0826077046885079</v>
      </c>
      <c r="E51" s="37">
        <f t="shared" si="13"/>
        <v>5.9919712713129689</v>
      </c>
      <c r="F51" s="37">
        <f t="shared" si="13"/>
        <v>5.8996007644121438</v>
      </c>
      <c r="G51" s="37">
        <f t="shared" si="13"/>
        <v>5.8081571513160801</v>
      </c>
      <c r="H51" s="37">
        <f t="shared" si="13"/>
        <v>5.7136618119536857</v>
      </c>
      <c r="I51" s="37">
        <f t="shared" si="13"/>
        <v>5.5961672165354139</v>
      </c>
      <c r="J51" s="37">
        <f t="shared" si="13"/>
        <v>5.4806756243823482</v>
      </c>
      <c r="K51" s="37">
        <f t="shared" si="13"/>
        <v>5.3669413871996969</v>
      </c>
      <c r="L51" s="37">
        <f t="shared" si="13"/>
        <v>5.2575425793651114</v>
      </c>
      <c r="M51" s="37">
        <f t="shared" si="13"/>
        <v>5.1537071156475029</v>
      </c>
      <c r="N51" s="37">
        <f t="shared" si="13"/>
        <v>5.0514485598116456</v>
      </c>
      <c r="O51" s="37">
        <f t="shared" si="13"/>
        <v>4.9546023404899042</v>
      </c>
      <c r="P51" s="37">
        <f t="shared" si="13"/>
        <v>4.8592120477388034</v>
      </c>
      <c r="Q51" s="37">
        <f t="shared" si="13"/>
        <v>4.7677890342409226</v>
      </c>
      <c r="R51" s="37">
        <f t="shared" si="13"/>
        <v>4.6789680223184504</v>
      </c>
      <c r="S51" s="37">
        <f t="shared" si="13"/>
        <v>4.5861419633474139</v>
      </c>
      <c r="T51" s="37">
        <f t="shared" si="13"/>
        <v>4.4959566753638187</v>
      </c>
      <c r="U51" s="37">
        <f t="shared" si="13"/>
        <v>4.4070522623193096</v>
      </c>
      <c r="V51" s="37">
        <f t="shared" si="13"/>
        <v>4.3218545254800258</v>
      </c>
      <c r="W51" s="37">
        <f t="shared" si="13"/>
        <v>4.2364798596008333</v>
      </c>
      <c r="X51" s="37">
        <f t="shared" si="13"/>
        <v>4.1546001759259417</v>
      </c>
      <c r="Y51" s="37">
        <f t="shared" si="13"/>
        <v>4.0773687307687956</v>
      </c>
      <c r="Z51" s="37">
        <f t="shared" si="13"/>
        <v>4.0009476976853788</v>
      </c>
      <c r="AA51" s="37">
        <f t="shared" si="13"/>
        <v>3.9277358298630158</v>
      </c>
      <c r="AB51" s="37">
        <f t="shared" si="13"/>
        <v>3.8551764023674258</v>
      </c>
    </row>
    <row r="52" spans="1:28" x14ac:dyDescent="0.25">
      <c r="A52" s="4" t="s">
        <v>219</v>
      </c>
      <c r="B52" s="37">
        <f t="shared" ref="B52:AB52" si="14">B32*B15*$F$8</f>
        <v>1.7973733896393829</v>
      </c>
      <c r="C52" s="37">
        <f t="shared" si="14"/>
        <v>1.7943729744344505</v>
      </c>
      <c r="D52" s="37">
        <f t="shared" si="14"/>
        <v>1.7988403175913432</v>
      </c>
      <c r="E52" s="37">
        <f t="shared" si="14"/>
        <v>1.8055920341484653</v>
      </c>
      <c r="F52" s="37">
        <f t="shared" si="14"/>
        <v>1.8125712821564113</v>
      </c>
      <c r="G52" s="37">
        <f t="shared" si="14"/>
        <v>1.8197889838999077</v>
      </c>
      <c r="H52" s="37">
        <f t="shared" si="14"/>
        <v>1.8272661797520307</v>
      </c>
      <c r="I52" s="37">
        <f t="shared" si="14"/>
        <v>1.826767219727448</v>
      </c>
      <c r="J52" s="37">
        <f t="shared" si="14"/>
        <v>1.8265678792071776</v>
      </c>
      <c r="K52" s="37">
        <f t="shared" si="14"/>
        <v>1.8306904667826909</v>
      </c>
      <c r="L52" s="37">
        <f t="shared" si="14"/>
        <v>1.8309606685019377</v>
      </c>
      <c r="M52" s="37">
        <f t="shared" si="14"/>
        <v>1.8314842295031584</v>
      </c>
      <c r="N52" s="37">
        <f t="shared" si="14"/>
        <v>1.8322652475483874</v>
      </c>
      <c r="O52" s="37">
        <f t="shared" si="14"/>
        <v>1.8333080212294908</v>
      </c>
      <c r="P52" s="37">
        <f t="shared" si="14"/>
        <v>1.8326139956962695</v>
      </c>
      <c r="Q52" s="37">
        <f t="shared" si="14"/>
        <v>1.834189979049168</v>
      </c>
      <c r="R52" s="37">
        <f t="shared" si="14"/>
        <v>1.8320503105522197</v>
      </c>
      <c r="S52" s="37">
        <f t="shared" si="14"/>
        <v>1.8300716110928348</v>
      </c>
      <c r="T52" s="37">
        <f t="shared" si="14"/>
        <v>1.830313472017679</v>
      </c>
      <c r="U52" s="37">
        <f t="shared" si="14"/>
        <v>1.8268494697550406</v>
      </c>
      <c r="V52" s="37">
        <f t="shared" si="14"/>
        <v>1.825568308016948</v>
      </c>
      <c r="W52" s="37">
        <f t="shared" si="14"/>
        <v>1.8244749429513978</v>
      </c>
      <c r="X52" s="37">
        <f t="shared" si="14"/>
        <v>1.8216038711742666</v>
      </c>
      <c r="Y52" s="37">
        <f t="shared" si="14"/>
        <v>1.8227585567199784</v>
      </c>
      <c r="Z52" s="37">
        <f t="shared" si="14"/>
        <v>1.8201688495886434</v>
      </c>
      <c r="AA52" s="37">
        <f t="shared" si="14"/>
        <v>1.8176895675048752</v>
      </c>
      <c r="AB52" s="37">
        <f t="shared" si="14"/>
        <v>1.8152961553726366</v>
      </c>
    </row>
    <row r="53" spans="1:28" x14ac:dyDescent="0.25">
      <c r="A53" s="4" t="s">
        <v>220</v>
      </c>
      <c r="B53" s="37">
        <f t="shared" ref="B53:AB53" si="15">B33*B15*$F$9</f>
        <v>29.28088935497653</v>
      </c>
      <c r="C53" s="37">
        <f t="shared" si="15"/>
        <v>29.379980526766097</v>
      </c>
      <c r="D53" s="37">
        <f t="shared" si="15"/>
        <v>29.542924862947242</v>
      </c>
      <c r="E53" s="37">
        <f t="shared" si="15"/>
        <v>29.74748584757679</v>
      </c>
      <c r="F53" s="37">
        <f t="shared" si="15"/>
        <v>29.936507069570709</v>
      </c>
      <c r="G53" s="37">
        <f t="shared" si="15"/>
        <v>30.091110468505804</v>
      </c>
      <c r="H53" s="37">
        <f t="shared" si="15"/>
        <v>30.326453931681424</v>
      </c>
      <c r="I53" s="37">
        <f t="shared" si="15"/>
        <v>30.352719831252848</v>
      </c>
      <c r="J53" s="37">
        <f t="shared" si="15"/>
        <v>30.40258313146504</v>
      </c>
      <c r="K53" s="37">
        <f t="shared" si="15"/>
        <v>30.399388679650631</v>
      </c>
      <c r="L53" s="37">
        <f t="shared" si="15"/>
        <v>30.419114985570349</v>
      </c>
      <c r="M53" s="37">
        <f t="shared" si="15"/>
        <v>30.386823641239943</v>
      </c>
      <c r="N53" s="37">
        <f t="shared" si="15"/>
        <v>30.396386035468556</v>
      </c>
      <c r="O53" s="37">
        <f t="shared" si="15"/>
        <v>30.373208839783736</v>
      </c>
      <c r="P53" s="37">
        <f t="shared" si="15"/>
        <v>30.317731966794149</v>
      </c>
      <c r="Q53" s="37">
        <f t="shared" si="15"/>
        <v>30.230296437689073</v>
      </c>
      <c r="R53" s="37">
        <f t="shared" si="15"/>
        <v>30.147892868567258</v>
      </c>
      <c r="S53" s="37">
        <f t="shared" si="15"/>
        <v>30.01766039728896</v>
      </c>
      <c r="T53" s="37">
        <f t="shared" si="15"/>
        <v>29.819543836997887</v>
      </c>
      <c r="U53" s="37">
        <f t="shared" si="15"/>
        <v>29.66290750999752</v>
      </c>
      <c r="V53" s="37">
        <f t="shared" si="15"/>
        <v>29.47465305533305</v>
      </c>
      <c r="W53" s="37">
        <f t="shared" si="15"/>
        <v>29.290720093764445</v>
      </c>
      <c r="X53" s="37">
        <f t="shared" si="15"/>
        <v>29.146487550760366</v>
      </c>
      <c r="Y53" s="37">
        <f t="shared" si="15"/>
        <v>28.951948898920776</v>
      </c>
      <c r="Z53" s="37">
        <f t="shared" si="15"/>
        <v>28.814033290696347</v>
      </c>
      <c r="AA53" s="37">
        <f t="shared" si="15"/>
        <v>28.625336575643903</v>
      </c>
      <c r="AB53" s="37">
        <f t="shared" si="15"/>
        <v>28.492046777804848</v>
      </c>
    </row>
    <row r="54" spans="1:28" x14ac:dyDescent="0.25">
      <c r="A54" s="4" t="s">
        <v>221</v>
      </c>
      <c r="B54" s="37">
        <f t="shared" ref="B54:AB54" si="16">B34*B15*$F$10</f>
        <v>61.103113325227852</v>
      </c>
      <c r="C54" s="37">
        <f t="shared" si="16"/>
        <v>61.042525265579251</v>
      </c>
      <c r="D54" s="37">
        <f t="shared" si="16"/>
        <v>61.267350244402493</v>
      </c>
      <c r="E54" s="37">
        <f t="shared" si="16"/>
        <v>61.515038180216926</v>
      </c>
      <c r="F54" s="37">
        <f t="shared" si="16"/>
        <v>61.817807900560069</v>
      </c>
      <c r="G54" s="37">
        <f t="shared" si="16"/>
        <v>62.065518498402547</v>
      </c>
      <c r="H54" s="37">
        <f t="shared" si="16"/>
        <v>62.306308031578759</v>
      </c>
      <c r="I54" s="37">
        <f t="shared" si="16"/>
        <v>62.259505383479777</v>
      </c>
      <c r="J54" s="37">
        <f t="shared" si="16"/>
        <v>62.191948744899385</v>
      </c>
      <c r="K54" s="37">
        <f t="shared" si="16"/>
        <v>62.102010851883449</v>
      </c>
      <c r="L54" s="37">
        <f t="shared" si="16"/>
        <v>61.97480716667841</v>
      </c>
      <c r="M54" s="37">
        <f t="shared" si="16"/>
        <v>61.811060188243005</v>
      </c>
      <c r="N54" s="37">
        <f t="shared" si="16"/>
        <v>61.611388856054184</v>
      </c>
      <c r="O54" s="37">
        <f t="shared" si="16"/>
        <v>61.376369921671838</v>
      </c>
      <c r="P54" s="37">
        <f t="shared" si="16"/>
        <v>61.060720050999443</v>
      </c>
      <c r="Q54" s="37">
        <f t="shared" si="16"/>
        <v>60.710784417968412</v>
      </c>
      <c r="R54" s="37">
        <f t="shared" si="16"/>
        <v>60.281288678755367</v>
      </c>
      <c r="S54" s="37">
        <f t="shared" si="16"/>
        <v>59.794733811944305</v>
      </c>
      <c r="T54" s="37">
        <f t="shared" si="16"/>
        <v>59.25987954857581</v>
      </c>
      <c r="U54" s="37">
        <f t="shared" si="16"/>
        <v>58.676737273523948</v>
      </c>
      <c r="V54" s="37">
        <f t="shared" si="16"/>
        <v>58.104669798866603</v>
      </c>
      <c r="W54" s="37">
        <f t="shared" si="16"/>
        <v>57.46847661911324</v>
      </c>
      <c r="X54" s="37">
        <f t="shared" si="16"/>
        <v>56.915814262874115</v>
      </c>
      <c r="Y54" s="37">
        <f t="shared" si="16"/>
        <v>56.356795955449641</v>
      </c>
      <c r="Z54" s="37">
        <f t="shared" si="16"/>
        <v>55.805352692356131</v>
      </c>
      <c r="AA54" s="37">
        <f t="shared" si="16"/>
        <v>55.275222978734057</v>
      </c>
      <c r="AB54" s="37">
        <f t="shared" si="16"/>
        <v>54.779987251176081</v>
      </c>
    </row>
    <row r="55" spans="1:28" x14ac:dyDescent="0.25">
      <c r="A55" s="4" t="s">
        <v>222</v>
      </c>
      <c r="B55" s="37">
        <f t="shared" ref="B55:AB55" si="17">B35*B15*$F$11</f>
        <v>52.245096946762061</v>
      </c>
      <c r="C55" s="37">
        <f t="shared" si="17"/>
        <v>51.467904021163349</v>
      </c>
      <c r="D55" s="37">
        <f t="shared" si="17"/>
        <v>50.897216094121845</v>
      </c>
      <c r="E55" s="37">
        <f t="shared" si="17"/>
        <v>50.325850891667521</v>
      </c>
      <c r="F55" s="37">
        <f t="shared" si="17"/>
        <v>49.734269216390388</v>
      </c>
      <c r="G55" s="37">
        <f t="shared" si="17"/>
        <v>49.158182413166436</v>
      </c>
      <c r="H55" s="37">
        <f t="shared" si="17"/>
        <v>48.581973969724437</v>
      </c>
      <c r="I55" s="37">
        <f t="shared" si="17"/>
        <v>47.793803951662916</v>
      </c>
      <c r="J55" s="37">
        <f t="shared" si="17"/>
        <v>47.012877401363241</v>
      </c>
      <c r="K55" s="37">
        <f t="shared" si="17"/>
        <v>46.233411912192999</v>
      </c>
      <c r="L55" s="37">
        <f t="shared" si="17"/>
        <v>45.463113099274267</v>
      </c>
      <c r="M55" s="37">
        <f t="shared" si="17"/>
        <v>44.69789195929269</v>
      </c>
      <c r="N55" s="37">
        <f t="shared" si="17"/>
        <v>43.945251751732265</v>
      </c>
      <c r="O55" s="37">
        <f t="shared" si="17"/>
        <v>43.189511725681818</v>
      </c>
      <c r="P55" s="37">
        <f t="shared" si="17"/>
        <v>42.441973876893961</v>
      </c>
      <c r="Q55" s="37">
        <f t="shared" si="17"/>
        <v>41.702235330181153</v>
      </c>
      <c r="R55" s="37">
        <f t="shared" si="17"/>
        <v>40.973656486814392</v>
      </c>
      <c r="S55" s="37">
        <f t="shared" si="17"/>
        <v>40.198267627424784</v>
      </c>
      <c r="T55" s="37">
        <f t="shared" si="17"/>
        <v>39.442124757535503</v>
      </c>
      <c r="U55" s="37">
        <f t="shared" si="17"/>
        <v>38.711956690261808</v>
      </c>
      <c r="V55" s="37">
        <f t="shared" si="17"/>
        <v>37.999318370659836</v>
      </c>
      <c r="W55" s="37">
        <f t="shared" si="17"/>
        <v>37.321958970055242</v>
      </c>
      <c r="X55" s="37">
        <f t="shared" si="17"/>
        <v>36.660247917184712</v>
      </c>
      <c r="Y55" s="37">
        <f t="shared" si="17"/>
        <v>36.024662497276992</v>
      </c>
      <c r="Z55" s="37">
        <f t="shared" si="17"/>
        <v>35.410651980293068</v>
      </c>
      <c r="AA55" s="37">
        <f t="shared" si="17"/>
        <v>34.813754054045795</v>
      </c>
      <c r="AB55" s="37">
        <f t="shared" si="17"/>
        <v>34.236927952204475</v>
      </c>
    </row>
    <row r="57" spans="1:28" x14ac:dyDescent="0.25">
      <c r="A57" s="4" t="s">
        <v>327</v>
      </c>
    </row>
    <row r="58" spans="1:28" x14ac:dyDescent="0.25">
      <c r="A58" s="4" t="s">
        <v>215</v>
      </c>
      <c r="B58" s="37">
        <f t="shared" ref="B58:AB58" si="18">B38*B15*$F$4</f>
        <v>9468.9833117093767</v>
      </c>
      <c r="C58" s="37">
        <f t="shared" si="18"/>
        <v>9591.9450212767533</v>
      </c>
      <c r="D58" s="37">
        <f t="shared" si="18"/>
        <v>9752.557951576091</v>
      </c>
      <c r="E58" s="37">
        <f t="shared" si="18"/>
        <v>9913.373474141219</v>
      </c>
      <c r="F58" s="37">
        <f t="shared" si="18"/>
        <v>10075.249079102485</v>
      </c>
      <c r="G58" s="37">
        <f t="shared" si="18"/>
        <v>10238.490261258916</v>
      </c>
      <c r="H58" s="37">
        <f t="shared" si="18"/>
        <v>10402.405117499307</v>
      </c>
      <c r="I58" s="37">
        <f t="shared" si="18"/>
        <v>10518.833340735726</v>
      </c>
      <c r="J58" s="37">
        <f t="shared" si="18"/>
        <v>10632.748732584105</v>
      </c>
      <c r="K58" s="37">
        <f t="shared" si="18"/>
        <v>10744.002386683098</v>
      </c>
      <c r="L58" s="37">
        <f t="shared" si="18"/>
        <v>10851.725600551623</v>
      </c>
      <c r="M58" s="37">
        <f t="shared" si="18"/>
        <v>10955.782893452508</v>
      </c>
      <c r="N58" s="37">
        <f t="shared" si="18"/>
        <v>11055.10444257764</v>
      </c>
      <c r="O58" s="37">
        <f t="shared" si="18"/>
        <v>11149.331179315279</v>
      </c>
      <c r="P58" s="37">
        <f t="shared" si="18"/>
        <v>11237.094882156165</v>
      </c>
      <c r="Q58" s="37">
        <f t="shared" si="18"/>
        <v>11318.23714163391</v>
      </c>
      <c r="R58" s="37">
        <f t="shared" si="18"/>
        <v>11391.114053341915</v>
      </c>
      <c r="S58" s="37">
        <f t="shared" si="18"/>
        <v>11442.78935234094</v>
      </c>
      <c r="T58" s="37">
        <f t="shared" si="18"/>
        <v>11485.696191222842</v>
      </c>
      <c r="U58" s="37">
        <f t="shared" si="18"/>
        <v>11520.528447022953</v>
      </c>
      <c r="V58" s="37">
        <f t="shared" si="18"/>
        <v>11544.593627701021</v>
      </c>
      <c r="W58" s="37">
        <f t="shared" si="18"/>
        <v>11558.655886475439</v>
      </c>
      <c r="X58" s="37">
        <f t="shared" si="18"/>
        <v>11562.15566497765</v>
      </c>
      <c r="Y58" s="37">
        <f t="shared" si="18"/>
        <v>11559.925716176052</v>
      </c>
      <c r="Z58" s="37">
        <f t="shared" si="18"/>
        <v>11547.786845864819</v>
      </c>
      <c r="AA58" s="37">
        <f t="shared" si="18"/>
        <v>11526.511491154142</v>
      </c>
      <c r="AB58" s="37">
        <f t="shared" si="18"/>
        <v>11497.196569646572</v>
      </c>
    </row>
    <row r="59" spans="1:28" x14ac:dyDescent="0.25">
      <c r="A59" s="4" t="s">
        <v>216</v>
      </c>
      <c r="B59" s="37">
        <f t="shared" ref="B59:AB59" si="19">B39*B15*$F$5</f>
        <v>8829.7988549265319</v>
      </c>
      <c r="C59" s="37">
        <f t="shared" si="19"/>
        <v>8921.2933733064856</v>
      </c>
      <c r="D59" s="37">
        <f t="shared" si="19"/>
        <v>9048.5901735590305</v>
      </c>
      <c r="E59" s="37">
        <f t="shared" si="19"/>
        <v>9180.7596202423047</v>
      </c>
      <c r="F59" s="37">
        <f t="shared" si="19"/>
        <v>9320.4046040507892</v>
      </c>
      <c r="G59" s="37">
        <f t="shared" si="19"/>
        <v>9468.0275530757408</v>
      </c>
      <c r="H59" s="37">
        <f t="shared" si="19"/>
        <v>9624.5151276422275</v>
      </c>
      <c r="I59" s="37">
        <f t="shared" si="19"/>
        <v>9744.9147662853684</v>
      </c>
      <c r="J59" s="37">
        <f t="shared" si="19"/>
        <v>9871.6230570564931</v>
      </c>
      <c r="K59" s="37">
        <f t="shared" si="19"/>
        <v>10002.064753677809</v>
      </c>
      <c r="L59" s="37">
        <f t="shared" si="19"/>
        <v>10136.0023447108</v>
      </c>
      <c r="M59" s="37">
        <f t="shared" si="19"/>
        <v>10272.792401328263</v>
      </c>
      <c r="N59" s="37">
        <f t="shared" si="19"/>
        <v>10410.228792440481</v>
      </c>
      <c r="O59" s="37">
        <f t="shared" si="19"/>
        <v>10546.240711747161</v>
      </c>
      <c r="P59" s="37">
        <f t="shared" si="19"/>
        <v>10680.393790801047</v>
      </c>
      <c r="Q59" s="37">
        <f t="shared" si="19"/>
        <v>10809.783671947229</v>
      </c>
      <c r="R59" s="37">
        <f t="shared" si="19"/>
        <v>10933.645145250897</v>
      </c>
      <c r="S59" s="37">
        <f t="shared" si="19"/>
        <v>11037.404880768199</v>
      </c>
      <c r="T59" s="37">
        <f t="shared" si="19"/>
        <v>11132.726551565151</v>
      </c>
      <c r="U59" s="37">
        <f t="shared" si="19"/>
        <v>11218.671578135776</v>
      </c>
      <c r="V59" s="37">
        <f t="shared" si="19"/>
        <v>11292.79921541867</v>
      </c>
      <c r="W59" s="37">
        <f t="shared" si="19"/>
        <v>11352.950599931512</v>
      </c>
      <c r="X59" s="37">
        <f t="shared" si="19"/>
        <v>11399.847927261235</v>
      </c>
      <c r="Y59" s="37">
        <f t="shared" si="19"/>
        <v>11438.894434268906</v>
      </c>
      <c r="Z59" s="37">
        <f t="shared" si="19"/>
        <v>11465.237737170361</v>
      </c>
      <c r="AA59" s="37">
        <f t="shared" si="19"/>
        <v>11477.209371539617</v>
      </c>
      <c r="AB59" s="37">
        <f t="shared" si="19"/>
        <v>11475.10895819808</v>
      </c>
    </row>
    <row r="60" spans="1:28" x14ac:dyDescent="0.25">
      <c r="A60" s="4" t="s">
        <v>217</v>
      </c>
      <c r="B60" s="37">
        <f t="shared" ref="B60:AB60" si="20">B40*B15*$F$6</f>
        <v>15874.852077276504</v>
      </c>
      <c r="C60" s="37">
        <f t="shared" si="20"/>
        <v>16057.574817835313</v>
      </c>
      <c r="D60" s="37">
        <f t="shared" si="20"/>
        <v>16302.708487326747</v>
      </c>
      <c r="E60" s="37">
        <f t="shared" si="20"/>
        <v>16550.7205054435</v>
      </c>
      <c r="F60" s="37">
        <f t="shared" si="20"/>
        <v>16805.019838577191</v>
      </c>
      <c r="G60" s="37">
        <f t="shared" si="20"/>
        <v>17065.700720652578</v>
      </c>
      <c r="H60" s="37">
        <f t="shared" si="20"/>
        <v>17333.416866065472</v>
      </c>
      <c r="I60" s="37">
        <f t="shared" si="20"/>
        <v>17527.270314714351</v>
      </c>
      <c r="J60" s="37">
        <f t="shared" si="20"/>
        <v>17723.177195199441</v>
      </c>
      <c r="K60" s="37">
        <f t="shared" si="20"/>
        <v>17918.013097162286</v>
      </c>
      <c r="L60" s="37">
        <f t="shared" si="20"/>
        <v>18110.866374788973</v>
      </c>
      <c r="M60" s="37">
        <f t="shared" si="20"/>
        <v>18301.081232138789</v>
      </c>
      <c r="N60" s="37">
        <f t="shared" si="20"/>
        <v>18485.400909516218</v>
      </c>
      <c r="O60" s="37">
        <f t="shared" si="20"/>
        <v>18662.078464624479</v>
      </c>
      <c r="P60" s="37">
        <f t="shared" si="20"/>
        <v>18828.814210808443</v>
      </c>
      <c r="Q60" s="37">
        <f t="shared" si="20"/>
        <v>18983.198742921857</v>
      </c>
      <c r="R60" s="37">
        <f t="shared" si="20"/>
        <v>19122.944530385328</v>
      </c>
      <c r="S60" s="37">
        <f t="shared" si="20"/>
        <v>19224.517120565783</v>
      </c>
      <c r="T60" s="37">
        <f t="shared" si="20"/>
        <v>19308.706886323711</v>
      </c>
      <c r="U60" s="37">
        <f t="shared" si="20"/>
        <v>19375.634935469963</v>
      </c>
      <c r="V60" s="37">
        <f t="shared" si="20"/>
        <v>19420.295746293654</v>
      </c>
      <c r="W60" s="37">
        <f t="shared" si="20"/>
        <v>19441.410307558213</v>
      </c>
      <c r="X60" s="37">
        <f t="shared" si="20"/>
        <v>19439.572121102188</v>
      </c>
      <c r="Y60" s="37">
        <f t="shared" si="20"/>
        <v>19424.845678598009</v>
      </c>
      <c r="Z60" s="37">
        <f t="shared" si="20"/>
        <v>19388.636140200826</v>
      </c>
      <c r="AA60" s="37">
        <f t="shared" si="20"/>
        <v>19329.896370627514</v>
      </c>
      <c r="AB60" s="37">
        <f t="shared" si="20"/>
        <v>19250.42518990982</v>
      </c>
    </row>
    <row r="61" spans="1:28" x14ac:dyDescent="0.25">
      <c r="A61" s="4" t="s">
        <v>218</v>
      </c>
      <c r="B61" s="37">
        <f t="shared" ref="B61:AB61" si="21">B41*B15*$F$7</f>
        <v>486.1374509401715</v>
      </c>
      <c r="C61" s="37">
        <f t="shared" si="21"/>
        <v>490.93688626392242</v>
      </c>
      <c r="D61" s="37">
        <f t="shared" si="21"/>
        <v>497.72911418615621</v>
      </c>
      <c r="E61" s="37">
        <f t="shared" si="21"/>
        <v>504.58965379718029</v>
      </c>
      <c r="F61" s="37">
        <f t="shared" si="21"/>
        <v>511.68465901893035</v>
      </c>
      <c r="G61" s="37">
        <f t="shared" si="21"/>
        <v>519.02956048245755</v>
      </c>
      <c r="H61" s="37">
        <f t="shared" si="21"/>
        <v>526.61360525873704</v>
      </c>
      <c r="I61" s="37">
        <f t="shared" si="21"/>
        <v>532.05626116509222</v>
      </c>
      <c r="J61" s="37">
        <f t="shared" si="21"/>
        <v>537.67777490463322</v>
      </c>
      <c r="K61" s="37">
        <f t="shared" si="21"/>
        <v>543.44355374559586</v>
      </c>
      <c r="L61" s="37">
        <f t="shared" si="21"/>
        <v>549.35431716036101</v>
      </c>
      <c r="M61" s="37">
        <f t="shared" si="21"/>
        <v>555.38198261050422</v>
      </c>
      <c r="N61" s="37">
        <f t="shared" si="21"/>
        <v>561.55313086759156</v>
      </c>
      <c r="O61" s="37">
        <f t="shared" si="21"/>
        <v>567.72605712171003</v>
      </c>
      <c r="P61" s="37">
        <f t="shared" si="21"/>
        <v>573.96414968126658</v>
      </c>
      <c r="Q61" s="37">
        <f t="shared" si="21"/>
        <v>580.1516045501694</v>
      </c>
      <c r="R61" s="37">
        <f t="shared" si="21"/>
        <v>586.27584470626937</v>
      </c>
      <c r="S61" s="37">
        <f t="shared" si="21"/>
        <v>591.66199647641929</v>
      </c>
      <c r="T61" s="37">
        <f t="shared" si="21"/>
        <v>596.85981503814776</v>
      </c>
      <c r="U61" s="37">
        <f t="shared" si="21"/>
        <v>601.87976973486616</v>
      </c>
      <c r="V61" s="37">
        <f t="shared" si="21"/>
        <v>606.65295559086621</v>
      </c>
      <c r="W61" s="37">
        <f t="shared" si="21"/>
        <v>611.06865133217275</v>
      </c>
      <c r="X61" s="37">
        <f t="shared" si="21"/>
        <v>615.08818130739519</v>
      </c>
      <c r="Y61" s="37">
        <f t="shared" si="21"/>
        <v>618.86890055328229</v>
      </c>
      <c r="Z61" s="37">
        <f t="shared" si="21"/>
        <v>622.24162366243343</v>
      </c>
      <c r="AA61" s="37">
        <f t="shared" si="21"/>
        <v>625.2033449030821</v>
      </c>
      <c r="AB61" s="37">
        <f t="shared" si="21"/>
        <v>627.69169270750399</v>
      </c>
    </row>
    <row r="62" spans="1:28" x14ac:dyDescent="0.25">
      <c r="A62" s="4" t="s">
        <v>219</v>
      </c>
      <c r="B62" s="37">
        <f t="shared" ref="B62:AB62" si="22">B42*B15*$F$8</f>
        <v>254.37321678017159</v>
      </c>
      <c r="C62" s="37">
        <f t="shared" si="22"/>
        <v>259.0252154136731</v>
      </c>
      <c r="D62" s="37">
        <f t="shared" si="22"/>
        <v>264.90465290591408</v>
      </c>
      <c r="E62" s="37">
        <f t="shared" si="22"/>
        <v>271.19328989590861</v>
      </c>
      <c r="F62" s="37">
        <f t="shared" si="22"/>
        <v>277.97178881143373</v>
      </c>
      <c r="G62" s="37">
        <f t="shared" si="22"/>
        <v>285.23691359020899</v>
      </c>
      <c r="H62" s="37">
        <f t="shared" si="22"/>
        <v>293.01030599052012</v>
      </c>
      <c r="I62" s="37">
        <f t="shared" si="22"/>
        <v>299.94199674620722</v>
      </c>
      <c r="J62" s="37">
        <f t="shared" si="22"/>
        <v>307.16680667664048</v>
      </c>
      <c r="K62" s="37">
        <f t="shared" si="22"/>
        <v>314.6216064417905</v>
      </c>
      <c r="L62" s="37">
        <f t="shared" si="22"/>
        <v>322.38523122436504</v>
      </c>
      <c r="M62" s="37">
        <f t="shared" si="22"/>
        <v>330.39368378392942</v>
      </c>
      <c r="N62" s="37">
        <f t="shared" si="22"/>
        <v>338.60423030161525</v>
      </c>
      <c r="O62" s="37">
        <f t="shared" si="22"/>
        <v>346.95705702538885</v>
      </c>
      <c r="P62" s="37">
        <f t="shared" si="22"/>
        <v>355.42107963912446</v>
      </c>
      <c r="Q62" s="37">
        <f t="shared" si="22"/>
        <v>363.92920974523275</v>
      </c>
      <c r="R62" s="37">
        <f t="shared" si="22"/>
        <v>372.44867479348966</v>
      </c>
      <c r="S62" s="37">
        <f t="shared" si="22"/>
        <v>380.4807909972813</v>
      </c>
      <c r="T62" s="37">
        <f t="shared" si="22"/>
        <v>388.44807833148508</v>
      </c>
      <c r="U62" s="37">
        <f t="shared" si="22"/>
        <v>396.26739314624211</v>
      </c>
      <c r="V62" s="37">
        <f t="shared" si="22"/>
        <v>403.95292054193857</v>
      </c>
      <c r="W62" s="37">
        <f t="shared" si="22"/>
        <v>411.47848756057755</v>
      </c>
      <c r="X62" s="37">
        <f t="shared" si="22"/>
        <v>418.8796531197363</v>
      </c>
      <c r="Y62" s="37">
        <f t="shared" si="22"/>
        <v>426.12925041231847</v>
      </c>
      <c r="Z62" s="37">
        <f t="shared" si="22"/>
        <v>433.24063439875471</v>
      </c>
      <c r="AA62" s="37">
        <f t="shared" si="22"/>
        <v>440.20909594446209</v>
      </c>
      <c r="AB62" s="37">
        <f t="shared" si="22"/>
        <v>447.00281008651126</v>
      </c>
    </row>
    <row r="63" spans="1:28" x14ac:dyDescent="0.25">
      <c r="A63" s="4" t="s">
        <v>220</v>
      </c>
      <c r="B63" s="37">
        <f t="shared" ref="B63:AB63" si="23">B43*B15*$F$9</f>
        <v>1291.0788980215048</v>
      </c>
      <c r="C63" s="37">
        <f t="shared" si="23"/>
        <v>1312.8495152042121</v>
      </c>
      <c r="D63" s="37">
        <f t="shared" si="23"/>
        <v>1341.0494075846998</v>
      </c>
      <c r="E63" s="37">
        <f t="shared" si="23"/>
        <v>1371.8322224286894</v>
      </c>
      <c r="F63" s="37">
        <f t="shared" si="23"/>
        <v>1402.9388015755658</v>
      </c>
      <c r="G63" s="37">
        <f t="shared" si="23"/>
        <v>1436.3770633428012</v>
      </c>
      <c r="H63" s="37">
        <f t="shared" si="23"/>
        <v>1470.8521370320295</v>
      </c>
      <c r="I63" s="37">
        <f t="shared" si="23"/>
        <v>1499.3101801535536</v>
      </c>
      <c r="J63" s="37">
        <f t="shared" si="23"/>
        <v>1528.3312241719589</v>
      </c>
      <c r="K63" s="37">
        <f t="shared" si="23"/>
        <v>1559.5527570833917</v>
      </c>
      <c r="L63" s="37">
        <f t="shared" si="23"/>
        <v>1591.4642534580337</v>
      </c>
      <c r="M63" s="37">
        <f t="shared" si="23"/>
        <v>1624.5450404039145</v>
      </c>
      <c r="N63" s="37">
        <f t="shared" si="23"/>
        <v>1658.0744326198021</v>
      </c>
      <c r="O63" s="37">
        <f t="shared" si="23"/>
        <v>1692.179225782502</v>
      </c>
      <c r="P63" s="37">
        <f t="shared" si="23"/>
        <v>1727.2973195423037</v>
      </c>
      <c r="Q63" s="37">
        <f t="shared" si="23"/>
        <v>1763.1944744936602</v>
      </c>
      <c r="R63" s="37">
        <f t="shared" si="23"/>
        <v>1799.5280925341935</v>
      </c>
      <c r="S63" s="37">
        <f t="shared" si="23"/>
        <v>1833.6549274234319</v>
      </c>
      <c r="T63" s="37">
        <f t="shared" si="23"/>
        <v>1868.0906537445287</v>
      </c>
      <c r="U63" s="37">
        <f t="shared" si="23"/>
        <v>1902.3424547365159</v>
      </c>
      <c r="V63" s="37">
        <f t="shared" si="23"/>
        <v>1935.8634262837249</v>
      </c>
      <c r="W63" s="37">
        <f t="shared" si="23"/>
        <v>1969.8369099912779</v>
      </c>
      <c r="X63" s="37">
        <f t="shared" si="23"/>
        <v>2003.3101489455278</v>
      </c>
      <c r="Y63" s="37">
        <f t="shared" si="23"/>
        <v>2036.852656588972</v>
      </c>
      <c r="Z63" s="37">
        <f t="shared" si="23"/>
        <v>2069.6805098260461</v>
      </c>
      <c r="AA63" s="37">
        <f t="shared" si="23"/>
        <v>2102.0999952240504</v>
      </c>
      <c r="AB63" s="37">
        <f t="shared" si="23"/>
        <v>2134.4290129576384</v>
      </c>
    </row>
    <row r="64" spans="1:28" x14ac:dyDescent="0.25">
      <c r="A64" s="4" t="s">
        <v>221</v>
      </c>
      <c r="B64" s="37">
        <f t="shared" ref="B64:AB64" si="24">B44*B15*$F$10</f>
        <v>3978.4633198402066</v>
      </c>
      <c r="C64" s="37">
        <f t="shared" si="24"/>
        <v>4097.6041415571317</v>
      </c>
      <c r="D64" s="37">
        <f t="shared" si="24"/>
        <v>4235.7004718515345</v>
      </c>
      <c r="E64" s="37">
        <f t="shared" si="24"/>
        <v>4377.3620928374494</v>
      </c>
      <c r="F64" s="37">
        <f t="shared" si="24"/>
        <v>4522.6609156543818</v>
      </c>
      <c r="G64" s="37">
        <f t="shared" si="24"/>
        <v>4672.1735918126396</v>
      </c>
      <c r="H64" s="37">
        <f t="shared" si="24"/>
        <v>4827.4536372905395</v>
      </c>
      <c r="I64" s="37">
        <f t="shared" si="24"/>
        <v>4966.1332920301829</v>
      </c>
      <c r="J64" s="37">
        <f t="shared" si="24"/>
        <v>5108.0820479307258</v>
      </c>
      <c r="K64" s="37">
        <f t="shared" si="24"/>
        <v>5254.4553374122515</v>
      </c>
      <c r="L64" s="37">
        <f t="shared" si="24"/>
        <v>5406.1172494435532</v>
      </c>
      <c r="M64" s="37">
        <f t="shared" si="24"/>
        <v>5561.7153974818839</v>
      </c>
      <c r="N64" s="37">
        <f t="shared" si="24"/>
        <v>5722.6704002162223</v>
      </c>
      <c r="O64" s="37">
        <f t="shared" si="24"/>
        <v>5887.9999692546544</v>
      </c>
      <c r="P64" s="37">
        <f t="shared" si="24"/>
        <v>6057.4216286498222</v>
      </c>
      <c r="Q64" s="37">
        <f t="shared" si="24"/>
        <v>6231.1811060101927</v>
      </c>
      <c r="R64" s="37">
        <f t="shared" si="24"/>
        <v>6408.0024396122699</v>
      </c>
      <c r="S64" s="37">
        <f t="shared" si="24"/>
        <v>6580.3154719341192</v>
      </c>
      <c r="T64" s="37">
        <f t="shared" si="24"/>
        <v>6755.0857679894425</v>
      </c>
      <c r="U64" s="37">
        <f t="shared" si="24"/>
        <v>6931.8400588528038</v>
      </c>
      <c r="V64" s="37">
        <f t="shared" si="24"/>
        <v>7109.6373500139462</v>
      </c>
      <c r="W64" s="37">
        <f t="shared" si="24"/>
        <v>7287.4865617011283</v>
      </c>
      <c r="X64" s="37">
        <f t="shared" si="24"/>
        <v>7466.2608649889662</v>
      </c>
      <c r="Y64" s="37">
        <f t="shared" si="24"/>
        <v>7644.4473255064213</v>
      </c>
      <c r="Z64" s="37">
        <f t="shared" si="24"/>
        <v>7821.9377385251801</v>
      </c>
      <c r="AA64" s="37">
        <f t="shared" si="24"/>
        <v>7996.9746980524724</v>
      </c>
      <c r="AB64" s="37">
        <f t="shared" si="24"/>
        <v>8169.3462041415278</v>
      </c>
    </row>
    <row r="65" spans="1:28" x14ac:dyDescent="0.25">
      <c r="A65" s="4" t="s">
        <v>222</v>
      </c>
      <c r="B65" s="37">
        <f t="shared" ref="B65:AB65" si="25">B45*B15*$F$11</f>
        <v>10567.967496719501</v>
      </c>
      <c r="C65" s="37">
        <f t="shared" si="25"/>
        <v>10673.547197467853</v>
      </c>
      <c r="D65" s="37">
        <f t="shared" si="25"/>
        <v>10820.799773589175</v>
      </c>
      <c r="E65" s="37">
        <f t="shared" si="25"/>
        <v>10970.376758281325</v>
      </c>
      <c r="F65" s="37">
        <f t="shared" si="25"/>
        <v>11124.45205140946</v>
      </c>
      <c r="G65" s="37">
        <f t="shared" si="25"/>
        <v>11283.392063366013</v>
      </c>
      <c r="H65" s="37">
        <f t="shared" si="25"/>
        <v>11446.933510555938</v>
      </c>
      <c r="I65" s="37">
        <f t="shared" si="25"/>
        <v>11561.834871581177</v>
      </c>
      <c r="J65" s="37">
        <f t="shared" si="25"/>
        <v>11678.336234600174</v>
      </c>
      <c r="K65" s="37">
        <f t="shared" si="25"/>
        <v>11794.419200913077</v>
      </c>
      <c r="L65" s="37">
        <f t="shared" si="25"/>
        <v>11909.168869453488</v>
      </c>
      <c r="M65" s="37">
        <f t="shared" si="25"/>
        <v>12022.431282369691</v>
      </c>
      <c r="N65" s="37">
        <f t="shared" si="25"/>
        <v>12131.775693708176</v>
      </c>
      <c r="O65" s="37">
        <f t="shared" si="25"/>
        <v>12235.908480302851</v>
      </c>
      <c r="P65" s="37">
        <f t="shared" si="25"/>
        <v>12333.763226450974</v>
      </c>
      <c r="Q65" s="37">
        <f t="shared" si="25"/>
        <v>12423.33519562286</v>
      </c>
      <c r="R65" s="37">
        <f t="shared" si="25"/>
        <v>12503.423942618252</v>
      </c>
      <c r="S65" s="37">
        <f t="shared" si="25"/>
        <v>12558.534925831864</v>
      </c>
      <c r="T65" s="37">
        <f t="shared" si="25"/>
        <v>12602.151093822496</v>
      </c>
      <c r="U65" s="37">
        <f t="shared" si="25"/>
        <v>12634.232665910413</v>
      </c>
      <c r="V65" s="37">
        <f t="shared" si="25"/>
        <v>12651.771280985427</v>
      </c>
      <c r="W65" s="37">
        <f t="shared" si="25"/>
        <v>12654.12704123044</v>
      </c>
      <c r="X65" s="37">
        <f t="shared" si="25"/>
        <v>12641.1865382613</v>
      </c>
      <c r="Y65" s="37">
        <f t="shared" si="25"/>
        <v>12619.802627547284</v>
      </c>
      <c r="Z65" s="37">
        <f t="shared" si="25"/>
        <v>12584.290889577944</v>
      </c>
      <c r="AA65" s="37">
        <f t="shared" si="25"/>
        <v>12534.520374810691</v>
      </c>
      <c r="AB65" s="37">
        <f t="shared" si="25"/>
        <v>12471.425327041372</v>
      </c>
    </row>
    <row r="67" spans="1:28" x14ac:dyDescent="0.25">
      <c r="A67" s="4" t="s">
        <v>328</v>
      </c>
    </row>
    <row r="68" spans="1:28" x14ac:dyDescent="0.25">
      <c r="A68" s="4" t="s">
        <v>329</v>
      </c>
      <c r="B68" s="40">
        <f t="shared" ref="B68:AB68" si="26">B48+B49</f>
        <v>106.96290764039571</v>
      </c>
      <c r="C68" s="40">
        <f t="shared" si="26"/>
        <v>105.70855218263461</v>
      </c>
      <c r="D68" s="40">
        <f t="shared" si="26"/>
        <v>104.89440858956567</v>
      </c>
      <c r="E68" s="40">
        <f t="shared" si="26"/>
        <v>104.08830888080159</v>
      </c>
      <c r="F68" s="40">
        <f t="shared" si="26"/>
        <v>103.27212464256573</v>
      </c>
      <c r="G68" s="40">
        <f t="shared" si="26"/>
        <v>102.45853130600305</v>
      </c>
      <c r="H68" s="40">
        <f t="shared" si="26"/>
        <v>101.6419785659939</v>
      </c>
      <c r="I68" s="40">
        <f t="shared" si="26"/>
        <v>100.3759028701586</v>
      </c>
      <c r="J68" s="40">
        <f t="shared" si="26"/>
        <v>99.112814143179207</v>
      </c>
      <c r="K68" s="40">
        <f t="shared" si="26"/>
        <v>97.843323931300546</v>
      </c>
      <c r="L68" s="40">
        <f t="shared" si="26"/>
        <v>96.573349880440347</v>
      </c>
      <c r="M68" s="40">
        <f t="shared" si="26"/>
        <v>95.297065904997737</v>
      </c>
      <c r="N68" s="40">
        <f t="shared" si="26"/>
        <v>94.026583755622227</v>
      </c>
      <c r="O68" s="40">
        <f t="shared" si="26"/>
        <v>92.736767679047517</v>
      </c>
      <c r="P68" s="40">
        <f t="shared" si="26"/>
        <v>91.428203137324033</v>
      </c>
      <c r="Q68" s="40">
        <f t="shared" si="26"/>
        <v>90.118177314351897</v>
      </c>
      <c r="R68" s="40">
        <f t="shared" si="26"/>
        <v>88.794294869363227</v>
      </c>
      <c r="S68" s="40">
        <f t="shared" si="26"/>
        <v>87.373603942062886</v>
      </c>
      <c r="T68" s="40">
        <f t="shared" si="26"/>
        <v>85.964221772239512</v>
      </c>
      <c r="U68" s="40">
        <f t="shared" si="26"/>
        <v>84.576749328952673</v>
      </c>
      <c r="V68" s="40">
        <f t="shared" si="26"/>
        <v>83.221369354399101</v>
      </c>
      <c r="W68" s="40">
        <f t="shared" si="26"/>
        <v>81.896321899168953</v>
      </c>
      <c r="X68" s="40">
        <f t="shared" si="26"/>
        <v>80.629427270226017</v>
      </c>
      <c r="Y68" s="40">
        <f t="shared" si="26"/>
        <v>79.401248321355638</v>
      </c>
      <c r="Z68" s="40">
        <f t="shared" si="26"/>
        <v>78.210346317993256</v>
      </c>
      <c r="AA68" s="40">
        <f t="shared" si="26"/>
        <v>77.05494149860462</v>
      </c>
      <c r="AB68" s="40">
        <f t="shared" si="26"/>
        <v>75.945021690976546</v>
      </c>
    </row>
    <row r="69" spans="1:28" x14ac:dyDescent="0.25">
      <c r="A69" s="4" t="s">
        <v>330</v>
      </c>
      <c r="B69" s="40">
        <f t="shared" ref="B69:AB69" si="27">B50+B51+B52+B53</f>
        <v>104.12419361700469</v>
      </c>
      <c r="C69" s="40">
        <f t="shared" si="27"/>
        <v>103.32297405895218</v>
      </c>
      <c r="D69" s="40">
        <f t="shared" si="27"/>
        <v>102.90615292738816</v>
      </c>
      <c r="E69" s="40">
        <f t="shared" si="27"/>
        <v>102.52692026982081</v>
      </c>
      <c r="F69" s="40">
        <f t="shared" si="27"/>
        <v>102.13328338794337</v>
      </c>
      <c r="G69" s="40">
        <f t="shared" si="27"/>
        <v>101.71585405638837</v>
      </c>
      <c r="H69" s="40">
        <f t="shared" si="27"/>
        <v>101.35940713718922</v>
      </c>
      <c r="I69" s="40">
        <f t="shared" si="27"/>
        <v>100.49643111471244</v>
      </c>
      <c r="J69" s="40">
        <f t="shared" si="27"/>
        <v>99.643447750372047</v>
      </c>
      <c r="K69" s="40">
        <f t="shared" si="27"/>
        <v>98.732187832520751</v>
      </c>
      <c r="L69" s="40">
        <f t="shared" si="27"/>
        <v>97.82661033853222</v>
      </c>
      <c r="M69" s="40">
        <f t="shared" si="27"/>
        <v>96.85729256078109</v>
      </c>
      <c r="N69" s="40">
        <f t="shared" si="27"/>
        <v>95.914216782959073</v>
      </c>
      <c r="O69" s="40">
        <f t="shared" si="27"/>
        <v>94.907152754269049</v>
      </c>
      <c r="P69" s="40">
        <f t="shared" si="27"/>
        <v>93.856722804920679</v>
      </c>
      <c r="Q69" s="40">
        <f t="shared" si="27"/>
        <v>92.763062132523373</v>
      </c>
      <c r="R69" s="40">
        <f t="shared" si="27"/>
        <v>91.655541342298676</v>
      </c>
      <c r="S69" s="40">
        <f t="shared" si="27"/>
        <v>90.429178902547392</v>
      </c>
      <c r="T69" s="40">
        <f t="shared" si="27"/>
        <v>89.155172808398888</v>
      </c>
      <c r="U69" s="40">
        <f t="shared" si="27"/>
        <v>87.93469000826677</v>
      </c>
      <c r="V69" s="40">
        <f t="shared" si="27"/>
        <v>86.708244568889214</v>
      </c>
      <c r="W69" s="40">
        <f t="shared" si="27"/>
        <v>85.517383703219153</v>
      </c>
      <c r="X69" s="40">
        <f t="shared" si="27"/>
        <v>84.404238344960049</v>
      </c>
      <c r="Y69" s="40">
        <f t="shared" si="27"/>
        <v>83.272212535548263</v>
      </c>
      <c r="Z69" s="40">
        <f t="shared" si="27"/>
        <v>82.221846936137197</v>
      </c>
      <c r="AA69" s="40">
        <f t="shared" si="27"/>
        <v>81.163394430841578</v>
      </c>
      <c r="AB69" s="40">
        <f t="shared" si="27"/>
        <v>80.186938071331113</v>
      </c>
    </row>
    <row r="70" spans="1:28" x14ac:dyDescent="0.25">
      <c r="A70" s="4" t="s">
        <v>331</v>
      </c>
      <c r="B70" s="40">
        <f t="shared" ref="B70:AB70" si="28">B54+B55</f>
        <v>113.34821027198991</v>
      </c>
      <c r="C70" s="40">
        <f t="shared" si="28"/>
        <v>112.51042928674261</v>
      </c>
      <c r="D70" s="40">
        <f t="shared" si="28"/>
        <v>112.16456633852434</v>
      </c>
      <c r="E70" s="40">
        <f t="shared" si="28"/>
        <v>111.84088907188445</v>
      </c>
      <c r="F70" s="40">
        <f t="shared" si="28"/>
        <v>111.55207711695046</v>
      </c>
      <c r="G70" s="40">
        <f t="shared" si="28"/>
        <v>111.22370091156898</v>
      </c>
      <c r="H70" s="40">
        <f t="shared" si="28"/>
        <v>110.8882820013032</v>
      </c>
      <c r="I70" s="40">
        <f t="shared" si="28"/>
        <v>110.0533093351427</v>
      </c>
      <c r="J70" s="40">
        <f t="shared" si="28"/>
        <v>109.20482614626263</v>
      </c>
      <c r="K70" s="40">
        <f t="shared" si="28"/>
        <v>108.33542276407644</v>
      </c>
      <c r="L70" s="40">
        <f t="shared" si="28"/>
        <v>107.43792026595267</v>
      </c>
      <c r="M70" s="40">
        <f t="shared" si="28"/>
        <v>106.50895214753569</v>
      </c>
      <c r="N70" s="40">
        <f t="shared" si="28"/>
        <v>105.55664060778645</v>
      </c>
      <c r="O70" s="40">
        <f t="shared" si="28"/>
        <v>104.56588164735365</v>
      </c>
      <c r="P70" s="40">
        <f t="shared" si="28"/>
        <v>103.5026939278934</v>
      </c>
      <c r="Q70" s="40">
        <f t="shared" si="28"/>
        <v>102.41301974814957</v>
      </c>
      <c r="R70" s="40">
        <f t="shared" si="28"/>
        <v>101.25494516556975</v>
      </c>
      <c r="S70" s="40">
        <f t="shared" si="28"/>
        <v>99.993001439369095</v>
      </c>
      <c r="T70" s="40">
        <f t="shared" si="28"/>
        <v>98.70200430611132</v>
      </c>
      <c r="U70" s="40">
        <f t="shared" si="28"/>
        <v>97.388693963785755</v>
      </c>
      <c r="V70" s="40">
        <f t="shared" si="28"/>
        <v>96.103988169526446</v>
      </c>
      <c r="W70" s="40">
        <f t="shared" si="28"/>
        <v>94.790435589168482</v>
      </c>
      <c r="X70" s="40">
        <f t="shared" si="28"/>
        <v>93.576062180058827</v>
      </c>
      <c r="Y70" s="40">
        <f t="shared" si="28"/>
        <v>92.381458452726633</v>
      </c>
      <c r="Z70" s="40">
        <f t="shared" si="28"/>
        <v>91.216004672649206</v>
      </c>
      <c r="AA70" s="40">
        <f t="shared" si="28"/>
        <v>90.088977032779852</v>
      </c>
      <c r="AB70" s="40">
        <f t="shared" si="28"/>
        <v>89.016915203380563</v>
      </c>
    </row>
    <row r="71" spans="1:28" x14ac:dyDescent="0.25">
      <c r="A71" s="4" t="s">
        <v>332</v>
      </c>
      <c r="B71" s="40">
        <f t="shared" ref="B71:AB71" si="29">B58+B59</f>
        <v>18298.782166635909</v>
      </c>
      <c r="C71" s="40">
        <f t="shared" si="29"/>
        <v>18513.238394583241</v>
      </c>
      <c r="D71" s="40">
        <f t="shared" si="29"/>
        <v>18801.148125135122</v>
      </c>
      <c r="E71" s="40">
        <f t="shared" si="29"/>
        <v>19094.133094383524</v>
      </c>
      <c r="F71" s="40">
        <f t="shared" si="29"/>
        <v>19395.653683153272</v>
      </c>
      <c r="G71" s="40">
        <f t="shared" si="29"/>
        <v>19706.517814334657</v>
      </c>
      <c r="H71" s="40">
        <f t="shared" si="29"/>
        <v>20026.920245141533</v>
      </c>
      <c r="I71" s="40">
        <f t="shared" si="29"/>
        <v>20263.748107021092</v>
      </c>
      <c r="J71" s="40">
        <f t="shared" si="29"/>
        <v>20504.371789640598</v>
      </c>
      <c r="K71" s="40">
        <f t="shared" si="29"/>
        <v>20746.067140360909</v>
      </c>
      <c r="L71" s="40">
        <f t="shared" si="29"/>
        <v>20987.727945262421</v>
      </c>
      <c r="M71" s="40">
        <f t="shared" si="29"/>
        <v>21228.57529478077</v>
      </c>
      <c r="N71" s="40">
        <f t="shared" si="29"/>
        <v>21465.333235018123</v>
      </c>
      <c r="O71" s="40">
        <f t="shared" si="29"/>
        <v>21695.571891062442</v>
      </c>
      <c r="P71" s="40">
        <f t="shared" si="29"/>
        <v>21917.48867295721</v>
      </c>
      <c r="Q71" s="40">
        <f t="shared" si="29"/>
        <v>22128.020813581141</v>
      </c>
      <c r="R71" s="40">
        <f t="shared" si="29"/>
        <v>22324.759198592812</v>
      </c>
      <c r="S71" s="40">
        <f t="shared" si="29"/>
        <v>22480.194233109141</v>
      </c>
      <c r="T71" s="40">
        <f t="shared" si="29"/>
        <v>22618.422742787992</v>
      </c>
      <c r="U71" s="40">
        <f t="shared" si="29"/>
        <v>22739.200025158731</v>
      </c>
      <c r="V71" s="40">
        <f t="shared" si="29"/>
        <v>22837.392843119691</v>
      </c>
      <c r="W71" s="40">
        <f t="shared" si="29"/>
        <v>22911.606486406949</v>
      </c>
      <c r="X71" s="40">
        <f t="shared" si="29"/>
        <v>22962.003592238885</v>
      </c>
      <c r="Y71" s="40">
        <f t="shared" si="29"/>
        <v>22998.820150444961</v>
      </c>
      <c r="Z71" s="40">
        <f t="shared" si="29"/>
        <v>23013.024583035178</v>
      </c>
      <c r="AA71" s="40">
        <f t="shared" si="29"/>
        <v>23003.720862693757</v>
      </c>
      <c r="AB71" s="40">
        <f t="shared" si="29"/>
        <v>22972.305527844652</v>
      </c>
    </row>
    <row r="72" spans="1:28" x14ac:dyDescent="0.25">
      <c r="A72" s="4" t="s">
        <v>333</v>
      </c>
      <c r="B72" s="40">
        <f t="shared" ref="B72:AB72" si="30">B60+B61+B62+B63</f>
        <v>17906.441643018352</v>
      </c>
      <c r="C72" s="40">
        <f t="shared" si="30"/>
        <v>18120.386434717122</v>
      </c>
      <c r="D72" s="40">
        <f t="shared" si="30"/>
        <v>18406.391662003512</v>
      </c>
      <c r="E72" s="40">
        <f t="shared" si="30"/>
        <v>18698.335671565281</v>
      </c>
      <c r="F72" s="40">
        <f t="shared" si="30"/>
        <v>18997.615087983122</v>
      </c>
      <c r="G72" s="40">
        <f t="shared" si="30"/>
        <v>19306.344258068042</v>
      </c>
      <c r="H72" s="40">
        <f t="shared" si="30"/>
        <v>19623.892914346758</v>
      </c>
      <c r="I72" s="40">
        <f t="shared" si="30"/>
        <v>19858.578752779205</v>
      </c>
      <c r="J72" s="40">
        <f t="shared" si="30"/>
        <v>20096.353000952673</v>
      </c>
      <c r="K72" s="40">
        <f t="shared" si="30"/>
        <v>20335.631014433064</v>
      </c>
      <c r="L72" s="40">
        <f t="shared" si="30"/>
        <v>20574.070176631732</v>
      </c>
      <c r="M72" s="40">
        <f t="shared" si="30"/>
        <v>20811.401938937135</v>
      </c>
      <c r="N72" s="40">
        <f t="shared" si="30"/>
        <v>21043.632703305229</v>
      </c>
      <c r="O72" s="40">
        <f t="shared" si="30"/>
        <v>21268.94080455408</v>
      </c>
      <c r="P72" s="40">
        <f t="shared" si="30"/>
        <v>21485.496759671136</v>
      </c>
      <c r="Q72" s="40">
        <f t="shared" si="30"/>
        <v>21690.474031710921</v>
      </c>
      <c r="R72" s="40">
        <f t="shared" si="30"/>
        <v>21881.197142419282</v>
      </c>
      <c r="S72" s="40">
        <f t="shared" si="30"/>
        <v>22030.314835462912</v>
      </c>
      <c r="T72" s="40">
        <f t="shared" si="30"/>
        <v>22162.105433437875</v>
      </c>
      <c r="U72" s="40">
        <f t="shared" si="30"/>
        <v>22276.124553087589</v>
      </c>
      <c r="V72" s="40">
        <f t="shared" si="30"/>
        <v>22366.765048710186</v>
      </c>
      <c r="W72" s="40">
        <f t="shared" si="30"/>
        <v>22433.794356442242</v>
      </c>
      <c r="X72" s="40">
        <f t="shared" si="30"/>
        <v>22476.850104474848</v>
      </c>
      <c r="Y72" s="40">
        <f t="shared" si="30"/>
        <v>22506.696486152585</v>
      </c>
      <c r="Z72" s="40">
        <f t="shared" si="30"/>
        <v>22513.798908088058</v>
      </c>
      <c r="AA72" s="40">
        <f t="shared" si="30"/>
        <v>22497.408806699106</v>
      </c>
      <c r="AB72" s="40">
        <f t="shared" si="30"/>
        <v>22459.548705661473</v>
      </c>
    </row>
    <row r="73" spans="1:28" x14ac:dyDescent="0.25">
      <c r="A73" s="4" t="s">
        <v>334</v>
      </c>
      <c r="B73" s="40">
        <f t="shared" ref="B73:AB73" si="31">B64+B65</f>
        <v>14546.430816559707</v>
      </c>
      <c r="C73" s="40">
        <f t="shared" si="31"/>
        <v>14771.151339024986</v>
      </c>
      <c r="D73" s="40">
        <f t="shared" si="31"/>
        <v>15056.500245440709</v>
      </c>
      <c r="E73" s="40">
        <f t="shared" si="31"/>
        <v>15347.738851118775</v>
      </c>
      <c r="F73" s="40">
        <f t="shared" si="31"/>
        <v>15647.112967063842</v>
      </c>
      <c r="G73" s="40">
        <f t="shared" si="31"/>
        <v>15955.565655178652</v>
      </c>
      <c r="H73" s="40">
        <f t="shared" si="31"/>
        <v>16274.387147846479</v>
      </c>
      <c r="I73" s="40">
        <f t="shared" si="31"/>
        <v>16527.96816361136</v>
      </c>
      <c r="J73" s="40">
        <f t="shared" si="31"/>
        <v>16786.4182825309</v>
      </c>
      <c r="K73" s="40">
        <f t="shared" si="31"/>
        <v>17048.874538325326</v>
      </c>
      <c r="L73" s="40">
        <f t="shared" si="31"/>
        <v>17315.286118897042</v>
      </c>
      <c r="M73" s="40">
        <f t="shared" si="31"/>
        <v>17584.146679851576</v>
      </c>
      <c r="N73" s="40">
        <f t="shared" si="31"/>
        <v>17854.446093924398</v>
      </c>
      <c r="O73" s="40">
        <f t="shared" si="31"/>
        <v>18123.908449557504</v>
      </c>
      <c r="P73" s="40">
        <f t="shared" si="31"/>
        <v>18391.184855100797</v>
      </c>
      <c r="Q73" s="40">
        <f t="shared" si="31"/>
        <v>18654.516301633052</v>
      </c>
      <c r="R73" s="40">
        <f t="shared" si="31"/>
        <v>18911.426382230522</v>
      </c>
      <c r="S73" s="40">
        <f t="shared" si="31"/>
        <v>19138.850397765982</v>
      </c>
      <c r="T73" s="40">
        <f t="shared" si="31"/>
        <v>19357.23686181194</v>
      </c>
      <c r="U73" s="40">
        <f t="shared" si="31"/>
        <v>19566.072724763217</v>
      </c>
      <c r="V73" s="40">
        <f t="shared" si="31"/>
        <v>19761.408630999373</v>
      </c>
      <c r="W73" s="40">
        <f t="shared" si="31"/>
        <v>19941.613602931568</v>
      </c>
      <c r="X73" s="40">
        <f t="shared" si="31"/>
        <v>20107.447403250266</v>
      </c>
      <c r="Y73" s="40">
        <f t="shared" si="31"/>
        <v>20264.249953053706</v>
      </c>
      <c r="Z73" s="40">
        <f t="shared" si="31"/>
        <v>20406.228628103123</v>
      </c>
      <c r="AA73" s="40">
        <f t="shared" si="31"/>
        <v>20531.495072863163</v>
      </c>
      <c r="AB73" s="40">
        <f t="shared" si="31"/>
        <v>20640.771531182902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59.713417433917087</v>
      </c>
      <c r="C2" s="37">
        <f>BDbDT_calcs!C48</f>
        <v>58.958557663056233</v>
      </c>
      <c r="D2" s="37">
        <f>BDbDT_calcs!D48</f>
        <v>58.446773021300139</v>
      </c>
      <c r="E2" s="37">
        <f>BDbDT_calcs!E48</f>
        <v>57.943061085332332</v>
      </c>
      <c r="F2" s="37">
        <f>BDbDT_calcs!F48</f>
        <v>57.43519594067957</v>
      </c>
      <c r="G2" s="37">
        <f>BDbDT_calcs!G48</f>
        <v>56.923256470638798</v>
      </c>
      <c r="H2" s="37">
        <f>BDbDT_calcs!H48</f>
        <v>56.407611345119967</v>
      </c>
      <c r="I2" s="37">
        <f>BDbDT_calcs!I48</f>
        <v>55.668417998309195</v>
      </c>
      <c r="J2" s="37">
        <f>BDbDT_calcs!J48</f>
        <v>54.901512687247674</v>
      </c>
      <c r="K2" s="37">
        <f>BDbDT_calcs!K48</f>
        <v>54.154894970287422</v>
      </c>
      <c r="L2" s="37">
        <f>BDbDT_calcs!L48</f>
        <v>53.3850599103002</v>
      </c>
      <c r="M2" s="37">
        <f>BDbDT_calcs!M48</f>
        <v>52.635303739195209</v>
      </c>
      <c r="N2" s="37">
        <f>BDbDT_calcs!N48</f>
        <v>51.911390836585262</v>
      </c>
      <c r="O2" s="37">
        <f>BDbDT_calcs!O48</f>
        <v>51.127454836398996</v>
      </c>
      <c r="P2" s="37">
        <f>BDbDT_calcs!P48</f>
        <v>50.375180206993072</v>
      </c>
      <c r="Q2" s="37">
        <f>BDbDT_calcs!Q48</f>
        <v>49.599371120969735</v>
      </c>
      <c r="R2" s="37">
        <f>BDbDT_calcs!R48</f>
        <v>48.830086794722462</v>
      </c>
      <c r="S2" s="37">
        <f>BDbDT_calcs!S48</f>
        <v>47.999760680235113</v>
      </c>
      <c r="T2" s="37">
        <f>BDbDT_calcs!T48</f>
        <v>47.182599027130351</v>
      </c>
      <c r="U2" s="37">
        <f>BDbDT_calcs!U48</f>
        <v>46.377820105068317</v>
      </c>
      <c r="V2" s="37">
        <f>BDbDT_calcs!V48</f>
        <v>45.584522192498063</v>
      </c>
      <c r="W2" s="37">
        <f>BDbDT_calcs!W48</f>
        <v>44.807690075045365</v>
      </c>
      <c r="X2" s="37">
        <f>BDbDT_calcs!X48</f>
        <v>44.087627249208843</v>
      </c>
      <c r="Y2" s="37">
        <f>BDbDT_calcs!Y48</f>
        <v>43.376181611460368</v>
      </c>
      <c r="Z2" s="37">
        <f>BDbDT_calcs!Z48</f>
        <v>42.701843572300987</v>
      </c>
      <c r="AA2" s="37">
        <f>BDbDT_calcs!AA48</f>
        <v>42.040221024987623</v>
      </c>
      <c r="AB2" s="37">
        <f>BDbDT_calcs!AB48</f>
        <v>41.384742406957741</v>
      </c>
    </row>
    <row r="3" spans="1:28" x14ac:dyDescent="0.25">
      <c r="A3" s="4" t="s">
        <v>216</v>
      </c>
      <c r="B3" s="37">
        <f>BDbDT_calcs!B49</f>
        <v>47.249490206478626</v>
      </c>
      <c r="C3" s="37">
        <f>BDbDT_calcs!C49</f>
        <v>46.749994519578372</v>
      </c>
      <c r="D3" s="37">
        <f>BDbDT_calcs!D49</f>
        <v>46.447635568265525</v>
      </c>
      <c r="E3" s="37">
        <f>BDbDT_calcs!E49</f>
        <v>46.14524779546926</v>
      </c>
      <c r="F3" s="37">
        <f>BDbDT_calcs!F49</f>
        <v>45.836928701886166</v>
      </c>
      <c r="G3" s="37">
        <f>BDbDT_calcs!G49</f>
        <v>45.535274835364255</v>
      </c>
      <c r="H3" s="37">
        <f>BDbDT_calcs!H49</f>
        <v>45.234367220873928</v>
      </c>
      <c r="I3" s="37">
        <f>BDbDT_calcs!I49</f>
        <v>44.707484871849395</v>
      </c>
      <c r="J3" s="37">
        <f>BDbDT_calcs!J49</f>
        <v>44.21130145593154</v>
      </c>
      <c r="K3" s="37">
        <f>BDbDT_calcs!K49</f>
        <v>43.68842896101313</v>
      </c>
      <c r="L3" s="37">
        <f>BDbDT_calcs!L49</f>
        <v>43.188289970140147</v>
      </c>
      <c r="M3" s="37">
        <f>BDbDT_calcs!M49</f>
        <v>42.661762165802529</v>
      </c>
      <c r="N3" s="37">
        <f>BDbDT_calcs!N49</f>
        <v>42.115192919036964</v>
      </c>
      <c r="O3" s="37">
        <f>BDbDT_calcs!O49</f>
        <v>41.609312842648514</v>
      </c>
      <c r="P3" s="37">
        <f>BDbDT_calcs!P49</f>
        <v>41.053022930330968</v>
      </c>
      <c r="Q3" s="37">
        <f>BDbDT_calcs!Q49</f>
        <v>40.518806193382169</v>
      </c>
      <c r="R3" s="37">
        <f>BDbDT_calcs!R49</f>
        <v>39.964208074640759</v>
      </c>
      <c r="S3" s="37">
        <f>BDbDT_calcs!S49</f>
        <v>39.373843261827773</v>
      </c>
      <c r="T3" s="37">
        <f>BDbDT_calcs!T49</f>
        <v>38.781622745109168</v>
      </c>
      <c r="U3" s="37">
        <f>BDbDT_calcs!U49</f>
        <v>38.198929223884349</v>
      </c>
      <c r="V3" s="37">
        <f>BDbDT_calcs!V49</f>
        <v>37.636847161901038</v>
      </c>
      <c r="W3" s="37">
        <f>BDbDT_calcs!W49</f>
        <v>37.088631824123581</v>
      </c>
      <c r="X3" s="37">
        <f>BDbDT_calcs!X49</f>
        <v>36.541800021017174</v>
      </c>
      <c r="Y3" s="37">
        <f>BDbDT_calcs!Y49</f>
        <v>36.025066709895277</v>
      </c>
      <c r="Z3" s="37">
        <f>BDbDT_calcs!Z49</f>
        <v>35.508502745692269</v>
      </c>
      <c r="AA3" s="37">
        <f>BDbDT_calcs!AA49</f>
        <v>35.014720473616997</v>
      </c>
      <c r="AB3" s="37">
        <f>BDbDT_calcs!AB49</f>
        <v>34.560279284018812</v>
      </c>
    </row>
    <row r="4" spans="1:28" x14ac:dyDescent="0.25">
      <c r="A4" s="4" t="s">
        <v>217</v>
      </c>
      <c r="B4" s="37">
        <f>BDbDT_calcs!B50</f>
        <v>66.757909406337063</v>
      </c>
      <c r="C4" s="37">
        <f>BDbDT_calcs!C50</f>
        <v>65.977140578159123</v>
      </c>
      <c r="D4" s="37">
        <f>BDbDT_calcs!D50</f>
        <v>65.481780042161063</v>
      </c>
      <c r="E4" s="37">
        <f>BDbDT_calcs!E50</f>
        <v>64.981871116782585</v>
      </c>
      <c r="F4" s="37">
        <f>BDbDT_calcs!F50</f>
        <v>64.484604271804102</v>
      </c>
      <c r="G4" s="37">
        <f>BDbDT_calcs!G50</f>
        <v>63.996797452666577</v>
      </c>
      <c r="H4" s="37">
        <f>BDbDT_calcs!H50</f>
        <v>63.49202521380208</v>
      </c>
      <c r="I4" s="37">
        <f>BDbDT_calcs!I50</f>
        <v>62.720776847196717</v>
      </c>
      <c r="J4" s="37">
        <f>BDbDT_calcs!J50</f>
        <v>61.933621115317493</v>
      </c>
      <c r="K4" s="37">
        <f>BDbDT_calcs!K50</f>
        <v>61.135167298887744</v>
      </c>
      <c r="L4" s="37">
        <f>BDbDT_calcs!L50</f>
        <v>60.318992105094814</v>
      </c>
      <c r="M4" s="37">
        <f>BDbDT_calcs!M50</f>
        <v>59.48527757439048</v>
      </c>
      <c r="N4" s="37">
        <f>BDbDT_calcs!N50</f>
        <v>58.634116940130482</v>
      </c>
      <c r="O4" s="37">
        <f>BDbDT_calcs!O50</f>
        <v>57.746033552765908</v>
      </c>
      <c r="P4" s="37">
        <f>BDbDT_calcs!P50</f>
        <v>56.847164794691459</v>
      </c>
      <c r="Q4" s="37">
        <f>BDbDT_calcs!Q50</f>
        <v>55.930786681544205</v>
      </c>
      <c r="R4" s="37">
        <f>BDbDT_calcs!R50</f>
        <v>54.996630140860745</v>
      </c>
      <c r="S4" s="37">
        <f>BDbDT_calcs!S50</f>
        <v>53.995304930818186</v>
      </c>
      <c r="T4" s="37">
        <f>BDbDT_calcs!T50</f>
        <v>53.0093588240195</v>
      </c>
      <c r="U4" s="37">
        <f>BDbDT_calcs!U50</f>
        <v>52.037880766194903</v>
      </c>
      <c r="V4" s="37">
        <f>BDbDT_calcs!V50</f>
        <v>51.086168680059188</v>
      </c>
      <c r="W4" s="37">
        <f>BDbDT_calcs!W50</f>
        <v>50.165708806902472</v>
      </c>
      <c r="X4" s="37">
        <f>BDbDT_calcs!X50</f>
        <v>49.281546747099476</v>
      </c>
      <c r="Y4" s="37">
        <f>BDbDT_calcs!Y50</f>
        <v>48.420136349138716</v>
      </c>
      <c r="Z4" s="37">
        <f>BDbDT_calcs!Z50</f>
        <v>47.58669709816683</v>
      </c>
      <c r="AA4" s="37">
        <f>BDbDT_calcs!AA50</f>
        <v>46.792632457829782</v>
      </c>
      <c r="AB4" s="37">
        <f>BDbDT_calcs!AB50</f>
        <v>46.024418735786206</v>
      </c>
    </row>
    <row r="5" spans="1:28" x14ac:dyDescent="0.25">
      <c r="A5" s="4" t="s">
        <v>218</v>
      </c>
      <c r="B5" s="37">
        <f>BDbDT_calcs!B51</f>
        <v>6.2880214660517</v>
      </c>
      <c r="C5" s="37">
        <f>BDbDT_calcs!C51</f>
        <v>6.171479979592509</v>
      </c>
      <c r="D5" s="37">
        <f>BDbDT_calcs!D51</f>
        <v>6.0826077046885079</v>
      </c>
      <c r="E5" s="37">
        <f>BDbDT_calcs!E51</f>
        <v>5.9919712713129689</v>
      </c>
      <c r="F5" s="37">
        <f>BDbDT_calcs!F51</f>
        <v>5.8996007644121438</v>
      </c>
      <c r="G5" s="37">
        <f>BDbDT_calcs!G51</f>
        <v>5.8081571513160801</v>
      </c>
      <c r="H5" s="37">
        <f>BDbDT_calcs!H51</f>
        <v>5.7136618119536857</v>
      </c>
      <c r="I5" s="37">
        <f>BDbDT_calcs!I51</f>
        <v>5.5961672165354139</v>
      </c>
      <c r="J5" s="37">
        <f>BDbDT_calcs!J51</f>
        <v>5.4806756243823482</v>
      </c>
      <c r="K5" s="37">
        <f>BDbDT_calcs!K51</f>
        <v>5.3669413871996969</v>
      </c>
      <c r="L5" s="37">
        <f>BDbDT_calcs!L51</f>
        <v>5.2575425793651114</v>
      </c>
      <c r="M5" s="37">
        <f>BDbDT_calcs!M51</f>
        <v>5.1537071156475029</v>
      </c>
      <c r="N5" s="37">
        <f>BDbDT_calcs!N51</f>
        <v>5.0514485598116456</v>
      </c>
      <c r="O5" s="37">
        <f>BDbDT_calcs!O51</f>
        <v>4.9546023404899042</v>
      </c>
      <c r="P5" s="37">
        <f>BDbDT_calcs!P51</f>
        <v>4.8592120477388034</v>
      </c>
      <c r="Q5" s="37">
        <f>BDbDT_calcs!Q51</f>
        <v>4.7677890342409226</v>
      </c>
      <c r="R5" s="37">
        <f>BDbDT_calcs!R51</f>
        <v>4.6789680223184504</v>
      </c>
      <c r="S5" s="37">
        <f>BDbDT_calcs!S51</f>
        <v>4.5861419633474139</v>
      </c>
      <c r="T5" s="37">
        <f>BDbDT_calcs!T51</f>
        <v>4.4959566753638187</v>
      </c>
      <c r="U5" s="37">
        <f>BDbDT_calcs!U51</f>
        <v>4.4070522623193096</v>
      </c>
      <c r="V5" s="37">
        <f>BDbDT_calcs!V51</f>
        <v>4.3218545254800258</v>
      </c>
      <c r="W5" s="37">
        <f>BDbDT_calcs!W51</f>
        <v>4.2364798596008333</v>
      </c>
      <c r="X5" s="37">
        <f>BDbDT_calcs!X51</f>
        <v>4.1546001759259417</v>
      </c>
      <c r="Y5" s="37">
        <f>BDbDT_calcs!Y51</f>
        <v>4.0773687307687956</v>
      </c>
      <c r="Z5" s="37">
        <f>BDbDT_calcs!Z51</f>
        <v>4.0009476976853788</v>
      </c>
      <c r="AA5" s="37">
        <f>BDbDT_calcs!AA51</f>
        <v>3.9277358298630158</v>
      </c>
      <c r="AB5" s="37">
        <f>BDbDT_calcs!AB51</f>
        <v>3.8551764023674258</v>
      </c>
    </row>
    <row r="6" spans="1:28" x14ac:dyDescent="0.25">
      <c r="A6" s="4" t="s">
        <v>219</v>
      </c>
      <c r="B6" s="37">
        <f>BDbDT_calcs!B52</f>
        <v>1.7973733896393829</v>
      </c>
      <c r="C6" s="37">
        <f>BDbDT_calcs!C52</f>
        <v>1.7943729744344505</v>
      </c>
      <c r="D6" s="37">
        <f>BDbDT_calcs!D52</f>
        <v>1.7988403175913432</v>
      </c>
      <c r="E6" s="37">
        <f>BDbDT_calcs!E52</f>
        <v>1.8055920341484653</v>
      </c>
      <c r="F6" s="37">
        <f>BDbDT_calcs!F52</f>
        <v>1.8125712821564113</v>
      </c>
      <c r="G6" s="37">
        <f>BDbDT_calcs!G52</f>
        <v>1.8197889838999077</v>
      </c>
      <c r="H6" s="37">
        <f>BDbDT_calcs!H52</f>
        <v>1.8272661797520307</v>
      </c>
      <c r="I6" s="37">
        <f>BDbDT_calcs!I52</f>
        <v>1.826767219727448</v>
      </c>
      <c r="J6" s="37">
        <f>BDbDT_calcs!J52</f>
        <v>1.8265678792071776</v>
      </c>
      <c r="K6" s="37">
        <f>BDbDT_calcs!K52</f>
        <v>1.8306904667826909</v>
      </c>
      <c r="L6" s="37">
        <f>BDbDT_calcs!L52</f>
        <v>1.8309606685019377</v>
      </c>
      <c r="M6" s="37">
        <f>BDbDT_calcs!M52</f>
        <v>1.8314842295031584</v>
      </c>
      <c r="N6" s="37">
        <f>BDbDT_calcs!N52</f>
        <v>1.8322652475483874</v>
      </c>
      <c r="O6" s="37">
        <f>BDbDT_calcs!O52</f>
        <v>1.8333080212294908</v>
      </c>
      <c r="P6" s="37">
        <f>BDbDT_calcs!P52</f>
        <v>1.8326139956962695</v>
      </c>
      <c r="Q6" s="37">
        <f>BDbDT_calcs!Q52</f>
        <v>1.834189979049168</v>
      </c>
      <c r="R6" s="37">
        <f>BDbDT_calcs!R52</f>
        <v>1.8320503105522197</v>
      </c>
      <c r="S6" s="37">
        <f>BDbDT_calcs!S52</f>
        <v>1.8300716110928348</v>
      </c>
      <c r="T6" s="37">
        <f>BDbDT_calcs!T52</f>
        <v>1.830313472017679</v>
      </c>
      <c r="U6" s="37">
        <f>BDbDT_calcs!U52</f>
        <v>1.8268494697550406</v>
      </c>
      <c r="V6" s="37">
        <f>BDbDT_calcs!V52</f>
        <v>1.825568308016948</v>
      </c>
      <c r="W6" s="37">
        <f>BDbDT_calcs!W52</f>
        <v>1.8244749429513978</v>
      </c>
      <c r="X6" s="37">
        <f>BDbDT_calcs!X52</f>
        <v>1.8216038711742666</v>
      </c>
      <c r="Y6" s="37">
        <f>BDbDT_calcs!Y52</f>
        <v>1.8227585567199784</v>
      </c>
      <c r="Z6" s="37">
        <f>BDbDT_calcs!Z52</f>
        <v>1.8201688495886434</v>
      </c>
      <c r="AA6" s="37">
        <f>BDbDT_calcs!AA52</f>
        <v>1.8176895675048752</v>
      </c>
      <c r="AB6" s="37">
        <f>BDbDT_calcs!AB52</f>
        <v>1.8152961553726366</v>
      </c>
    </row>
    <row r="7" spans="1:28" x14ac:dyDescent="0.25">
      <c r="A7" s="4" t="s">
        <v>220</v>
      </c>
      <c r="B7" s="37">
        <f>BDbDT_calcs!B53</f>
        <v>29.28088935497653</v>
      </c>
      <c r="C7" s="37">
        <f>BDbDT_calcs!C53</f>
        <v>29.379980526766097</v>
      </c>
      <c r="D7" s="37">
        <f>BDbDT_calcs!D53</f>
        <v>29.542924862947242</v>
      </c>
      <c r="E7" s="37">
        <f>BDbDT_calcs!E53</f>
        <v>29.74748584757679</v>
      </c>
      <c r="F7" s="37">
        <f>BDbDT_calcs!F53</f>
        <v>29.936507069570709</v>
      </c>
      <c r="G7" s="37">
        <f>BDbDT_calcs!G53</f>
        <v>30.091110468505804</v>
      </c>
      <c r="H7" s="37">
        <f>BDbDT_calcs!H53</f>
        <v>30.326453931681424</v>
      </c>
      <c r="I7" s="37">
        <f>BDbDT_calcs!I53</f>
        <v>30.352719831252848</v>
      </c>
      <c r="J7" s="37">
        <f>BDbDT_calcs!J53</f>
        <v>30.40258313146504</v>
      </c>
      <c r="K7" s="37">
        <f>BDbDT_calcs!K53</f>
        <v>30.399388679650631</v>
      </c>
      <c r="L7" s="37">
        <f>BDbDT_calcs!L53</f>
        <v>30.419114985570349</v>
      </c>
      <c r="M7" s="37">
        <f>BDbDT_calcs!M53</f>
        <v>30.386823641239943</v>
      </c>
      <c r="N7" s="37">
        <f>BDbDT_calcs!N53</f>
        <v>30.396386035468556</v>
      </c>
      <c r="O7" s="37">
        <f>BDbDT_calcs!O53</f>
        <v>30.373208839783736</v>
      </c>
      <c r="P7" s="37">
        <f>BDbDT_calcs!P53</f>
        <v>30.317731966794149</v>
      </c>
      <c r="Q7" s="37">
        <f>BDbDT_calcs!Q53</f>
        <v>30.230296437689073</v>
      </c>
      <c r="R7" s="37">
        <f>BDbDT_calcs!R53</f>
        <v>30.147892868567258</v>
      </c>
      <c r="S7" s="37">
        <f>BDbDT_calcs!S53</f>
        <v>30.01766039728896</v>
      </c>
      <c r="T7" s="37">
        <f>BDbDT_calcs!T53</f>
        <v>29.819543836997887</v>
      </c>
      <c r="U7" s="37">
        <f>BDbDT_calcs!U53</f>
        <v>29.66290750999752</v>
      </c>
      <c r="V7" s="37">
        <f>BDbDT_calcs!V53</f>
        <v>29.47465305533305</v>
      </c>
      <c r="W7" s="37">
        <f>BDbDT_calcs!W53</f>
        <v>29.290720093764445</v>
      </c>
      <c r="X7" s="37">
        <f>BDbDT_calcs!X53</f>
        <v>29.146487550760366</v>
      </c>
      <c r="Y7" s="37">
        <f>BDbDT_calcs!Y53</f>
        <v>28.951948898920776</v>
      </c>
      <c r="Z7" s="37">
        <f>BDbDT_calcs!Z53</f>
        <v>28.814033290696347</v>
      </c>
      <c r="AA7" s="37">
        <f>BDbDT_calcs!AA53</f>
        <v>28.625336575643903</v>
      </c>
      <c r="AB7" s="37">
        <f>BDbDT_calcs!AB53</f>
        <v>28.492046777804848</v>
      </c>
    </row>
    <row r="8" spans="1:28" x14ac:dyDescent="0.25">
      <c r="A8" s="4" t="s">
        <v>221</v>
      </c>
      <c r="B8" s="37">
        <f>BDbDT_calcs!B54</f>
        <v>61.103113325227852</v>
      </c>
      <c r="C8" s="37">
        <f>BDbDT_calcs!C54</f>
        <v>61.042525265579251</v>
      </c>
      <c r="D8" s="37">
        <f>BDbDT_calcs!D54</f>
        <v>61.267350244402493</v>
      </c>
      <c r="E8" s="37">
        <f>BDbDT_calcs!E54</f>
        <v>61.515038180216926</v>
      </c>
      <c r="F8" s="37">
        <f>BDbDT_calcs!F54</f>
        <v>61.817807900560069</v>
      </c>
      <c r="G8" s="37">
        <f>BDbDT_calcs!G54</f>
        <v>62.065518498402547</v>
      </c>
      <c r="H8" s="37">
        <f>BDbDT_calcs!H54</f>
        <v>62.306308031578759</v>
      </c>
      <c r="I8" s="37">
        <f>BDbDT_calcs!I54</f>
        <v>62.259505383479777</v>
      </c>
      <c r="J8" s="37">
        <f>BDbDT_calcs!J54</f>
        <v>62.191948744899385</v>
      </c>
      <c r="K8" s="37">
        <f>BDbDT_calcs!K54</f>
        <v>62.102010851883449</v>
      </c>
      <c r="L8" s="37">
        <f>BDbDT_calcs!L54</f>
        <v>61.97480716667841</v>
      </c>
      <c r="M8" s="37">
        <f>BDbDT_calcs!M54</f>
        <v>61.811060188243005</v>
      </c>
      <c r="N8" s="37">
        <f>BDbDT_calcs!N54</f>
        <v>61.611388856054184</v>
      </c>
      <c r="O8" s="37">
        <f>BDbDT_calcs!O54</f>
        <v>61.376369921671838</v>
      </c>
      <c r="P8" s="37">
        <f>BDbDT_calcs!P54</f>
        <v>61.060720050999443</v>
      </c>
      <c r="Q8" s="37">
        <f>BDbDT_calcs!Q54</f>
        <v>60.710784417968412</v>
      </c>
      <c r="R8" s="37">
        <f>BDbDT_calcs!R54</f>
        <v>60.281288678755367</v>
      </c>
      <c r="S8" s="37">
        <f>BDbDT_calcs!S54</f>
        <v>59.794733811944305</v>
      </c>
      <c r="T8" s="37">
        <f>BDbDT_calcs!T54</f>
        <v>59.25987954857581</v>
      </c>
      <c r="U8" s="37">
        <f>BDbDT_calcs!U54</f>
        <v>58.676737273523948</v>
      </c>
      <c r="V8" s="37">
        <f>BDbDT_calcs!V54</f>
        <v>58.104669798866603</v>
      </c>
      <c r="W8" s="37">
        <f>BDbDT_calcs!W54</f>
        <v>57.46847661911324</v>
      </c>
      <c r="X8" s="37">
        <f>BDbDT_calcs!X54</f>
        <v>56.915814262874115</v>
      </c>
      <c r="Y8" s="37">
        <f>BDbDT_calcs!Y54</f>
        <v>56.356795955449641</v>
      </c>
      <c r="Z8" s="37">
        <f>BDbDT_calcs!Z54</f>
        <v>55.805352692356131</v>
      </c>
      <c r="AA8" s="37">
        <f>BDbDT_calcs!AA54</f>
        <v>55.275222978734057</v>
      </c>
      <c r="AB8" s="37">
        <f>BDbDT_calcs!AB54</f>
        <v>54.779987251176081</v>
      </c>
    </row>
    <row r="9" spans="1:28" x14ac:dyDescent="0.25">
      <c r="A9" s="4" t="s">
        <v>222</v>
      </c>
      <c r="B9" s="37">
        <f>BDbDT_calcs!B55</f>
        <v>52.245096946762061</v>
      </c>
      <c r="C9" s="37">
        <f>BDbDT_calcs!C55</f>
        <v>51.467904021163349</v>
      </c>
      <c r="D9" s="37">
        <f>BDbDT_calcs!D55</f>
        <v>50.897216094121845</v>
      </c>
      <c r="E9" s="37">
        <f>BDbDT_calcs!E55</f>
        <v>50.325850891667521</v>
      </c>
      <c r="F9" s="37">
        <f>BDbDT_calcs!F55</f>
        <v>49.734269216390388</v>
      </c>
      <c r="G9" s="37">
        <f>BDbDT_calcs!G55</f>
        <v>49.158182413166436</v>
      </c>
      <c r="H9" s="37">
        <f>BDbDT_calcs!H55</f>
        <v>48.581973969724437</v>
      </c>
      <c r="I9" s="37">
        <f>BDbDT_calcs!I55</f>
        <v>47.793803951662916</v>
      </c>
      <c r="J9" s="37">
        <f>BDbDT_calcs!J55</f>
        <v>47.012877401363241</v>
      </c>
      <c r="K9" s="37">
        <f>BDbDT_calcs!K55</f>
        <v>46.233411912192999</v>
      </c>
      <c r="L9" s="37">
        <f>BDbDT_calcs!L55</f>
        <v>45.463113099274267</v>
      </c>
      <c r="M9" s="37">
        <f>BDbDT_calcs!M55</f>
        <v>44.69789195929269</v>
      </c>
      <c r="N9" s="37">
        <f>BDbDT_calcs!N55</f>
        <v>43.945251751732265</v>
      </c>
      <c r="O9" s="37">
        <f>BDbDT_calcs!O55</f>
        <v>43.189511725681818</v>
      </c>
      <c r="P9" s="37">
        <f>BDbDT_calcs!P55</f>
        <v>42.441973876893961</v>
      </c>
      <c r="Q9" s="37">
        <f>BDbDT_calcs!Q55</f>
        <v>41.702235330181153</v>
      </c>
      <c r="R9" s="37">
        <f>BDbDT_calcs!R55</f>
        <v>40.973656486814392</v>
      </c>
      <c r="S9" s="37">
        <f>BDbDT_calcs!S55</f>
        <v>40.198267627424784</v>
      </c>
      <c r="T9" s="37">
        <f>BDbDT_calcs!T55</f>
        <v>39.442124757535503</v>
      </c>
      <c r="U9" s="37">
        <f>BDbDT_calcs!U55</f>
        <v>38.711956690261808</v>
      </c>
      <c r="V9" s="37">
        <f>BDbDT_calcs!V55</f>
        <v>37.999318370659836</v>
      </c>
      <c r="W9" s="37">
        <f>BDbDT_calcs!W55</f>
        <v>37.321958970055242</v>
      </c>
      <c r="X9" s="37">
        <f>BDbDT_calcs!X55</f>
        <v>36.660247917184712</v>
      </c>
      <c r="Y9" s="37">
        <f>BDbDT_calcs!Y55</f>
        <v>36.024662497276992</v>
      </c>
      <c r="Z9" s="37">
        <f>BDbDT_calcs!Z55</f>
        <v>35.410651980293068</v>
      </c>
      <c r="AA9" s="37">
        <f>BDbDT_calcs!AA55</f>
        <v>34.813754054045795</v>
      </c>
      <c r="AB9" s="37">
        <f>BDbDT_calcs!AB55</f>
        <v>34.236927952204475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9468.9833117093767</v>
      </c>
      <c r="C2" s="37">
        <f>BDbDT_calcs!C58</f>
        <v>9591.9450212767533</v>
      </c>
      <c r="D2" s="37">
        <f>BDbDT_calcs!D58</f>
        <v>9752.557951576091</v>
      </c>
      <c r="E2" s="37">
        <f>BDbDT_calcs!E58</f>
        <v>9913.373474141219</v>
      </c>
      <c r="F2" s="37">
        <f>BDbDT_calcs!F58</f>
        <v>10075.249079102485</v>
      </c>
      <c r="G2" s="37">
        <f>BDbDT_calcs!G58</f>
        <v>10238.490261258916</v>
      </c>
      <c r="H2" s="37">
        <f>BDbDT_calcs!H58</f>
        <v>10402.405117499307</v>
      </c>
      <c r="I2" s="37">
        <f>BDbDT_calcs!I58</f>
        <v>10518.833340735726</v>
      </c>
      <c r="J2" s="37">
        <f>BDbDT_calcs!J58</f>
        <v>10632.748732584105</v>
      </c>
      <c r="K2" s="37">
        <f>BDbDT_calcs!K58</f>
        <v>10744.002386683098</v>
      </c>
      <c r="L2" s="37">
        <f>BDbDT_calcs!L58</f>
        <v>10851.725600551623</v>
      </c>
      <c r="M2" s="37">
        <f>BDbDT_calcs!M58</f>
        <v>10955.782893452508</v>
      </c>
      <c r="N2" s="37">
        <f>BDbDT_calcs!N58</f>
        <v>11055.10444257764</v>
      </c>
      <c r="O2" s="37">
        <f>BDbDT_calcs!O58</f>
        <v>11149.331179315279</v>
      </c>
      <c r="P2" s="37">
        <f>BDbDT_calcs!P58</f>
        <v>11237.094882156165</v>
      </c>
      <c r="Q2" s="37">
        <f>BDbDT_calcs!Q58</f>
        <v>11318.23714163391</v>
      </c>
      <c r="R2" s="37">
        <f>BDbDT_calcs!R58</f>
        <v>11391.114053341915</v>
      </c>
      <c r="S2" s="37">
        <f>BDbDT_calcs!S58</f>
        <v>11442.78935234094</v>
      </c>
      <c r="T2" s="37">
        <f>BDbDT_calcs!T58</f>
        <v>11485.696191222842</v>
      </c>
      <c r="U2" s="37">
        <f>BDbDT_calcs!U58</f>
        <v>11520.528447022953</v>
      </c>
      <c r="V2" s="37">
        <f>BDbDT_calcs!V58</f>
        <v>11544.593627701021</v>
      </c>
      <c r="W2" s="37">
        <f>BDbDT_calcs!W58</f>
        <v>11558.655886475439</v>
      </c>
      <c r="X2" s="37">
        <f>BDbDT_calcs!X58</f>
        <v>11562.15566497765</v>
      </c>
      <c r="Y2" s="37">
        <f>BDbDT_calcs!Y58</f>
        <v>11559.925716176052</v>
      </c>
      <c r="Z2" s="37">
        <f>BDbDT_calcs!Z58</f>
        <v>11547.786845864819</v>
      </c>
      <c r="AA2" s="37">
        <f>BDbDT_calcs!AA58</f>
        <v>11526.511491154142</v>
      </c>
      <c r="AB2" s="37">
        <f>BDbDT_calcs!AB58</f>
        <v>11497.196569646572</v>
      </c>
    </row>
    <row r="3" spans="1:28" x14ac:dyDescent="0.25">
      <c r="A3" s="4" t="s">
        <v>216</v>
      </c>
      <c r="B3" s="37">
        <f>BDbDT_calcs!B59</f>
        <v>8829.7988549265319</v>
      </c>
      <c r="C3" s="37">
        <f>BDbDT_calcs!C59</f>
        <v>8921.2933733064856</v>
      </c>
      <c r="D3" s="37">
        <f>BDbDT_calcs!D59</f>
        <v>9048.5901735590305</v>
      </c>
      <c r="E3" s="37">
        <f>BDbDT_calcs!E59</f>
        <v>9180.7596202423047</v>
      </c>
      <c r="F3" s="37">
        <f>BDbDT_calcs!F59</f>
        <v>9320.4046040507892</v>
      </c>
      <c r="G3" s="37">
        <f>BDbDT_calcs!G59</f>
        <v>9468.0275530757408</v>
      </c>
      <c r="H3" s="37">
        <f>BDbDT_calcs!H59</f>
        <v>9624.5151276422275</v>
      </c>
      <c r="I3" s="37">
        <f>BDbDT_calcs!I59</f>
        <v>9744.9147662853684</v>
      </c>
      <c r="J3" s="37">
        <f>BDbDT_calcs!J59</f>
        <v>9871.6230570564931</v>
      </c>
      <c r="K3" s="37">
        <f>BDbDT_calcs!K59</f>
        <v>10002.064753677809</v>
      </c>
      <c r="L3" s="37">
        <f>BDbDT_calcs!L59</f>
        <v>10136.0023447108</v>
      </c>
      <c r="M3" s="37">
        <f>BDbDT_calcs!M59</f>
        <v>10272.792401328263</v>
      </c>
      <c r="N3" s="37">
        <f>BDbDT_calcs!N59</f>
        <v>10410.228792440481</v>
      </c>
      <c r="O3" s="37">
        <f>BDbDT_calcs!O59</f>
        <v>10546.240711747161</v>
      </c>
      <c r="P3" s="37">
        <f>BDbDT_calcs!P59</f>
        <v>10680.393790801047</v>
      </c>
      <c r="Q3" s="37">
        <f>BDbDT_calcs!Q59</f>
        <v>10809.783671947229</v>
      </c>
      <c r="R3" s="37">
        <f>BDbDT_calcs!R59</f>
        <v>10933.645145250897</v>
      </c>
      <c r="S3" s="37">
        <f>BDbDT_calcs!S59</f>
        <v>11037.404880768199</v>
      </c>
      <c r="T3" s="37">
        <f>BDbDT_calcs!T59</f>
        <v>11132.726551565151</v>
      </c>
      <c r="U3" s="37">
        <f>BDbDT_calcs!U59</f>
        <v>11218.671578135776</v>
      </c>
      <c r="V3" s="37">
        <f>BDbDT_calcs!V59</f>
        <v>11292.79921541867</v>
      </c>
      <c r="W3" s="37">
        <f>BDbDT_calcs!W59</f>
        <v>11352.950599931512</v>
      </c>
      <c r="X3" s="37">
        <f>BDbDT_calcs!X59</f>
        <v>11399.847927261235</v>
      </c>
      <c r="Y3" s="37">
        <f>BDbDT_calcs!Y59</f>
        <v>11438.894434268906</v>
      </c>
      <c r="Z3" s="37">
        <f>BDbDT_calcs!Z59</f>
        <v>11465.237737170361</v>
      </c>
      <c r="AA3" s="37">
        <f>BDbDT_calcs!AA59</f>
        <v>11477.209371539617</v>
      </c>
      <c r="AB3" s="37">
        <f>BDbDT_calcs!AB59</f>
        <v>11475.10895819808</v>
      </c>
    </row>
    <row r="4" spans="1:28" x14ac:dyDescent="0.25">
      <c r="A4" s="4" t="s">
        <v>217</v>
      </c>
      <c r="B4" s="37">
        <f>BDbDT_calcs!B60</f>
        <v>15874.852077276504</v>
      </c>
      <c r="C4" s="37">
        <f>BDbDT_calcs!C60</f>
        <v>16057.574817835313</v>
      </c>
      <c r="D4" s="37">
        <f>BDbDT_calcs!D60</f>
        <v>16302.708487326747</v>
      </c>
      <c r="E4" s="37">
        <f>BDbDT_calcs!E60</f>
        <v>16550.7205054435</v>
      </c>
      <c r="F4" s="37">
        <f>BDbDT_calcs!F60</f>
        <v>16805.019838577191</v>
      </c>
      <c r="G4" s="37">
        <f>BDbDT_calcs!G60</f>
        <v>17065.700720652578</v>
      </c>
      <c r="H4" s="37">
        <f>BDbDT_calcs!H60</f>
        <v>17333.416866065472</v>
      </c>
      <c r="I4" s="37">
        <f>BDbDT_calcs!I60</f>
        <v>17527.270314714351</v>
      </c>
      <c r="J4" s="37">
        <f>BDbDT_calcs!J60</f>
        <v>17723.177195199441</v>
      </c>
      <c r="K4" s="37">
        <f>BDbDT_calcs!K60</f>
        <v>17918.013097162286</v>
      </c>
      <c r="L4" s="37">
        <f>BDbDT_calcs!L60</f>
        <v>18110.866374788973</v>
      </c>
      <c r="M4" s="37">
        <f>BDbDT_calcs!M60</f>
        <v>18301.081232138789</v>
      </c>
      <c r="N4" s="37">
        <f>BDbDT_calcs!N60</f>
        <v>18485.400909516218</v>
      </c>
      <c r="O4" s="37">
        <f>BDbDT_calcs!O60</f>
        <v>18662.078464624479</v>
      </c>
      <c r="P4" s="37">
        <f>BDbDT_calcs!P60</f>
        <v>18828.814210808443</v>
      </c>
      <c r="Q4" s="37">
        <f>BDbDT_calcs!Q60</f>
        <v>18983.198742921857</v>
      </c>
      <c r="R4" s="37">
        <f>BDbDT_calcs!R60</f>
        <v>19122.944530385328</v>
      </c>
      <c r="S4" s="37">
        <f>BDbDT_calcs!S60</f>
        <v>19224.517120565783</v>
      </c>
      <c r="T4" s="37">
        <f>BDbDT_calcs!T60</f>
        <v>19308.706886323711</v>
      </c>
      <c r="U4" s="37">
        <f>BDbDT_calcs!U60</f>
        <v>19375.634935469963</v>
      </c>
      <c r="V4" s="37">
        <f>BDbDT_calcs!V60</f>
        <v>19420.295746293654</v>
      </c>
      <c r="W4" s="37">
        <f>BDbDT_calcs!W60</f>
        <v>19441.410307558213</v>
      </c>
      <c r="X4" s="37">
        <f>BDbDT_calcs!X60</f>
        <v>19439.572121102188</v>
      </c>
      <c r="Y4" s="37">
        <f>BDbDT_calcs!Y60</f>
        <v>19424.845678598009</v>
      </c>
      <c r="Z4" s="37">
        <f>BDbDT_calcs!Z60</f>
        <v>19388.636140200826</v>
      </c>
      <c r="AA4" s="37">
        <f>BDbDT_calcs!AA60</f>
        <v>19329.896370627514</v>
      </c>
      <c r="AB4" s="37">
        <f>BDbDT_calcs!AB60</f>
        <v>19250.42518990982</v>
      </c>
    </row>
    <row r="5" spans="1:28" x14ac:dyDescent="0.25">
      <c r="A5" s="4" t="s">
        <v>218</v>
      </c>
      <c r="B5" s="37">
        <f>BDbDT_calcs!B61</f>
        <v>486.1374509401715</v>
      </c>
      <c r="C5" s="37">
        <f>BDbDT_calcs!C61</f>
        <v>490.93688626392242</v>
      </c>
      <c r="D5" s="37">
        <f>BDbDT_calcs!D61</f>
        <v>497.72911418615621</v>
      </c>
      <c r="E5" s="37">
        <f>BDbDT_calcs!E61</f>
        <v>504.58965379718029</v>
      </c>
      <c r="F5" s="37">
        <f>BDbDT_calcs!F61</f>
        <v>511.68465901893035</v>
      </c>
      <c r="G5" s="37">
        <f>BDbDT_calcs!G61</f>
        <v>519.02956048245755</v>
      </c>
      <c r="H5" s="37">
        <f>BDbDT_calcs!H61</f>
        <v>526.61360525873704</v>
      </c>
      <c r="I5" s="37">
        <f>BDbDT_calcs!I61</f>
        <v>532.05626116509222</v>
      </c>
      <c r="J5" s="37">
        <f>BDbDT_calcs!J61</f>
        <v>537.67777490463322</v>
      </c>
      <c r="K5" s="37">
        <f>BDbDT_calcs!K61</f>
        <v>543.44355374559586</v>
      </c>
      <c r="L5" s="37">
        <f>BDbDT_calcs!L61</f>
        <v>549.35431716036101</v>
      </c>
      <c r="M5" s="37">
        <f>BDbDT_calcs!M61</f>
        <v>555.38198261050422</v>
      </c>
      <c r="N5" s="37">
        <f>BDbDT_calcs!N61</f>
        <v>561.55313086759156</v>
      </c>
      <c r="O5" s="37">
        <f>BDbDT_calcs!O61</f>
        <v>567.72605712171003</v>
      </c>
      <c r="P5" s="37">
        <f>BDbDT_calcs!P61</f>
        <v>573.96414968126658</v>
      </c>
      <c r="Q5" s="37">
        <f>BDbDT_calcs!Q61</f>
        <v>580.1516045501694</v>
      </c>
      <c r="R5" s="37">
        <f>BDbDT_calcs!R61</f>
        <v>586.27584470626937</v>
      </c>
      <c r="S5" s="37">
        <f>BDbDT_calcs!S61</f>
        <v>591.66199647641929</v>
      </c>
      <c r="T5" s="37">
        <f>BDbDT_calcs!T61</f>
        <v>596.85981503814776</v>
      </c>
      <c r="U5" s="37">
        <f>BDbDT_calcs!U61</f>
        <v>601.87976973486616</v>
      </c>
      <c r="V5" s="37">
        <f>BDbDT_calcs!V61</f>
        <v>606.65295559086621</v>
      </c>
      <c r="W5" s="37">
        <f>BDbDT_calcs!W61</f>
        <v>611.06865133217275</v>
      </c>
      <c r="X5" s="37">
        <f>BDbDT_calcs!X61</f>
        <v>615.08818130739519</v>
      </c>
      <c r="Y5" s="37">
        <f>BDbDT_calcs!Y61</f>
        <v>618.86890055328229</v>
      </c>
      <c r="Z5" s="37">
        <f>BDbDT_calcs!Z61</f>
        <v>622.24162366243343</v>
      </c>
      <c r="AA5" s="37">
        <f>BDbDT_calcs!AA61</f>
        <v>625.2033449030821</v>
      </c>
      <c r="AB5" s="37">
        <f>BDbDT_calcs!AB61</f>
        <v>627.69169270750399</v>
      </c>
    </row>
    <row r="6" spans="1:28" x14ac:dyDescent="0.25">
      <c r="A6" s="4" t="s">
        <v>219</v>
      </c>
      <c r="B6" s="37">
        <f>BDbDT_calcs!B62</f>
        <v>254.37321678017159</v>
      </c>
      <c r="C6" s="37">
        <f>BDbDT_calcs!C62</f>
        <v>259.0252154136731</v>
      </c>
      <c r="D6" s="37">
        <f>BDbDT_calcs!D62</f>
        <v>264.90465290591408</v>
      </c>
      <c r="E6" s="37">
        <f>BDbDT_calcs!E62</f>
        <v>271.19328989590861</v>
      </c>
      <c r="F6" s="37">
        <f>BDbDT_calcs!F62</f>
        <v>277.97178881143373</v>
      </c>
      <c r="G6" s="37">
        <f>BDbDT_calcs!G62</f>
        <v>285.23691359020899</v>
      </c>
      <c r="H6" s="37">
        <f>BDbDT_calcs!H62</f>
        <v>293.01030599052012</v>
      </c>
      <c r="I6" s="37">
        <f>BDbDT_calcs!I62</f>
        <v>299.94199674620722</v>
      </c>
      <c r="J6" s="37">
        <f>BDbDT_calcs!J62</f>
        <v>307.16680667664048</v>
      </c>
      <c r="K6" s="37">
        <f>BDbDT_calcs!K62</f>
        <v>314.6216064417905</v>
      </c>
      <c r="L6" s="37">
        <f>BDbDT_calcs!L62</f>
        <v>322.38523122436504</v>
      </c>
      <c r="M6" s="37">
        <f>BDbDT_calcs!M62</f>
        <v>330.39368378392942</v>
      </c>
      <c r="N6" s="37">
        <f>BDbDT_calcs!N62</f>
        <v>338.60423030161525</v>
      </c>
      <c r="O6" s="37">
        <f>BDbDT_calcs!O62</f>
        <v>346.95705702538885</v>
      </c>
      <c r="P6" s="37">
        <f>BDbDT_calcs!P62</f>
        <v>355.42107963912446</v>
      </c>
      <c r="Q6" s="37">
        <f>BDbDT_calcs!Q62</f>
        <v>363.92920974523275</v>
      </c>
      <c r="R6" s="37">
        <f>BDbDT_calcs!R62</f>
        <v>372.44867479348966</v>
      </c>
      <c r="S6" s="37">
        <f>BDbDT_calcs!S62</f>
        <v>380.4807909972813</v>
      </c>
      <c r="T6" s="37">
        <f>BDbDT_calcs!T62</f>
        <v>388.44807833148508</v>
      </c>
      <c r="U6" s="37">
        <f>BDbDT_calcs!U62</f>
        <v>396.26739314624211</v>
      </c>
      <c r="V6" s="37">
        <f>BDbDT_calcs!V62</f>
        <v>403.95292054193857</v>
      </c>
      <c r="W6" s="37">
        <f>BDbDT_calcs!W62</f>
        <v>411.47848756057755</v>
      </c>
      <c r="X6" s="37">
        <f>BDbDT_calcs!X62</f>
        <v>418.8796531197363</v>
      </c>
      <c r="Y6" s="37">
        <f>BDbDT_calcs!Y62</f>
        <v>426.12925041231847</v>
      </c>
      <c r="Z6" s="37">
        <f>BDbDT_calcs!Z62</f>
        <v>433.24063439875471</v>
      </c>
      <c r="AA6" s="37">
        <f>BDbDT_calcs!AA62</f>
        <v>440.20909594446209</v>
      </c>
      <c r="AB6" s="37">
        <f>BDbDT_calcs!AB62</f>
        <v>447.00281008651126</v>
      </c>
    </row>
    <row r="7" spans="1:28" x14ac:dyDescent="0.25">
      <c r="A7" s="4" t="s">
        <v>220</v>
      </c>
      <c r="B7" s="37">
        <f>BDbDT_calcs!B63</f>
        <v>1291.0788980215048</v>
      </c>
      <c r="C7" s="37">
        <f>BDbDT_calcs!C63</f>
        <v>1312.8495152042121</v>
      </c>
      <c r="D7" s="37">
        <f>BDbDT_calcs!D63</f>
        <v>1341.0494075846998</v>
      </c>
      <c r="E7" s="37">
        <f>BDbDT_calcs!E63</f>
        <v>1371.8322224286894</v>
      </c>
      <c r="F7" s="37">
        <f>BDbDT_calcs!F63</f>
        <v>1402.9388015755658</v>
      </c>
      <c r="G7" s="37">
        <f>BDbDT_calcs!G63</f>
        <v>1436.3770633428012</v>
      </c>
      <c r="H7" s="37">
        <f>BDbDT_calcs!H63</f>
        <v>1470.8521370320295</v>
      </c>
      <c r="I7" s="37">
        <f>BDbDT_calcs!I63</f>
        <v>1499.3101801535536</v>
      </c>
      <c r="J7" s="37">
        <f>BDbDT_calcs!J63</f>
        <v>1528.3312241719589</v>
      </c>
      <c r="K7" s="37">
        <f>BDbDT_calcs!K63</f>
        <v>1559.5527570833917</v>
      </c>
      <c r="L7" s="37">
        <f>BDbDT_calcs!L63</f>
        <v>1591.4642534580337</v>
      </c>
      <c r="M7" s="37">
        <f>BDbDT_calcs!M63</f>
        <v>1624.5450404039145</v>
      </c>
      <c r="N7" s="37">
        <f>BDbDT_calcs!N63</f>
        <v>1658.0744326198021</v>
      </c>
      <c r="O7" s="37">
        <f>BDbDT_calcs!O63</f>
        <v>1692.179225782502</v>
      </c>
      <c r="P7" s="37">
        <f>BDbDT_calcs!P63</f>
        <v>1727.2973195423037</v>
      </c>
      <c r="Q7" s="37">
        <f>BDbDT_calcs!Q63</f>
        <v>1763.1944744936602</v>
      </c>
      <c r="R7" s="37">
        <f>BDbDT_calcs!R63</f>
        <v>1799.5280925341935</v>
      </c>
      <c r="S7" s="37">
        <f>BDbDT_calcs!S63</f>
        <v>1833.6549274234319</v>
      </c>
      <c r="T7" s="37">
        <f>BDbDT_calcs!T63</f>
        <v>1868.0906537445287</v>
      </c>
      <c r="U7" s="37">
        <f>BDbDT_calcs!U63</f>
        <v>1902.3424547365159</v>
      </c>
      <c r="V7" s="37">
        <f>BDbDT_calcs!V63</f>
        <v>1935.8634262837249</v>
      </c>
      <c r="W7" s="37">
        <f>BDbDT_calcs!W63</f>
        <v>1969.8369099912779</v>
      </c>
      <c r="X7" s="37">
        <f>BDbDT_calcs!X63</f>
        <v>2003.3101489455278</v>
      </c>
      <c r="Y7" s="37">
        <f>BDbDT_calcs!Y63</f>
        <v>2036.852656588972</v>
      </c>
      <c r="Z7" s="37">
        <f>BDbDT_calcs!Z63</f>
        <v>2069.6805098260461</v>
      </c>
      <c r="AA7" s="37">
        <f>BDbDT_calcs!AA63</f>
        <v>2102.0999952240504</v>
      </c>
      <c r="AB7" s="37">
        <f>BDbDT_calcs!AB63</f>
        <v>2134.4290129576384</v>
      </c>
    </row>
    <row r="8" spans="1:28" x14ac:dyDescent="0.25">
      <c r="A8" s="4" t="s">
        <v>221</v>
      </c>
      <c r="B8" s="37">
        <f>BDbDT_calcs!B64</f>
        <v>3978.4633198402066</v>
      </c>
      <c r="C8" s="37">
        <f>BDbDT_calcs!C64</f>
        <v>4097.6041415571317</v>
      </c>
      <c r="D8" s="37">
        <f>BDbDT_calcs!D64</f>
        <v>4235.7004718515345</v>
      </c>
      <c r="E8" s="37">
        <f>BDbDT_calcs!E64</f>
        <v>4377.3620928374494</v>
      </c>
      <c r="F8" s="37">
        <f>BDbDT_calcs!F64</f>
        <v>4522.6609156543818</v>
      </c>
      <c r="G8" s="37">
        <f>BDbDT_calcs!G64</f>
        <v>4672.1735918126396</v>
      </c>
      <c r="H8" s="37">
        <f>BDbDT_calcs!H64</f>
        <v>4827.4536372905395</v>
      </c>
      <c r="I8" s="37">
        <f>BDbDT_calcs!I64</f>
        <v>4966.1332920301829</v>
      </c>
      <c r="J8" s="37">
        <f>BDbDT_calcs!J64</f>
        <v>5108.0820479307258</v>
      </c>
      <c r="K8" s="37">
        <f>BDbDT_calcs!K64</f>
        <v>5254.4553374122515</v>
      </c>
      <c r="L8" s="37">
        <f>BDbDT_calcs!L64</f>
        <v>5406.1172494435532</v>
      </c>
      <c r="M8" s="37">
        <f>BDbDT_calcs!M64</f>
        <v>5561.7153974818839</v>
      </c>
      <c r="N8" s="37">
        <f>BDbDT_calcs!N64</f>
        <v>5722.6704002162223</v>
      </c>
      <c r="O8" s="37">
        <f>BDbDT_calcs!O64</f>
        <v>5887.9999692546544</v>
      </c>
      <c r="P8" s="37">
        <f>BDbDT_calcs!P64</f>
        <v>6057.4216286498222</v>
      </c>
      <c r="Q8" s="37">
        <f>BDbDT_calcs!Q64</f>
        <v>6231.1811060101927</v>
      </c>
      <c r="R8" s="37">
        <f>BDbDT_calcs!R64</f>
        <v>6408.0024396122699</v>
      </c>
      <c r="S8" s="37">
        <f>BDbDT_calcs!S64</f>
        <v>6580.3154719341192</v>
      </c>
      <c r="T8" s="37">
        <f>BDbDT_calcs!T64</f>
        <v>6755.0857679894425</v>
      </c>
      <c r="U8" s="37">
        <f>BDbDT_calcs!U64</f>
        <v>6931.8400588528038</v>
      </c>
      <c r="V8" s="37">
        <f>BDbDT_calcs!V64</f>
        <v>7109.6373500139462</v>
      </c>
      <c r="W8" s="37">
        <f>BDbDT_calcs!W64</f>
        <v>7287.4865617011283</v>
      </c>
      <c r="X8" s="37">
        <f>BDbDT_calcs!X64</f>
        <v>7466.2608649889662</v>
      </c>
      <c r="Y8" s="37">
        <f>BDbDT_calcs!Y64</f>
        <v>7644.4473255064213</v>
      </c>
      <c r="Z8" s="37">
        <f>BDbDT_calcs!Z64</f>
        <v>7821.9377385251801</v>
      </c>
      <c r="AA8" s="37">
        <f>BDbDT_calcs!AA64</f>
        <v>7996.9746980524724</v>
      </c>
      <c r="AB8" s="37">
        <f>BDbDT_calcs!AB64</f>
        <v>8169.3462041415278</v>
      </c>
    </row>
    <row r="9" spans="1:28" x14ac:dyDescent="0.25">
      <c r="A9" s="4" t="s">
        <v>222</v>
      </c>
      <c r="B9" s="37">
        <f>BDbDT_calcs!B65</f>
        <v>10567.967496719501</v>
      </c>
      <c r="C9" s="37">
        <f>BDbDT_calcs!C65</f>
        <v>10673.547197467853</v>
      </c>
      <c r="D9" s="37">
        <f>BDbDT_calcs!D65</f>
        <v>10820.799773589175</v>
      </c>
      <c r="E9" s="37">
        <f>BDbDT_calcs!E65</f>
        <v>10970.376758281325</v>
      </c>
      <c r="F9" s="37">
        <f>BDbDT_calcs!F65</f>
        <v>11124.45205140946</v>
      </c>
      <c r="G9" s="37">
        <f>BDbDT_calcs!G65</f>
        <v>11283.392063366013</v>
      </c>
      <c r="H9" s="37">
        <f>BDbDT_calcs!H65</f>
        <v>11446.933510555938</v>
      </c>
      <c r="I9" s="37">
        <f>BDbDT_calcs!I65</f>
        <v>11561.834871581177</v>
      </c>
      <c r="J9" s="37">
        <f>BDbDT_calcs!J65</f>
        <v>11678.336234600174</v>
      </c>
      <c r="K9" s="37">
        <f>BDbDT_calcs!K65</f>
        <v>11794.419200913077</v>
      </c>
      <c r="L9" s="37">
        <f>BDbDT_calcs!L65</f>
        <v>11909.168869453488</v>
      </c>
      <c r="M9" s="37">
        <f>BDbDT_calcs!M65</f>
        <v>12022.431282369691</v>
      </c>
      <c r="N9" s="37">
        <f>BDbDT_calcs!N65</f>
        <v>12131.775693708176</v>
      </c>
      <c r="O9" s="37">
        <f>BDbDT_calcs!O65</f>
        <v>12235.908480302851</v>
      </c>
      <c r="P9" s="37">
        <f>BDbDT_calcs!P65</f>
        <v>12333.763226450974</v>
      </c>
      <c r="Q9" s="37">
        <f>BDbDT_calcs!Q65</f>
        <v>12423.33519562286</v>
      </c>
      <c r="R9" s="37">
        <f>BDbDT_calcs!R65</f>
        <v>12503.423942618252</v>
      </c>
      <c r="S9" s="37">
        <f>BDbDT_calcs!S65</f>
        <v>12558.534925831864</v>
      </c>
      <c r="T9" s="37">
        <f>BDbDT_calcs!T65</f>
        <v>12602.151093822496</v>
      </c>
      <c r="U9" s="37">
        <f>BDbDT_calcs!U65</f>
        <v>12634.232665910413</v>
      </c>
      <c r="V9" s="37">
        <f>BDbDT_calcs!V65</f>
        <v>12651.771280985427</v>
      </c>
      <c r="W9" s="37">
        <f>BDbDT_calcs!W65</f>
        <v>12654.12704123044</v>
      </c>
      <c r="X9" s="37">
        <f>BDbDT_calcs!X65</f>
        <v>12641.1865382613</v>
      </c>
      <c r="Y9" s="37">
        <f>BDbDT_calcs!Y65</f>
        <v>12619.802627547284</v>
      </c>
      <c r="Z9" s="37">
        <f>BDbDT_calcs!Z65</f>
        <v>12584.290889577944</v>
      </c>
      <c r="AA9" s="37">
        <f>BDbDT_calcs!AA65</f>
        <v>12534.520374810691</v>
      </c>
      <c r="AB9" s="37">
        <f>BDbDT_calcs!AB65</f>
        <v>12471.425327041372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2026-08-17T20:29:17Z</dcterms:modified>
</cp:coreProperties>
</file>