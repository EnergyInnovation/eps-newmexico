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M\add-outputs\NoH\"/>
    </mc:Choice>
  </mc:AlternateContent>
  <xr:revisionPtr revIDLastSave="0" documentId="8_{4E58B992-DC94-4EAE-932A-60A9F0D9AD4F}"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F2" i="3"/>
  <c r="AB2" i="3"/>
  <c r="G2" i="3"/>
  <c r="H2" i="3"/>
  <c r="AD2" i="3"/>
  <c r="I2" i="3"/>
  <c r="B2" i="3"/>
  <c r="S2" i="3"/>
  <c r="U2" i="3"/>
  <c r="W2" i="3"/>
  <c r="D2" i="3"/>
  <c r="Z2" i="3"/>
  <c r="AC2" i="3"/>
  <c r="AE2" i="3"/>
  <c r="E2" i="3"/>
  <c r="AA2" i="3"/>
  <c r="J2" i="3"/>
  <c r="K2" i="3"/>
  <c r="L2" i="3"/>
  <c r="M2" i="3"/>
  <c r="N2" i="3"/>
  <c r="O2" i="3"/>
  <c r="P2" i="3"/>
  <c r="Q2" i="3"/>
  <c r="R2" i="3"/>
  <c r="T2" i="3"/>
  <c r="V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<sst xmlns="http://schemas.openxmlformats.org/spreadsheetml/2006/main" count="1069" uniqueCount="448">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</sst>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386</v>
      </c>
      <c r="C1" s="68">
        <v>46185</v>
      </c>
      <c r="H1" t="s">
        <v>324</v>
      </c>
      <c r="I1" t="s">
        <v>325</v>
      </c>
    </row>
    <row r="2" spans="1:9" x14ac:dyDescent="0.25">
      <c r="B2" t="str">
        <f>VLOOKUP(B1,H2:I52,2)</f>
        <v>NM</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830097.07956091524</v>
      </c>
      <c r="C2">
        <f>SUMIFS('state calcs'!C62:C112,'state calcs'!$A$62:$A$112,About!$B$2)</f>
        <v>840275.67781593546</v>
      </c>
      <c r="D2">
        <f>SUMIFS('state calcs'!D62:D112,'state calcs'!$A$62:$A$112,About!$B$2)</f>
        <v>845447.57165797148</v>
      </c>
      <c r="E2">
        <f>SUMIFS('state calcs'!E62:E112,'state calcs'!$A$62:$A$112,About!$B$2)</f>
        <v>850611.22900811466</v>
      </c>
      <c r="F2">
        <f>SUMIFS('state calcs'!F62:F112,'state calcs'!$A$62:$A$112,About!$B$2)</f>
        <v>855929.9605663527</v>
      </c>
      <c r="G2">
        <f>SUMIFS('state calcs'!G62:G112,'state calcs'!$A$62:$A$112,About!$B$2)</f>
        <v>861203.70197913237</v>
      </c>
      <c r="H2">
        <f>SUMIFS('state calcs'!H62:H112,'state calcs'!$A$62:$A$112,About!$B$2)</f>
        <v>866494.38387691684</v>
      </c>
      <c r="I2">
        <f>SUMIFS('state calcs'!I62:I112,'state calcs'!$A$62:$A$112,About!$B$2)</f>
        <v>871817.90340066398</v>
      </c>
      <c r="J2">
        <f>SUMIFS('state calcs'!J62:J112,'state calcs'!$A$62:$A$112,About!$B$2)</f>
        <v>877058.26571187435</v>
      </c>
      <c r="K2">
        <f>SUMIFS('state calcs'!K62:K112,'state calcs'!$A$62:$A$112,About!$B$2)</f>
        <v>882076.10650480457</v>
      </c>
      <c r="L2">
        <f>SUMIFS('state calcs'!L62:L112,'state calcs'!$A$62:$A$112,About!$B$2)</f>
        <v>885539.21231876325</v>
      </c>
      <c r="M2">
        <f>SUMIFS('state calcs'!M62:M112,'state calcs'!$A$62:$A$112,About!$B$2)</f>
        <v>888906.01851080754</v>
      </c>
      <c r="N2">
        <f>SUMIFS('state calcs'!N62:N112,'state calcs'!$A$62:$A$112,About!$B$2)</f>
        <v>892072.05553349131</v>
      </c>
      <c r="O2">
        <f>SUMIFS('state calcs'!O62:O112,'state calcs'!$A$62:$A$112,About!$B$2)</f>
        <v>894974.95586608374</v>
      </c>
      <c r="P2">
        <f>SUMIFS('state calcs'!P62:P112,'state calcs'!$A$62:$A$112,About!$B$2)</f>
        <v>897746.78168712335</v>
      </c>
      <c r="Q2">
        <f>SUMIFS('state calcs'!Q62:Q112,'state calcs'!$A$62:$A$112,About!$B$2)</f>
        <v>900493.06079894223</v>
      </c>
      <c r="R2">
        <f>SUMIFS('state calcs'!R62:R112,'state calcs'!$A$62:$A$112,About!$B$2)</f>
        <v>903160.81106589956</v>
      </c>
      <c r="S2">
        <f>SUMIFS('state calcs'!S62:S112,'state calcs'!$A$62:$A$112,About!$B$2)</f>
        <v>905765.95205397042</v>
      </c>
      <c r="T2">
        <f>SUMIFS('state calcs'!T62:T112,'state calcs'!$A$62:$A$112,About!$B$2)</f>
        <v>908288.64468883653</v>
      </c>
      <c r="U2">
        <f>SUMIFS('state calcs'!U62:U112,'state calcs'!$A$62:$A$112,About!$B$2)</f>
        <v>910853.09315292863</v>
      </c>
      <c r="V2">
        <f>SUMIFS('state calcs'!V62:V112,'state calcs'!$A$62:$A$112,About!$B$2)</f>
        <v>913128.98065870919</v>
      </c>
      <c r="W2">
        <f>SUMIFS('state calcs'!W62:W112,'state calcs'!$A$62:$A$112,About!$B$2)</f>
        <v>915263.24661626283</v>
      </c>
      <c r="X2">
        <f>SUMIFS('state calcs'!X62:X112,'state calcs'!$A$62:$A$112,About!$B$2)</f>
        <v>917306.77589619008</v>
      </c>
      <c r="Y2">
        <f>SUMIFS('state calcs'!Y62:Y112,'state calcs'!$A$62:$A$112,About!$B$2)</f>
        <v>919265.30980966531</v>
      </c>
      <c r="Z2">
        <f>SUMIFS('state calcs'!Z62:Z112,'state calcs'!$A$62:$A$112,About!$B$2)</f>
        <v>921146.36007103568</v>
      </c>
      <c r="AA2">
        <f>SUMIFS('state calcs'!AA62:AA112,'state calcs'!$A$62:$A$112,About!$B$2)</f>
        <v>922927.75634485995</v>
      </c>
      <c r="AB2">
        <f>SUMIFS('state calcs'!AB62:AB112,'state calcs'!$A$62:$A$112,About!$B$2)</f>
        <v>924649.4469054431</v>
      </c>
      <c r="AC2">
        <f>SUMIFS('state calcs'!AC62:AC112,'state calcs'!$A$62:$A$112,About!$B$2)</f>
        <v>926268.91200017568</v>
      </c>
      <c r="AD2">
        <f>SUMIFS('state calcs'!AD62:AD112,'state calcs'!$A$62:$A$112,About!$B$2)</f>
        <v>927781.03447366192</v>
      </c>
      <c r="AE2">
        <f>SUMIFS('state calcs'!AE62:AE112,'state calcs'!$A$62:$A$112,About!$B$2)</f>
        <v>929205.28986646887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2026-06-12T19:29:27Z</dcterms:modified>
</cp:coreProperties>
</file>