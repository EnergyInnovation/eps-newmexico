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M\add-outputs\HOIpTP\"/>
    </mc:Choice>
  </mc:AlternateContent>
  <xr:revisionPtr revIDLastSave="0" documentId="8_{19BD416C-8120-4600-B4DF-ED1F766754C4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R17" i="19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AA15" i="19"/>
  <c r="B15" i="19"/>
  <c r="X15" i="19" s="1"/>
  <c r="K14" i="19"/>
  <c r="B14" i="19"/>
  <c r="AA14" i="19" s="1"/>
  <c r="B13" i="19"/>
  <c r="P13" i="19" s="1"/>
  <c r="U12" i="19"/>
  <c r="Q12" i="19"/>
  <c r="H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Q8" i="19"/>
  <c r="F8" i="19"/>
  <c r="B8" i="19"/>
  <c r="L8" i="19" s="1"/>
  <c r="B7" i="19"/>
  <c r="D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AA3" i="19"/>
  <c r="Q3" i="19"/>
  <c r="F3" i="19"/>
  <c r="E3" i="19"/>
  <c r="B3" i="19"/>
  <c r="P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T17" i="18"/>
  <c r="R17" i="18"/>
  <c r="Q17" i="18"/>
  <c r="N17" i="18"/>
  <c r="B17" i="18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B15" i="18"/>
  <c r="Q15" i="18" s="1"/>
  <c r="AA14" i="18"/>
  <c r="Y14" i="18"/>
  <c r="U14" i="18"/>
  <c r="R14" i="18"/>
  <c r="H14" i="18"/>
  <c r="B14" i="18"/>
  <c r="AB14" i="18" s="1"/>
  <c r="G13" i="18"/>
  <c r="B13" i="18"/>
  <c r="Q13" i="18" s="1"/>
  <c r="B12" i="18"/>
  <c r="X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AA8" i="18"/>
  <c r="Y8" i="18"/>
  <c r="X8" i="18"/>
  <c r="V8" i="18"/>
  <c r="U8" i="18"/>
  <c r="R8" i="18"/>
  <c r="Q8" i="18"/>
  <c r="N8" i="18"/>
  <c r="M8" i="18"/>
  <c r="F8" i="18"/>
  <c r="E8" i="18"/>
  <c r="B8" i="18"/>
  <c r="W8" i="18" s="1"/>
  <c r="AA7" i="18"/>
  <c r="H7" i="18"/>
  <c r="D7" i="18"/>
  <c r="C7" i="18"/>
  <c r="B7" i="18"/>
  <c r="AB7" i="18" s="1"/>
  <c r="AA6" i="18"/>
  <c r="X6" i="18"/>
  <c r="P6" i="18"/>
  <c r="E6" i="18"/>
  <c r="B6" i="18"/>
  <c r="AB6" i="18" s="1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B3" i="18"/>
  <c r="E3" i="18" s="1"/>
  <c r="Z2" i="18"/>
  <c r="Y2" i="18"/>
  <c r="V2" i="18"/>
  <c r="P2" i="18"/>
  <c r="K2" i="18"/>
  <c r="B2" i="18"/>
  <c r="W2" i="18" s="1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AB17" i="17"/>
  <c r="AA17" i="17"/>
  <c r="Y17" i="17"/>
  <c r="R17" i="17"/>
  <c r="E17" i="17"/>
  <c r="B17" i="17"/>
  <c r="Z17" i="17" s="1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C15" i="17"/>
  <c r="B15" i="17"/>
  <c r="M15" i="17" s="1"/>
  <c r="B14" i="17"/>
  <c r="C14" i="17" s="1"/>
  <c r="AA13" i="17"/>
  <c r="X13" i="17"/>
  <c r="W13" i="17"/>
  <c r="S13" i="17"/>
  <c r="R13" i="17"/>
  <c r="Q13" i="17"/>
  <c r="D13" i="17"/>
  <c r="C13" i="17"/>
  <c r="B13" i="17"/>
  <c r="U13" i="17" s="1"/>
  <c r="Z12" i="17"/>
  <c r="Y12" i="17"/>
  <c r="T12" i="17"/>
  <c r="S12" i="17"/>
  <c r="R12" i="17"/>
  <c r="P12" i="17"/>
  <c r="O12" i="17"/>
  <c r="M12" i="17"/>
  <c r="J12" i="17"/>
  <c r="H12" i="17"/>
  <c r="G12" i="17"/>
  <c r="F12" i="17"/>
  <c r="D12" i="17"/>
  <c r="C12" i="17"/>
  <c r="B12" i="17"/>
  <c r="X12" i="17" s="1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W8" i="17"/>
  <c r="V8" i="17"/>
  <c r="T8" i="17"/>
  <c r="S8" i="17"/>
  <c r="R8" i="17"/>
  <c r="P8" i="17"/>
  <c r="O8" i="17"/>
  <c r="F8" i="17"/>
  <c r="D8" i="17"/>
  <c r="C8" i="17"/>
  <c r="B8" i="17"/>
  <c r="AB8" i="17" s="1"/>
  <c r="Y7" i="17"/>
  <c r="X7" i="17"/>
  <c r="W7" i="17"/>
  <c r="U7" i="17"/>
  <c r="T7" i="17"/>
  <c r="S7" i="17"/>
  <c r="B7" i="17"/>
  <c r="Q6" i="17"/>
  <c r="B6" i="17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E3" i="17"/>
  <c r="B3" i="17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V17" i="16"/>
  <c r="U17" i="16"/>
  <c r="R17" i="16"/>
  <c r="H17" i="16"/>
  <c r="B17" i="16"/>
  <c r="B16" i="16"/>
  <c r="AA15" i="16"/>
  <c r="X15" i="16"/>
  <c r="K15" i="16"/>
  <c r="B15" i="16"/>
  <c r="Y15" i="16" s="1"/>
  <c r="G14" i="16"/>
  <c r="F14" i="16"/>
  <c r="B14" i="16"/>
  <c r="AB14" i="16" s="1"/>
  <c r="X13" i="16"/>
  <c r="W13" i="16"/>
  <c r="J13" i="16"/>
  <c r="D13" i="16"/>
  <c r="B13" i="16"/>
  <c r="Y12" i="16"/>
  <c r="X12" i="16"/>
  <c r="W12" i="16"/>
  <c r="I12" i="16"/>
  <c r="C12" i="16"/>
  <c r="B12" i="16"/>
  <c r="AB12" i="16" s="1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Y7" i="16"/>
  <c r="X7" i="16"/>
  <c r="V7" i="16"/>
  <c r="T7" i="16"/>
  <c r="S7" i="16"/>
  <c r="R7" i="16"/>
  <c r="O7" i="16"/>
  <c r="H7" i="16"/>
  <c r="B7" i="16"/>
  <c r="W6" i="16"/>
  <c r="E6" i="16"/>
  <c r="B6" i="16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Z3" i="16"/>
  <c r="X3" i="16"/>
  <c r="W3" i="16"/>
  <c r="T3" i="16"/>
  <c r="R3" i="16"/>
  <c r="O3" i="16"/>
  <c r="C3" i="16"/>
  <c r="B3" i="16"/>
  <c r="S3" i="16" s="1"/>
  <c r="B2" i="16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W17" i="15"/>
  <c r="L17" i="15"/>
  <c r="B17" i="15"/>
  <c r="T17" i="15" s="1"/>
  <c r="AA16" i="15"/>
  <c r="Z16" i="15"/>
  <c r="T16" i="15"/>
  <c r="Q16" i="15"/>
  <c r="K16" i="15"/>
  <c r="E16" i="15"/>
  <c r="C16" i="15"/>
  <c r="B16" i="15"/>
  <c r="X15" i="15"/>
  <c r="B15" i="15"/>
  <c r="AB14" i="15"/>
  <c r="O14" i="15"/>
  <c r="N14" i="15"/>
  <c r="M14" i="15"/>
  <c r="D14" i="15"/>
  <c r="B14" i="15"/>
  <c r="E14" i="15" s="1"/>
  <c r="W13" i="15"/>
  <c r="V13" i="15"/>
  <c r="T13" i="15"/>
  <c r="S13" i="15"/>
  <c r="R13" i="15"/>
  <c r="Q13" i="15"/>
  <c r="O13" i="15"/>
  <c r="N13" i="15"/>
  <c r="M13" i="15"/>
  <c r="L13" i="15"/>
  <c r="K13" i="15"/>
  <c r="J13" i="15"/>
  <c r="I13" i="15"/>
  <c r="H13" i="15"/>
  <c r="G13" i="15"/>
  <c r="F13" i="15"/>
  <c r="D13" i="15"/>
  <c r="C13" i="15"/>
  <c r="B13" i="15"/>
  <c r="P13" i="15" s="1"/>
  <c r="X12" i="15"/>
  <c r="W12" i="15"/>
  <c r="V12" i="15"/>
  <c r="T12" i="15"/>
  <c r="S12" i="15"/>
  <c r="R12" i="15"/>
  <c r="Q12" i="15"/>
  <c r="P12" i="15"/>
  <c r="N12" i="15"/>
  <c r="M12" i="15"/>
  <c r="L12" i="15"/>
  <c r="K12" i="15"/>
  <c r="J12" i="15"/>
  <c r="I12" i="15"/>
  <c r="H12" i="15"/>
  <c r="D12" i="15"/>
  <c r="C12" i="15"/>
  <c r="B12" i="15"/>
  <c r="U12" i="15" s="1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B8" i="15"/>
  <c r="AB7" i="15"/>
  <c r="AA7" i="15"/>
  <c r="Y7" i="15"/>
  <c r="B7" i="15"/>
  <c r="G7" i="15" s="1"/>
  <c r="AB6" i="15"/>
  <c r="AA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E6" i="15"/>
  <c r="D6" i="15"/>
  <c r="B6" i="15"/>
  <c r="G6" i="15" s="1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AA3" i="15"/>
  <c r="W3" i="15"/>
  <c r="U3" i="15"/>
  <c r="M3" i="15"/>
  <c r="L3" i="15"/>
  <c r="K3" i="15"/>
  <c r="I3" i="15"/>
  <c r="G3" i="15"/>
  <c r="F3" i="15"/>
  <c r="E3" i="15"/>
  <c r="D3" i="15"/>
  <c r="C3" i="15"/>
  <c r="B3" i="15"/>
  <c r="B2" i="15"/>
  <c r="I2" i="15" s="1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M17" i="14"/>
  <c r="C17" i="14"/>
  <c r="B17" i="14"/>
  <c r="H16" i="14"/>
  <c r="B16" i="14"/>
  <c r="AB15" i="14"/>
  <c r="W15" i="14"/>
  <c r="V15" i="14"/>
  <c r="U15" i="14"/>
  <c r="S15" i="14"/>
  <c r="R15" i="14"/>
  <c r="Q15" i="14"/>
  <c r="P15" i="14"/>
  <c r="O15" i="14"/>
  <c r="N15" i="14"/>
  <c r="M15" i="14"/>
  <c r="K15" i="14"/>
  <c r="J15" i="14"/>
  <c r="F15" i="14"/>
  <c r="E15" i="14"/>
  <c r="B15" i="14"/>
  <c r="X15" i="14" s="1"/>
  <c r="AB14" i="14"/>
  <c r="S14" i="14"/>
  <c r="R14" i="14"/>
  <c r="B14" i="14"/>
  <c r="Y14" i="14" s="1"/>
  <c r="X13" i="14"/>
  <c r="S13" i="14"/>
  <c r="R13" i="14"/>
  <c r="G13" i="14"/>
  <c r="B13" i="14"/>
  <c r="F12" i="14"/>
  <c r="E12" i="14"/>
  <c r="B12" i="14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Y7" i="14"/>
  <c r="X7" i="14"/>
  <c r="W7" i="14"/>
  <c r="V7" i="14"/>
  <c r="S7" i="14"/>
  <c r="N7" i="14"/>
  <c r="M7" i="14"/>
  <c r="I7" i="14"/>
  <c r="B7" i="14"/>
  <c r="W6" i="14"/>
  <c r="R6" i="14"/>
  <c r="Q6" i="14"/>
  <c r="P6" i="14"/>
  <c r="N6" i="14"/>
  <c r="M6" i="14"/>
  <c r="H6" i="14"/>
  <c r="G6" i="14"/>
  <c r="B6" i="14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AB3" i="14"/>
  <c r="W3" i="14"/>
  <c r="V3" i="14"/>
  <c r="S3" i="14"/>
  <c r="P3" i="14"/>
  <c r="N3" i="14"/>
  <c r="M3" i="14"/>
  <c r="K3" i="14"/>
  <c r="J3" i="14"/>
  <c r="F3" i="14"/>
  <c r="E3" i="14"/>
  <c r="D3" i="14"/>
  <c r="B3" i="14"/>
  <c r="B2" i="14"/>
  <c r="AB2" i="14" s="1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B17" i="13"/>
  <c r="F17" i="13" s="1"/>
  <c r="U16" i="13"/>
  <c r="T16" i="13"/>
  <c r="H16" i="13"/>
  <c r="G16" i="13"/>
  <c r="B16" i="13"/>
  <c r="AA16" i="13" s="1"/>
  <c r="AB15" i="13"/>
  <c r="AA15" i="13"/>
  <c r="Z15" i="13"/>
  <c r="Y15" i="13"/>
  <c r="V15" i="13"/>
  <c r="T15" i="13"/>
  <c r="P15" i="13"/>
  <c r="K15" i="13"/>
  <c r="J15" i="13"/>
  <c r="I15" i="13"/>
  <c r="C15" i="13"/>
  <c r="B15" i="13"/>
  <c r="AA14" i="13"/>
  <c r="W14" i="13"/>
  <c r="V14" i="13"/>
  <c r="Q14" i="13"/>
  <c r="P14" i="13"/>
  <c r="M14" i="13"/>
  <c r="L14" i="13"/>
  <c r="K14" i="13"/>
  <c r="J14" i="13"/>
  <c r="F14" i="13"/>
  <c r="E14" i="13"/>
  <c r="B14" i="13"/>
  <c r="X13" i="13"/>
  <c r="F13" i="13"/>
  <c r="B13" i="13"/>
  <c r="W12" i="13"/>
  <c r="V12" i="13"/>
  <c r="U12" i="13"/>
  <c r="T12" i="13"/>
  <c r="S12" i="13"/>
  <c r="R12" i="13"/>
  <c r="O12" i="13"/>
  <c r="L12" i="13"/>
  <c r="J12" i="13"/>
  <c r="B12" i="13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V8" i="13"/>
  <c r="U8" i="13"/>
  <c r="T8" i="13"/>
  <c r="R8" i="13"/>
  <c r="Q8" i="13"/>
  <c r="K8" i="13"/>
  <c r="J8" i="13"/>
  <c r="G8" i="13"/>
  <c r="F8" i="13"/>
  <c r="B8" i="13"/>
  <c r="AA8" i="13" s="1"/>
  <c r="AB7" i="13"/>
  <c r="AA7" i="13"/>
  <c r="W7" i="13"/>
  <c r="U7" i="13"/>
  <c r="M7" i="13"/>
  <c r="L7" i="13"/>
  <c r="I7" i="13"/>
  <c r="C7" i="13"/>
  <c r="B7" i="13"/>
  <c r="B6" i="13"/>
  <c r="P6" i="13" s="1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B3" i="13"/>
  <c r="AB3" i="13" s="1"/>
  <c r="AB2" i="13"/>
  <c r="Z2" i="13"/>
  <c r="Y2" i="13"/>
  <c r="X2" i="13"/>
  <c r="V2" i="13"/>
  <c r="R2" i="13"/>
  <c r="L2" i="13"/>
  <c r="H2" i="13"/>
  <c r="B2" i="13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G17" i="12"/>
  <c r="B17" i="12"/>
  <c r="T17" i="12" s="1"/>
  <c r="AB16" i="12"/>
  <c r="AA16" i="12"/>
  <c r="Z16" i="12"/>
  <c r="J16" i="12"/>
  <c r="C16" i="12"/>
  <c r="B16" i="12"/>
  <c r="AA15" i="12"/>
  <c r="B15" i="12"/>
  <c r="Q15" i="12" s="1"/>
  <c r="AB14" i="12"/>
  <c r="X14" i="12"/>
  <c r="W14" i="12"/>
  <c r="V14" i="12"/>
  <c r="R14" i="12"/>
  <c r="Q14" i="12"/>
  <c r="K14" i="12"/>
  <c r="B14" i="12"/>
  <c r="B13" i="12"/>
  <c r="AB12" i="12"/>
  <c r="AA12" i="12"/>
  <c r="B12" i="12"/>
  <c r="C12" i="12" s="1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B8" i="12"/>
  <c r="H8" i="12" s="1"/>
  <c r="AB7" i="12"/>
  <c r="AA7" i="12"/>
  <c r="W7" i="12"/>
  <c r="P7" i="12"/>
  <c r="K7" i="12"/>
  <c r="D7" i="12"/>
  <c r="B7" i="12"/>
  <c r="F6" i="12"/>
  <c r="B6" i="12"/>
  <c r="W6" i="12" s="1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AA3" i="12"/>
  <c r="Z3" i="12"/>
  <c r="Y3" i="12"/>
  <c r="U3" i="12"/>
  <c r="T3" i="12"/>
  <c r="P3" i="12"/>
  <c r="N3" i="12"/>
  <c r="L3" i="12"/>
  <c r="K3" i="12"/>
  <c r="G3" i="12"/>
  <c r="F3" i="12"/>
  <c r="B3" i="12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AB17" i="11"/>
  <c r="P17" i="11"/>
  <c r="O17" i="11"/>
  <c r="D17" i="11"/>
  <c r="C17" i="11"/>
  <c r="B17" i="11"/>
  <c r="J17" i="11" s="1"/>
  <c r="AB16" i="11"/>
  <c r="Y16" i="11"/>
  <c r="W16" i="11"/>
  <c r="V16" i="11"/>
  <c r="D16" i="11"/>
  <c r="B16" i="11"/>
  <c r="AA16" i="11" s="1"/>
  <c r="R15" i="11"/>
  <c r="B15" i="11"/>
  <c r="W15" i="11" s="1"/>
  <c r="AB14" i="11"/>
  <c r="X14" i="11"/>
  <c r="W14" i="11"/>
  <c r="V14" i="11"/>
  <c r="U14" i="11"/>
  <c r="T14" i="11"/>
  <c r="R14" i="11"/>
  <c r="Q14" i="11"/>
  <c r="O14" i="11"/>
  <c r="N14" i="11"/>
  <c r="M14" i="11"/>
  <c r="K14" i="11"/>
  <c r="J14" i="11"/>
  <c r="I14" i="11"/>
  <c r="G14" i="11"/>
  <c r="F14" i="11"/>
  <c r="E14" i="11"/>
  <c r="C14" i="11"/>
  <c r="B14" i="11"/>
  <c r="Z13" i="11"/>
  <c r="K13" i="11"/>
  <c r="B13" i="11"/>
  <c r="AB12" i="11"/>
  <c r="Z12" i="11"/>
  <c r="Y12" i="11"/>
  <c r="X12" i="11"/>
  <c r="U12" i="11"/>
  <c r="T12" i="11"/>
  <c r="P12" i="11"/>
  <c r="O12" i="11"/>
  <c r="L12" i="11"/>
  <c r="K12" i="11"/>
  <c r="I12" i="11"/>
  <c r="G12" i="11"/>
  <c r="F12" i="11"/>
  <c r="E12" i="11"/>
  <c r="B12" i="1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K8" i="11"/>
  <c r="J8" i="11"/>
  <c r="I8" i="11"/>
  <c r="D8" i="11"/>
  <c r="C8" i="11"/>
  <c r="B8" i="11"/>
  <c r="G7" i="11"/>
  <c r="F7" i="11"/>
  <c r="E7" i="11"/>
  <c r="D7" i="11"/>
  <c r="C7" i="11"/>
  <c r="B7" i="11"/>
  <c r="AB7" i="11" s="1"/>
  <c r="X6" i="11"/>
  <c r="T6" i="11"/>
  <c r="R6" i="11"/>
  <c r="Q6" i="11"/>
  <c r="O6" i="11"/>
  <c r="L6" i="11"/>
  <c r="K6" i="11"/>
  <c r="J6" i="11"/>
  <c r="I6" i="11"/>
  <c r="H6" i="11"/>
  <c r="G6" i="11"/>
  <c r="E6" i="11"/>
  <c r="C6" i="11"/>
  <c r="B6" i="11"/>
  <c r="AA6" i="11" s="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Y3" i="11"/>
  <c r="S3" i="11"/>
  <c r="R3" i="11"/>
  <c r="L3" i="11"/>
  <c r="K3" i="11"/>
  <c r="J3" i="11"/>
  <c r="C3" i="11"/>
  <c r="B3" i="11"/>
  <c r="B2" i="11"/>
  <c r="Q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AB15" i="10"/>
  <c r="AA15" i="10"/>
  <c r="Z15" i="10"/>
  <c r="Y15" i="10"/>
  <c r="V15" i="10"/>
  <c r="U15" i="10"/>
  <c r="T15" i="10"/>
  <c r="R15" i="10"/>
  <c r="Q15" i="10"/>
  <c r="P15" i="10"/>
  <c r="O15" i="10"/>
  <c r="N15" i="10"/>
  <c r="M15" i="10"/>
  <c r="L15" i="10"/>
  <c r="K15" i="10"/>
  <c r="H15" i="10"/>
  <c r="G15" i="10"/>
  <c r="F15" i="10"/>
  <c r="D15" i="10"/>
  <c r="C15" i="10"/>
  <c r="B15" i="10"/>
  <c r="W15" i="10" s="1"/>
  <c r="R14" i="10"/>
  <c r="O14" i="10"/>
  <c r="N14" i="10"/>
  <c r="L14" i="10"/>
  <c r="K14" i="10"/>
  <c r="J14" i="10"/>
  <c r="H14" i="10"/>
  <c r="G14" i="10"/>
  <c r="F14" i="10"/>
  <c r="B14" i="10"/>
  <c r="AA14" i="10" s="1"/>
  <c r="D13" i="10"/>
  <c r="B13" i="10"/>
  <c r="AA13" i="10" s="1"/>
  <c r="B12" i="10"/>
  <c r="G12" i="10" s="1"/>
  <c r="C11" i="10"/>
  <c r="B11" i="10"/>
  <c r="B10" i="10"/>
  <c r="B9" i="10"/>
  <c r="AB8" i="10"/>
  <c r="Z8" i="10"/>
  <c r="I8" i="10"/>
  <c r="G8" i="10"/>
  <c r="C8" i="10"/>
  <c r="B8" i="10"/>
  <c r="Q8" i="10" s="1"/>
  <c r="B7" i="10"/>
  <c r="X7" i="10" s="1"/>
  <c r="AA6" i="10"/>
  <c r="Y6" i="10"/>
  <c r="R6" i="10"/>
  <c r="O6" i="10"/>
  <c r="L6" i="10"/>
  <c r="H6" i="10"/>
  <c r="E6" i="10"/>
  <c r="C6" i="10"/>
  <c r="B6" i="10"/>
  <c r="J6" i="10" s="1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Q3" i="10"/>
  <c r="J3" i="10"/>
  <c r="B3" i="10"/>
  <c r="AA2" i="10"/>
  <c r="Z2" i="10"/>
  <c r="Y2" i="10"/>
  <c r="V2" i="10"/>
  <c r="U2" i="10"/>
  <c r="P2" i="10"/>
  <c r="N2" i="10"/>
  <c r="M2" i="10"/>
  <c r="L2" i="10"/>
  <c r="H2" i="10"/>
  <c r="G2" i="10"/>
  <c r="F2" i="10"/>
  <c r="B2" i="10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AA17" i="9"/>
  <c r="X17" i="9"/>
  <c r="B17" i="9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B15" i="9"/>
  <c r="Z15" i="9" s="1"/>
  <c r="Z14" i="9"/>
  <c r="B14" i="9"/>
  <c r="Y14" i="9" s="1"/>
  <c r="AA13" i="9"/>
  <c r="Z13" i="9"/>
  <c r="Y13" i="9"/>
  <c r="X13" i="9"/>
  <c r="W13" i="9"/>
  <c r="S13" i="9"/>
  <c r="Q13" i="9"/>
  <c r="M13" i="9"/>
  <c r="D13" i="9"/>
  <c r="C13" i="9"/>
  <c r="B13" i="9"/>
  <c r="J12" i="9"/>
  <c r="H12" i="9"/>
  <c r="E12" i="9"/>
  <c r="D12" i="9"/>
  <c r="B12" i="9"/>
  <c r="Y12" i="9" s="1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AB8" i="9"/>
  <c r="X8" i="9"/>
  <c r="U8" i="9"/>
  <c r="T8" i="9"/>
  <c r="S8" i="9"/>
  <c r="R8" i="9"/>
  <c r="Q8" i="9"/>
  <c r="P8" i="9"/>
  <c r="O8" i="9"/>
  <c r="N8" i="9"/>
  <c r="M8" i="9"/>
  <c r="L8" i="9"/>
  <c r="K8" i="9"/>
  <c r="I8" i="9"/>
  <c r="G8" i="9"/>
  <c r="F8" i="9"/>
  <c r="E8" i="9"/>
  <c r="C8" i="9"/>
  <c r="B8" i="9"/>
  <c r="W8" i="9" s="1"/>
  <c r="T7" i="9"/>
  <c r="R7" i="9"/>
  <c r="Q7" i="9"/>
  <c r="P7" i="9"/>
  <c r="N7" i="9"/>
  <c r="M7" i="9"/>
  <c r="L7" i="9"/>
  <c r="J7" i="9"/>
  <c r="I7" i="9"/>
  <c r="G7" i="9"/>
  <c r="B7" i="9"/>
  <c r="D7" i="9" s="1"/>
  <c r="B6" i="9"/>
  <c r="X5" i="9"/>
  <c r="W5" i="9"/>
  <c r="M5" i="9"/>
  <c r="I5" i="9"/>
  <c r="D5" i="9"/>
  <c r="B5" i="9"/>
  <c r="T5" i="9" s="1"/>
  <c r="Z4" i="9"/>
  <c r="P4" i="9"/>
  <c r="G4" i="9"/>
  <c r="C4" i="9"/>
  <c r="B4" i="9"/>
  <c r="AB3" i="9"/>
  <c r="AA3" i="9"/>
  <c r="Z3" i="9"/>
  <c r="Y3" i="9"/>
  <c r="S3" i="9"/>
  <c r="O3" i="9"/>
  <c r="B3" i="9"/>
  <c r="K3" i="9" s="1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B15" i="8"/>
  <c r="L15" i="8" s="1"/>
  <c r="AB14" i="8"/>
  <c r="F14" i="8"/>
  <c r="E14" i="8"/>
  <c r="D14" i="8"/>
  <c r="B14" i="8"/>
  <c r="X13" i="8"/>
  <c r="W13" i="8"/>
  <c r="V13" i="8"/>
  <c r="U13" i="8"/>
  <c r="R13" i="8"/>
  <c r="Q13" i="8"/>
  <c r="P13" i="8"/>
  <c r="O13" i="8"/>
  <c r="N13" i="8"/>
  <c r="M13" i="8"/>
  <c r="L13" i="8"/>
  <c r="K13" i="8"/>
  <c r="J13" i="8"/>
  <c r="I13" i="8"/>
  <c r="H13" i="8"/>
  <c r="G13" i="8"/>
  <c r="F13" i="8"/>
  <c r="E13" i="8"/>
  <c r="C13" i="8"/>
  <c r="B13" i="8"/>
  <c r="T13" i="8" s="1"/>
  <c r="B12" i="8"/>
  <c r="X12" i="8" s="1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T8" i="8"/>
  <c r="B8" i="8"/>
  <c r="H8" i="8" s="1"/>
  <c r="B7" i="8"/>
  <c r="M7" i="8" s="1"/>
  <c r="P6" i="8"/>
  <c r="O6" i="8"/>
  <c r="F6" i="8"/>
  <c r="E6" i="8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AB3" i="8"/>
  <c r="AA3" i="8"/>
  <c r="Z3" i="8"/>
  <c r="W3" i="8"/>
  <c r="V3" i="8"/>
  <c r="S3" i="8"/>
  <c r="R3" i="8"/>
  <c r="Q3" i="8"/>
  <c r="P3" i="8"/>
  <c r="O3" i="8"/>
  <c r="N3" i="8"/>
  <c r="M3" i="8"/>
  <c r="L3" i="8"/>
  <c r="K3" i="8"/>
  <c r="I3" i="8"/>
  <c r="H3" i="8"/>
  <c r="E3" i="8"/>
  <c r="D3" i="8"/>
  <c r="C3" i="8"/>
  <c r="B3" i="8"/>
  <c r="R2" i="8"/>
  <c r="Q2" i="8"/>
  <c r="P2" i="8"/>
  <c r="N2" i="8"/>
  <c r="M2" i="8"/>
  <c r="L2" i="8"/>
  <c r="K2" i="8"/>
  <c r="I2" i="8"/>
  <c r="B2" i="8"/>
  <c r="S2" i="8" s="1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AA17" i="7"/>
  <c r="Z17" i="7"/>
  <c r="V17" i="7"/>
  <c r="U17" i="7"/>
  <c r="T17" i="7"/>
  <c r="S17" i="7"/>
  <c r="Q17" i="7"/>
  <c r="M17" i="7"/>
  <c r="L17" i="7"/>
  <c r="K17" i="7"/>
  <c r="J17" i="7"/>
  <c r="I17" i="7"/>
  <c r="G17" i="7"/>
  <c r="F17" i="7"/>
  <c r="E17" i="7"/>
  <c r="D17" i="7"/>
  <c r="C17" i="7"/>
  <c r="B17" i="7"/>
  <c r="N16" i="7"/>
  <c r="M16" i="7"/>
  <c r="L16" i="7"/>
  <c r="J16" i="7"/>
  <c r="H16" i="7"/>
  <c r="G16" i="7"/>
  <c r="B16" i="7"/>
  <c r="AA16" i="7" s="1"/>
  <c r="Y15" i="7"/>
  <c r="W15" i="7"/>
  <c r="V15" i="7"/>
  <c r="U15" i="7"/>
  <c r="T15" i="7"/>
  <c r="B15" i="7"/>
  <c r="Z15" i="7" s="1"/>
  <c r="AB14" i="7"/>
  <c r="AA14" i="7"/>
  <c r="Y14" i="7"/>
  <c r="X14" i="7"/>
  <c r="U14" i="7"/>
  <c r="B14" i="7"/>
  <c r="J14" i="7" s="1"/>
  <c r="AB13" i="7"/>
  <c r="AA13" i="7"/>
  <c r="X13" i="7"/>
  <c r="W13" i="7"/>
  <c r="V13" i="7"/>
  <c r="T13" i="7"/>
  <c r="R13" i="7"/>
  <c r="Q13" i="7"/>
  <c r="K13" i="7"/>
  <c r="J13" i="7"/>
  <c r="B13" i="7"/>
  <c r="F13" i="7" s="1"/>
  <c r="AB12" i="7"/>
  <c r="Y12" i="7"/>
  <c r="X12" i="7"/>
  <c r="W12" i="7"/>
  <c r="V12" i="7"/>
  <c r="T12" i="7"/>
  <c r="S12" i="7"/>
  <c r="R12" i="7"/>
  <c r="P12" i="7"/>
  <c r="N12" i="7"/>
  <c r="M12" i="7"/>
  <c r="L12" i="7"/>
  <c r="H12" i="7"/>
  <c r="G12" i="7"/>
  <c r="F12" i="7"/>
  <c r="E12" i="7"/>
  <c r="B12" i="7"/>
  <c r="O12" i="7" s="1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AA8" i="7"/>
  <c r="P8" i="7"/>
  <c r="N8" i="7"/>
  <c r="M8" i="7"/>
  <c r="L8" i="7"/>
  <c r="K8" i="7"/>
  <c r="I8" i="7"/>
  <c r="H8" i="7"/>
  <c r="G8" i="7"/>
  <c r="F8" i="7"/>
  <c r="B8" i="7"/>
  <c r="Z8" i="7" s="1"/>
  <c r="P7" i="7"/>
  <c r="O7" i="7"/>
  <c r="N7" i="7"/>
  <c r="L7" i="7"/>
  <c r="K7" i="7"/>
  <c r="J7" i="7"/>
  <c r="I7" i="7"/>
  <c r="H7" i="7"/>
  <c r="B7" i="7"/>
  <c r="AA7" i="7" s="1"/>
  <c r="H6" i="7"/>
  <c r="F6" i="7"/>
  <c r="B6" i="7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AB3" i="7"/>
  <c r="Z3" i="7"/>
  <c r="U3" i="7"/>
  <c r="T3" i="7"/>
  <c r="S3" i="7"/>
  <c r="P3" i="7"/>
  <c r="O3" i="7"/>
  <c r="N3" i="7"/>
  <c r="M3" i="7"/>
  <c r="L3" i="7"/>
  <c r="J3" i="7"/>
  <c r="H3" i="7"/>
  <c r="G3" i="7"/>
  <c r="F3" i="7"/>
  <c r="B3" i="7"/>
  <c r="B2" i="7"/>
  <c r="K2" i="7" s="1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Z17" i="6"/>
  <c r="X17" i="6"/>
  <c r="W17" i="6"/>
  <c r="V17" i="6"/>
  <c r="R17" i="6"/>
  <c r="Q17" i="6"/>
  <c r="P17" i="6"/>
  <c r="O17" i="6"/>
  <c r="L17" i="6"/>
  <c r="K17" i="6"/>
  <c r="J17" i="6"/>
  <c r="H17" i="6"/>
  <c r="G17" i="6"/>
  <c r="F17" i="6"/>
  <c r="E17" i="6"/>
  <c r="D17" i="6"/>
  <c r="C17" i="6"/>
  <c r="B17" i="6"/>
  <c r="AA17" i="6" s="1"/>
  <c r="E16" i="6"/>
  <c r="D16" i="6"/>
  <c r="C16" i="6"/>
  <c r="B16" i="6"/>
  <c r="AB15" i="6"/>
  <c r="W15" i="6"/>
  <c r="V15" i="6"/>
  <c r="U15" i="6"/>
  <c r="S15" i="6"/>
  <c r="R15" i="6"/>
  <c r="Q15" i="6"/>
  <c r="P15" i="6"/>
  <c r="O15" i="6"/>
  <c r="N15" i="6"/>
  <c r="M15" i="6"/>
  <c r="L15" i="6"/>
  <c r="K15" i="6"/>
  <c r="J15" i="6"/>
  <c r="G15" i="6"/>
  <c r="F15" i="6"/>
  <c r="E15" i="6"/>
  <c r="D15" i="6"/>
  <c r="B15" i="6"/>
  <c r="Y15" i="6" s="1"/>
  <c r="AA14" i="6"/>
  <c r="Y14" i="6"/>
  <c r="W14" i="6"/>
  <c r="T14" i="6"/>
  <c r="S14" i="6"/>
  <c r="R14" i="6"/>
  <c r="Q14" i="6"/>
  <c r="P14" i="6"/>
  <c r="O14" i="6"/>
  <c r="N14" i="6"/>
  <c r="M14" i="6"/>
  <c r="L14" i="6"/>
  <c r="K14" i="6"/>
  <c r="H14" i="6"/>
  <c r="F14" i="6"/>
  <c r="E14" i="6"/>
  <c r="D14" i="6"/>
  <c r="B14" i="6"/>
  <c r="AB14" i="6" s="1"/>
  <c r="H13" i="6"/>
  <c r="B13" i="6"/>
  <c r="B12" i="6"/>
  <c r="D12" i="6" s="1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U8" i="6"/>
  <c r="J8" i="6"/>
  <c r="I8" i="6"/>
  <c r="D8" i="6"/>
  <c r="C8" i="6"/>
  <c r="B8" i="6"/>
  <c r="AB8" i="6" s="1"/>
  <c r="B7" i="6"/>
  <c r="J7" i="6" s="1"/>
  <c r="B6" i="6"/>
  <c r="I6" i="6" s="1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AA3" i="6"/>
  <c r="Y3" i="6"/>
  <c r="X3" i="6"/>
  <c r="W3" i="6"/>
  <c r="V3" i="6"/>
  <c r="U3" i="6"/>
  <c r="P3" i="6"/>
  <c r="O3" i="6"/>
  <c r="M3" i="6"/>
  <c r="L3" i="6"/>
  <c r="B3" i="6"/>
  <c r="S3" i="6" s="1"/>
  <c r="B2" i="6"/>
  <c r="C2" i="6" s="1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Y17" i="5"/>
  <c r="B17" i="5"/>
  <c r="X17" i="5" s="1"/>
  <c r="B16" i="5"/>
  <c r="B15" i="5"/>
  <c r="X15" i="5" s="1"/>
  <c r="AB14" i="5"/>
  <c r="AA14" i="5"/>
  <c r="V14" i="5"/>
  <c r="O14" i="5"/>
  <c r="B14" i="5"/>
  <c r="D14" i="5" s="1"/>
  <c r="B13" i="5"/>
  <c r="AB13" i="5" s="1"/>
  <c r="H12" i="5"/>
  <c r="B12" i="5"/>
  <c r="G12" i="5" s="1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Z7" i="5"/>
  <c r="Y7" i="5"/>
  <c r="X7" i="5"/>
  <c r="B7" i="5"/>
  <c r="D7" i="5" s="1"/>
  <c r="I6" i="5"/>
  <c r="E6" i="5"/>
  <c r="B6" i="5"/>
  <c r="AB6" i="5" s="1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V3" i="5"/>
  <c r="B3" i="5"/>
  <c r="W3" i="5" s="1"/>
  <c r="B2" i="5"/>
  <c r="E2" i="5" s="1"/>
  <c r="B2" i="1"/>
  <c r="V15" i="5" l="1"/>
  <c r="AB13" i="6"/>
  <c r="T13" i="6"/>
  <c r="X14" i="8"/>
  <c r="Q14" i="8"/>
  <c r="Z14" i="8"/>
  <c r="W14" i="9"/>
  <c r="Y15" i="12"/>
  <c r="U6" i="14"/>
  <c r="Z6" i="14"/>
  <c r="O6" i="14"/>
  <c r="L6" i="14"/>
  <c r="K6" i="14"/>
  <c r="J6" i="14"/>
  <c r="F6" i="14"/>
  <c r="E6" i="14"/>
  <c r="S7" i="15"/>
  <c r="W15" i="5"/>
  <c r="G13" i="6"/>
  <c r="AA6" i="7"/>
  <c r="N6" i="7"/>
  <c r="C14" i="8"/>
  <c r="AA14" i="8"/>
  <c r="C12" i="9"/>
  <c r="Q7" i="11"/>
  <c r="H7" i="11"/>
  <c r="W7" i="11"/>
  <c r="S7" i="11"/>
  <c r="AB8" i="11"/>
  <c r="E8" i="11"/>
  <c r="T8" i="11"/>
  <c r="Z15" i="12"/>
  <c r="W7" i="15"/>
  <c r="X17" i="18"/>
  <c r="V17" i="18"/>
  <c r="U17" i="18"/>
  <c r="S17" i="18"/>
  <c r="P17" i="18"/>
  <c r="O17" i="18"/>
  <c r="M17" i="18"/>
  <c r="L17" i="18"/>
  <c r="J17" i="18"/>
  <c r="I17" i="18"/>
  <c r="G17" i="18"/>
  <c r="E17" i="18"/>
  <c r="D17" i="18"/>
  <c r="C17" i="18"/>
  <c r="AB17" i="18"/>
  <c r="AA17" i="18"/>
  <c r="Y17" i="18"/>
  <c r="W17" i="18"/>
  <c r="O3" i="19"/>
  <c r="J3" i="19"/>
  <c r="I3" i="19"/>
  <c r="H3" i="19"/>
  <c r="G3" i="19"/>
  <c r="D3" i="19"/>
  <c r="AB3" i="19"/>
  <c r="C3" i="19"/>
  <c r="Z3" i="19"/>
  <c r="Y3" i="19"/>
  <c r="W3" i="19"/>
  <c r="V3" i="19"/>
  <c r="U3" i="19"/>
  <c r="T3" i="19"/>
  <c r="S3" i="19"/>
  <c r="R3" i="19"/>
  <c r="P3" i="19"/>
  <c r="N3" i="19"/>
  <c r="M3" i="19"/>
  <c r="K3" i="19"/>
  <c r="X14" i="9"/>
  <c r="M14" i="9"/>
  <c r="I14" i="9"/>
  <c r="G8" i="15"/>
  <c r="AA8" i="15"/>
  <c r="X8" i="15"/>
  <c r="W8" i="15"/>
  <c r="T8" i="15"/>
  <c r="N8" i="15"/>
  <c r="M8" i="15"/>
  <c r="L8" i="15"/>
  <c r="E12" i="8"/>
  <c r="E14" i="9"/>
  <c r="P6" i="7"/>
  <c r="I8" i="12"/>
  <c r="C3" i="13"/>
  <c r="H6" i="13"/>
  <c r="D8" i="15"/>
  <c r="Q7" i="7"/>
  <c r="Z17" i="9"/>
  <c r="G17" i="9"/>
  <c r="AA12" i="10"/>
  <c r="P14" i="10"/>
  <c r="I2" i="11"/>
  <c r="J7" i="11"/>
  <c r="O8" i="11"/>
  <c r="J8" i="12"/>
  <c r="F15" i="12"/>
  <c r="E3" i="13"/>
  <c r="M6" i="13"/>
  <c r="F2" i="14"/>
  <c r="S6" i="14"/>
  <c r="E2" i="15"/>
  <c r="E8" i="15"/>
  <c r="P3" i="18"/>
  <c r="Y2" i="7"/>
  <c r="M2" i="7"/>
  <c r="D13" i="5"/>
  <c r="M13" i="6"/>
  <c r="Z2" i="17"/>
  <c r="W2" i="17"/>
  <c r="J2" i="17"/>
  <c r="I2" i="17"/>
  <c r="G2" i="17"/>
  <c r="F2" i="17"/>
  <c r="M6" i="5"/>
  <c r="AA15" i="7"/>
  <c r="O12" i="9"/>
  <c r="L2" i="17"/>
  <c r="K6" i="6"/>
  <c r="G2" i="11"/>
  <c r="N8" i="11"/>
  <c r="W6" i="5"/>
  <c r="H15" i="5"/>
  <c r="T2" i="6"/>
  <c r="L6" i="6"/>
  <c r="J14" i="8"/>
  <c r="G14" i="9"/>
  <c r="I15" i="5"/>
  <c r="O2" i="7"/>
  <c r="R6" i="7"/>
  <c r="D14" i="7"/>
  <c r="F15" i="7"/>
  <c r="T2" i="8"/>
  <c r="P7" i="8"/>
  <c r="O12" i="8"/>
  <c r="K14" i="8"/>
  <c r="J15" i="8"/>
  <c r="S7" i="9"/>
  <c r="W12" i="9"/>
  <c r="H14" i="9"/>
  <c r="E17" i="9"/>
  <c r="Q14" i="10"/>
  <c r="N2" i="11"/>
  <c r="K7" i="11"/>
  <c r="P8" i="11"/>
  <c r="AB13" i="11"/>
  <c r="Q13" i="11"/>
  <c r="J13" i="11"/>
  <c r="M8" i="12"/>
  <c r="G15" i="12"/>
  <c r="F3" i="13"/>
  <c r="O6" i="13"/>
  <c r="W13" i="13"/>
  <c r="U13" i="13"/>
  <c r="R13" i="13"/>
  <c r="Q13" i="13"/>
  <c r="P13" i="13"/>
  <c r="M13" i="13"/>
  <c r="K13" i="13"/>
  <c r="L2" i="14"/>
  <c r="T6" i="14"/>
  <c r="F2" i="15"/>
  <c r="F8" i="15"/>
  <c r="Z6" i="16"/>
  <c r="V6" i="16"/>
  <c r="O6" i="16"/>
  <c r="K6" i="16"/>
  <c r="I6" i="16"/>
  <c r="H6" i="16"/>
  <c r="G6" i="16"/>
  <c r="F6" i="16"/>
  <c r="AA7" i="19"/>
  <c r="U7" i="19"/>
  <c r="R7" i="19"/>
  <c r="M7" i="19"/>
  <c r="L7" i="19"/>
  <c r="H7" i="19"/>
  <c r="G7" i="19"/>
  <c r="F7" i="19"/>
  <c r="C7" i="19"/>
  <c r="G2" i="7"/>
  <c r="C2" i="5"/>
  <c r="K6" i="5"/>
  <c r="AB15" i="5"/>
  <c r="G6" i="13"/>
  <c r="L2" i="7"/>
  <c r="S12" i="9"/>
  <c r="M15" i="9"/>
  <c r="D15" i="18"/>
  <c r="C15" i="18"/>
  <c r="AB15" i="18"/>
  <c r="AA15" i="18"/>
  <c r="Z15" i="18"/>
  <c r="Y15" i="18"/>
  <c r="X15" i="18"/>
  <c r="W15" i="18"/>
  <c r="S15" i="18"/>
  <c r="M15" i="18"/>
  <c r="K15" i="18"/>
  <c r="J15" i="18"/>
  <c r="E15" i="18"/>
  <c r="D17" i="5"/>
  <c r="N2" i="7"/>
  <c r="F17" i="9"/>
  <c r="I15" i="12"/>
  <c r="G2" i="15"/>
  <c r="M3" i="5"/>
  <c r="Q2" i="7"/>
  <c r="U6" i="7"/>
  <c r="U7" i="7"/>
  <c r="T8" i="7"/>
  <c r="S7" i="8"/>
  <c r="R12" i="8"/>
  <c r="M14" i="8"/>
  <c r="U7" i="9"/>
  <c r="Z12" i="9"/>
  <c r="K14" i="9"/>
  <c r="J17" i="9"/>
  <c r="F13" i="10"/>
  <c r="S14" i="10"/>
  <c r="U3" i="11"/>
  <c r="P3" i="11"/>
  <c r="M7" i="11"/>
  <c r="R8" i="11"/>
  <c r="L13" i="11"/>
  <c r="Y7" i="12"/>
  <c r="V7" i="12"/>
  <c r="S7" i="12"/>
  <c r="I7" i="12"/>
  <c r="R8" i="12"/>
  <c r="J15" i="12"/>
  <c r="O17" i="12"/>
  <c r="J3" i="13"/>
  <c r="Y7" i="13"/>
  <c r="N7" i="13"/>
  <c r="D7" i="13"/>
  <c r="Z7" i="13"/>
  <c r="X7" i="13"/>
  <c r="G13" i="13"/>
  <c r="X15" i="13"/>
  <c r="H15" i="13"/>
  <c r="W15" i="13"/>
  <c r="S15" i="13"/>
  <c r="R15" i="13"/>
  <c r="Q15" i="13"/>
  <c r="N15" i="13"/>
  <c r="M15" i="13"/>
  <c r="O2" i="14"/>
  <c r="X6" i="14"/>
  <c r="H2" i="15"/>
  <c r="D7" i="15"/>
  <c r="J8" i="15"/>
  <c r="J6" i="16"/>
  <c r="Z15" i="8"/>
  <c r="O15" i="8"/>
  <c r="C14" i="9"/>
  <c r="AB14" i="9"/>
  <c r="D8" i="12"/>
  <c r="X15" i="7"/>
  <c r="S15" i="7"/>
  <c r="G14" i="8"/>
  <c r="F8" i="12"/>
  <c r="G13" i="5"/>
  <c r="J6" i="6"/>
  <c r="C15" i="7"/>
  <c r="K15" i="9"/>
  <c r="C8" i="15"/>
  <c r="G15" i="5"/>
  <c r="D15" i="7"/>
  <c r="J17" i="5"/>
  <c r="Z2" i="6"/>
  <c r="J15" i="5"/>
  <c r="AA2" i="6"/>
  <c r="R13" i="6"/>
  <c r="S7" i="7"/>
  <c r="Q12" i="8"/>
  <c r="L14" i="8"/>
  <c r="J14" i="9"/>
  <c r="L7" i="11"/>
  <c r="I3" i="13"/>
  <c r="H8" i="15"/>
  <c r="K15" i="5"/>
  <c r="N3" i="5"/>
  <c r="I7" i="5"/>
  <c r="R13" i="5"/>
  <c r="O17" i="5"/>
  <c r="V7" i="7"/>
  <c r="N7" i="11"/>
  <c r="S8" i="11"/>
  <c r="M13" i="11"/>
  <c r="S8" i="12"/>
  <c r="K15" i="12"/>
  <c r="S2" i="13"/>
  <c r="D2" i="13"/>
  <c r="U2" i="13"/>
  <c r="P2" i="13"/>
  <c r="O2" i="13"/>
  <c r="J2" i="13"/>
  <c r="I2" i="13"/>
  <c r="M3" i="13"/>
  <c r="H13" i="13"/>
  <c r="P2" i="14"/>
  <c r="AA6" i="14"/>
  <c r="E7" i="15"/>
  <c r="K8" i="15"/>
  <c r="G15" i="15"/>
  <c r="AA15" i="15"/>
  <c r="V15" i="15"/>
  <c r="U15" i="15"/>
  <c r="T15" i="15"/>
  <c r="L6" i="16"/>
  <c r="Z15" i="5"/>
  <c r="D15" i="5"/>
  <c r="E6" i="6"/>
  <c r="K13" i="6"/>
  <c r="C12" i="8"/>
  <c r="O6" i="7"/>
  <c r="X2" i="15"/>
  <c r="K2" i="15"/>
  <c r="AB2" i="15"/>
  <c r="C2" i="15"/>
  <c r="Y2" i="15"/>
  <c r="V2" i="15"/>
  <c r="U2" i="15"/>
  <c r="Q2" i="15"/>
  <c r="P2" i="15"/>
  <c r="O2" i="15"/>
  <c r="X12" i="6"/>
  <c r="O12" i="6"/>
  <c r="AB15" i="7"/>
  <c r="H15" i="8"/>
  <c r="D2" i="15"/>
  <c r="X6" i="5"/>
  <c r="J12" i="6"/>
  <c r="R7" i="7"/>
  <c r="M2" i="14"/>
  <c r="H14" i="7"/>
  <c r="H15" i="7"/>
  <c r="V2" i="8"/>
  <c r="L15" i="5"/>
  <c r="V6" i="7"/>
  <c r="T7" i="8"/>
  <c r="S12" i="8"/>
  <c r="N14" i="8"/>
  <c r="M15" i="8"/>
  <c r="V7" i="9"/>
  <c r="AA12" i="9"/>
  <c r="L14" i="9"/>
  <c r="K17" i="9"/>
  <c r="H13" i="10"/>
  <c r="T14" i="10"/>
  <c r="Q3" i="5"/>
  <c r="N7" i="5"/>
  <c r="X13" i="5"/>
  <c r="M15" i="5"/>
  <c r="P17" i="5"/>
  <c r="C3" i="6"/>
  <c r="AA6" i="6"/>
  <c r="P12" i="6"/>
  <c r="Y13" i="6"/>
  <c r="S17" i="6"/>
  <c r="S2" i="7"/>
  <c r="W6" i="7"/>
  <c r="W7" i="7"/>
  <c r="V8" i="7"/>
  <c r="E13" i="7"/>
  <c r="J15" i="7"/>
  <c r="Z2" i="8"/>
  <c r="U7" i="8"/>
  <c r="T12" i="8"/>
  <c r="O14" i="8"/>
  <c r="N15" i="8"/>
  <c r="X7" i="9"/>
  <c r="AB12" i="9"/>
  <c r="N14" i="9"/>
  <c r="M17" i="9"/>
  <c r="W2" i="10"/>
  <c r="X2" i="10"/>
  <c r="M13" i="10"/>
  <c r="U14" i="10"/>
  <c r="D3" i="11"/>
  <c r="O7" i="11"/>
  <c r="X8" i="11"/>
  <c r="R13" i="11"/>
  <c r="E7" i="12"/>
  <c r="U8" i="12"/>
  <c r="L15" i="12"/>
  <c r="C2" i="13"/>
  <c r="N3" i="13"/>
  <c r="E7" i="13"/>
  <c r="N13" i="13"/>
  <c r="D15" i="13"/>
  <c r="C17" i="13"/>
  <c r="V2" i="14"/>
  <c r="Z7" i="14"/>
  <c r="AB7" i="14"/>
  <c r="O7" i="14"/>
  <c r="L7" i="14"/>
  <c r="K7" i="14"/>
  <c r="J7" i="14"/>
  <c r="G7" i="14"/>
  <c r="E7" i="14"/>
  <c r="J2" i="15"/>
  <c r="F7" i="15"/>
  <c r="O8" i="15"/>
  <c r="C15" i="15"/>
  <c r="AB2" i="16"/>
  <c r="Y2" i="16"/>
  <c r="X2" i="16"/>
  <c r="W2" i="16"/>
  <c r="U2" i="16"/>
  <c r="P2" i="16"/>
  <c r="K2" i="16"/>
  <c r="D2" i="16"/>
  <c r="M6" i="16"/>
  <c r="J6" i="5"/>
  <c r="D12" i="8"/>
  <c r="K7" i="8"/>
  <c r="H14" i="8"/>
  <c r="G15" i="8"/>
  <c r="R6" i="5"/>
  <c r="O13" i="6"/>
  <c r="Z14" i="7"/>
  <c r="V14" i="7"/>
  <c r="O7" i="8"/>
  <c r="N12" i="8"/>
  <c r="I15" i="8"/>
  <c r="M6" i="6"/>
  <c r="K13" i="5"/>
  <c r="F14" i="7"/>
  <c r="M13" i="5"/>
  <c r="L12" i="6"/>
  <c r="P6" i="6"/>
  <c r="N12" i="6"/>
  <c r="V13" i="6"/>
  <c r="R2" i="7"/>
  <c r="U8" i="7"/>
  <c r="I14" i="7"/>
  <c r="W2" i="8"/>
  <c r="S3" i="5"/>
  <c r="U7" i="5"/>
  <c r="N15" i="5"/>
  <c r="Q17" i="5"/>
  <c r="F3" i="6"/>
  <c r="AB6" i="6"/>
  <c r="R12" i="6"/>
  <c r="X15" i="6"/>
  <c r="T15" i="6"/>
  <c r="Z15" i="6"/>
  <c r="T17" i="6"/>
  <c r="Z2" i="7"/>
  <c r="X6" i="7"/>
  <c r="Y7" i="7"/>
  <c r="W8" i="7"/>
  <c r="L14" i="7"/>
  <c r="K15" i="7"/>
  <c r="AA2" i="8"/>
  <c r="W7" i="8"/>
  <c r="U12" i="8"/>
  <c r="P14" i="8"/>
  <c r="P15" i="8"/>
  <c r="AA7" i="9"/>
  <c r="O14" i="9"/>
  <c r="O17" i="9"/>
  <c r="C2" i="10"/>
  <c r="P13" i="10"/>
  <c r="V14" i="10"/>
  <c r="E3" i="11"/>
  <c r="P7" i="11"/>
  <c r="U13" i="11"/>
  <c r="F7" i="12"/>
  <c r="X8" i="12"/>
  <c r="M15" i="12"/>
  <c r="E2" i="13"/>
  <c r="P3" i="13"/>
  <c r="F7" i="13"/>
  <c r="O13" i="13"/>
  <c r="E15" i="13"/>
  <c r="E17" i="13"/>
  <c r="X2" i="14"/>
  <c r="C7" i="14"/>
  <c r="L2" i="15"/>
  <c r="R8" i="15"/>
  <c r="E15" i="15"/>
  <c r="Q2" i="16"/>
  <c r="N6" i="16"/>
  <c r="Y15" i="5"/>
  <c r="AA15" i="5"/>
  <c r="AA15" i="9"/>
  <c r="Y15" i="9"/>
  <c r="Z3" i="18"/>
  <c r="I3" i="18"/>
  <c r="D3" i="18"/>
  <c r="Y3" i="18"/>
  <c r="W3" i="18"/>
  <c r="V3" i="18"/>
  <c r="S3" i="18"/>
  <c r="R3" i="18"/>
  <c r="Q3" i="18"/>
  <c r="N3" i="18"/>
  <c r="M3" i="18"/>
  <c r="K3" i="18"/>
  <c r="J3" i="18"/>
  <c r="D2" i="5"/>
  <c r="F15" i="5"/>
  <c r="H13" i="5"/>
  <c r="I14" i="8"/>
  <c r="C15" i="12"/>
  <c r="H3" i="18"/>
  <c r="F2" i="5"/>
  <c r="I13" i="5"/>
  <c r="P13" i="6"/>
  <c r="Q8" i="7"/>
  <c r="U2" i="8"/>
  <c r="Q7" i="8"/>
  <c r="K15" i="8"/>
  <c r="P8" i="12"/>
  <c r="X7" i="15"/>
  <c r="K7" i="15"/>
  <c r="Z7" i="15"/>
  <c r="C7" i="15"/>
  <c r="V7" i="15"/>
  <c r="U7" i="15"/>
  <c r="T7" i="15"/>
  <c r="Q7" i="15"/>
  <c r="P7" i="15"/>
  <c r="O7" i="15"/>
  <c r="L17" i="5"/>
  <c r="AB2" i="6"/>
  <c r="O6" i="6"/>
  <c r="S13" i="6"/>
  <c r="Z13" i="7"/>
  <c r="S13" i="7"/>
  <c r="I15" i="7"/>
  <c r="Y13" i="5"/>
  <c r="U14" i="6"/>
  <c r="X14" i="6"/>
  <c r="T3" i="5"/>
  <c r="V7" i="5"/>
  <c r="Z13" i="5"/>
  <c r="O15" i="5"/>
  <c r="R17" i="5"/>
  <c r="K3" i="6"/>
  <c r="S12" i="6"/>
  <c r="C14" i="6"/>
  <c r="C15" i="6"/>
  <c r="AA15" i="6"/>
  <c r="U17" i="6"/>
  <c r="X3" i="7"/>
  <c r="V3" i="7"/>
  <c r="Z6" i="7"/>
  <c r="Z7" i="7"/>
  <c r="Y8" i="7"/>
  <c r="C12" i="7"/>
  <c r="H13" i="7"/>
  <c r="M14" i="7"/>
  <c r="L15" i="7"/>
  <c r="AB17" i="7"/>
  <c r="H17" i="7"/>
  <c r="J3" i="8"/>
  <c r="G3" i="8"/>
  <c r="Y7" i="8"/>
  <c r="V12" i="8"/>
  <c r="S13" i="8"/>
  <c r="R14" i="8"/>
  <c r="U15" i="8"/>
  <c r="AB7" i="9"/>
  <c r="P14" i="9"/>
  <c r="P17" i="9"/>
  <c r="D2" i="10"/>
  <c r="Y13" i="10"/>
  <c r="W14" i="10"/>
  <c r="H3" i="11"/>
  <c r="R7" i="11"/>
  <c r="M12" i="11"/>
  <c r="C12" i="11"/>
  <c r="V13" i="11"/>
  <c r="G7" i="12"/>
  <c r="Y8" i="12"/>
  <c r="H12" i="12"/>
  <c r="N15" i="12"/>
  <c r="F2" i="13"/>
  <c r="G7" i="13"/>
  <c r="S13" i="13"/>
  <c r="F15" i="13"/>
  <c r="D7" i="14"/>
  <c r="M2" i="15"/>
  <c r="H7" i="15"/>
  <c r="Y8" i="15"/>
  <c r="I15" i="15"/>
  <c r="T2" i="16"/>
  <c r="Q6" i="16"/>
  <c r="M6" i="17"/>
  <c r="L6" i="17"/>
  <c r="G6" i="17"/>
  <c r="I13" i="6"/>
  <c r="H2" i="7"/>
  <c r="I2" i="7"/>
  <c r="AB6" i="13"/>
  <c r="AA6" i="13"/>
  <c r="Z6" i="13"/>
  <c r="K6" i="13"/>
  <c r="J6" i="13"/>
  <c r="AA3" i="13"/>
  <c r="D3" i="13"/>
  <c r="W3" i="13"/>
  <c r="V3" i="13"/>
  <c r="L3" i="13"/>
  <c r="K3" i="13"/>
  <c r="Q6" i="7"/>
  <c r="E15" i="7"/>
  <c r="U12" i="9"/>
  <c r="J13" i="5"/>
  <c r="Q13" i="6"/>
  <c r="L3" i="5"/>
  <c r="Z6" i="5"/>
  <c r="K17" i="5"/>
  <c r="N6" i="6"/>
  <c r="K12" i="6"/>
  <c r="P2" i="7"/>
  <c r="S6" i="7"/>
  <c r="R8" i="7"/>
  <c r="G15" i="7"/>
  <c r="X12" i="9"/>
  <c r="Q8" i="11"/>
  <c r="U3" i="5"/>
  <c r="P15" i="5"/>
  <c r="S17" i="5"/>
  <c r="T12" i="6"/>
  <c r="AB6" i="7"/>
  <c r="I13" i="7"/>
  <c r="N14" i="7"/>
  <c r="M15" i="7"/>
  <c r="Z7" i="8"/>
  <c r="W12" i="8"/>
  <c r="S14" i="8"/>
  <c r="Y15" i="8"/>
  <c r="Q14" i="9"/>
  <c r="Q17" i="9"/>
  <c r="E2" i="10"/>
  <c r="Z13" i="10"/>
  <c r="Y14" i="10"/>
  <c r="I3" i="11"/>
  <c r="T7" i="11"/>
  <c r="X13" i="11"/>
  <c r="J7" i="12"/>
  <c r="AA8" i="12"/>
  <c r="Z12" i="12"/>
  <c r="O15" i="12"/>
  <c r="G2" i="13"/>
  <c r="H7" i="13"/>
  <c r="T13" i="13"/>
  <c r="G15" i="13"/>
  <c r="L3" i="14"/>
  <c r="C3" i="14"/>
  <c r="Z3" i="14"/>
  <c r="Y3" i="14"/>
  <c r="X3" i="14"/>
  <c r="U3" i="14"/>
  <c r="T3" i="14"/>
  <c r="H7" i="14"/>
  <c r="N2" i="15"/>
  <c r="I7" i="15"/>
  <c r="Z8" i="15"/>
  <c r="K15" i="15"/>
  <c r="AA2" i="16"/>
  <c r="S6" i="16"/>
  <c r="C6" i="17"/>
  <c r="J13" i="19"/>
  <c r="G13" i="19"/>
  <c r="E13" i="19"/>
  <c r="D13" i="19"/>
  <c r="C13" i="19"/>
  <c r="AA13" i="19"/>
  <c r="Z13" i="19"/>
  <c r="Y13" i="19"/>
  <c r="W13" i="19"/>
  <c r="V13" i="19"/>
  <c r="T13" i="19"/>
  <c r="Q13" i="19"/>
  <c r="O13" i="19"/>
  <c r="M13" i="19"/>
  <c r="L13" i="19"/>
  <c r="K13" i="19"/>
  <c r="F13" i="5"/>
  <c r="O2" i="8"/>
  <c r="F2" i="8"/>
  <c r="R14" i="9"/>
  <c r="R17" i="9"/>
  <c r="Z14" i="10"/>
  <c r="U7" i="11"/>
  <c r="Y13" i="11"/>
  <c r="V13" i="13"/>
  <c r="AB13" i="14"/>
  <c r="E13" i="14"/>
  <c r="R2" i="15"/>
  <c r="J7" i="15"/>
  <c r="AB8" i="15"/>
  <c r="S15" i="15"/>
  <c r="T6" i="16"/>
  <c r="E6" i="17"/>
  <c r="C15" i="5"/>
  <c r="X15" i="12"/>
  <c r="P15" i="12"/>
  <c r="H15" i="12"/>
  <c r="E15" i="12"/>
  <c r="AB15" i="12"/>
  <c r="D15" i="12"/>
  <c r="W15" i="12"/>
  <c r="U17" i="5"/>
  <c r="Q14" i="7"/>
  <c r="L8" i="8"/>
  <c r="Z12" i="8"/>
  <c r="C3" i="9"/>
  <c r="S2" i="15"/>
  <c r="L7" i="15"/>
  <c r="I6" i="7"/>
  <c r="Q2" i="14"/>
  <c r="G2" i="14"/>
  <c r="AA2" i="14"/>
  <c r="Z2" i="14"/>
  <c r="Y2" i="14"/>
  <c r="U2" i="14"/>
  <c r="R2" i="14"/>
  <c r="H12" i="8"/>
  <c r="G7" i="7"/>
  <c r="M7" i="7"/>
  <c r="AB7" i="7"/>
  <c r="O14" i="7"/>
  <c r="N15" i="7"/>
  <c r="X8" i="7"/>
  <c r="J8" i="7"/>
  <c r="O15" i="7"/>
  <c r="X14" i="10"/>
  <c r="M14" i="10"/>
  <c r="I14" i="10"/>
  <c r="R14" i="7"/>
  <c r="C14" i="10"/>
  <c r="AB14" i="10"/>
  <c r="X7" i="11"/>
  <c r="S15" i="12"/>
  <c r="M2" i="13"/>
  <c r="Y13" i="13"/>
  <c r="K13" i="14"/>
  <c r="Z2" i="15"/>
  <c r="M7" i="15"/>
  <c r="Y15" i="15"/>
  <c r="Z7" i="16"/>
  <c r="AB7" i="16"/>
  <c r="U7" i="16"/>
  <c r="P7" i="16"/>
  <c r="M7" i="16"/>
  <c r="L7" i="16"/>
  <c r="J7" i="16"/>
  <c r="I7" i="16"/>
  <c r="F7" i="16"/>
  <c r="E7" i="16"/>
  <c r="D7" i="16"/>
  <c r="J17" i="16"/>
  <c r="C17" i="16"/>
  <c r="AB17" i="16"/>
  <c r="Z17" i="16"/>
  <c r="Y17" i="16"/>
  <c r="V7" i="17"/>
  <c r="R7" i="17"/>
  <c r="O7" i="17"/>
  <c r="K7" i="17"/>
  <c r="J7" i="17"/>
  <c r="G7" i="17"/>
  <c r="F7" i="17"/>
  <c r="E7" i="17"/>
  <c r="D7" i="17"/>
  <c r="Z7" i="17"/>
  <c r="AA14" i="9"/>
  <c r="C8" i="12"/>
  <c r="G7" i="8"/>
  <c r="E15" i="5"/>
  <c r="J7" i="8"/>
  <c r="N13" i="6"/>
  <c r="F14" i="9"/>
  <c r="AA15" i="8"/>
  <c r="C7" i="7"/>
  <c r="AB8" i="7"/>
  <c r="C2" i="8"/>
  <c r="U14" i="8"/>
  <c r="S14" i="9"/>
  <c r="S17" i="9"/>
  <c r="V7" i="11"/>
  <c r="D7" i="7"/>
  <c r="C8" i="7"/>
  <c r="D2" i="8"/>
  <c r="M8" i="8"/>
  <c r="AA12" i="8"/>
  <c r="V14" i="8"/>
  <c r="F3" i="9"/>
  <c r="C7" i="9"/>
  <c r="T14" i="9"/>
  <c r="T17" i="9"/>
  <c r="AA13" i="11"/>
  <c r="AB7" i="5"/>
  <c r="Y14" i="5"/>
  <c r="T15" i="5"/>
  <c r="W17" i="5"/>
  <c r="Q3" i="6"/>
  <c r="G8" i="6"/>
  <c r="Y12" i="6"/>
  <c r="I14" i="6"/>
  <c r="H15" i="6"/>
  <c r="K3" i="7"/>
  <c r="E7" i="7"/>
  <c r="D8" i="7"/>
  <c r="J12" i="7"/>
  <c r="N13" i="7"/>
  <c r="S14" i="7"/>
  <c r="Q15" i="7"/>
  <c r="G2" i="8"/>
  <c r="Q8" i="8"/>
  <c r="AB12" i="8"/>
  <c r="AA13" i="8"/>
  <c r="W14" i="8"/>
  <c r="G3" i="9"/>
  <c r="U14" i="9"/>
  <c r="U17" i="9"/>
  <c r="J2" i="10"/>
  <c r="K8" i="10"/>
  <c r="D14" i="10"/>
  <c r="X15" i="10"/>
  <c r="I15" i="10"/>
  <c r="E15" i="10"/>
  <c r="M3" i="11"/>
  <c r="Z7" i="11"/>
  <c r="J12" i="11"/>
  <c r="S14" i="11"/>
  <c r="AA14" i="11"/>
  <c r="P14" i="11"/>
  <c r="L14" i="11"/>
  <c r="H14" i="11"/>
  <c r="X7" i="12"/>
  <c r="L14" i="12"/>
  <c r="Y14" i="12"/>
  <c r="T15" i="12"/>
  <c r="N2" i="13"/>
  <c r="R7" i="13"/>
  <c r="Z13" i="13"/>
  <c r="L15" i="13"/>
  <c r="G3" i="14"/>
  <c r="P7" i="14"/>
  <c r="N13" i="14"/>
  <c r="AA2" i="15"/>
  <c r="N7" i="15"/>
  <c r="C7" i="16"/>
  <c r="D17" i="16"/>
  <c r="H7" i="17"/>
  <c r="G8" i="12"/>
  <c r="Z8" i="12"/>
  <c r="W8" i="12"/>
  <c r="V8" i="12"/>
  <c r="Q8" i="12"/>
  <c r="E15" i="8"/>
  <c r="K6" i="7"/>
  <c r="F15" i="8"/>
  <c r="D14" i="9"/>
  <c r="AB12" i="10"/>
  <c r="Z12" i="10"/>
  <c r="I7" i="11"/>
  <c r="E2" i="14"/>
  <c r="Q15" i="5"/>
  <c r="T17" i="5"/>
  <c r="U12" i="6"/>
  <c r="Y12" i="8"/>
  <c r="T14" i="8"/>
  <c r="R15" i="5"/>
  <c r="V12" i="6"/>
  <c r="Y7" i="9"/>
  <c r="W7" i="9"/>
  <c r="R15" i="12"/>
  <c r="AA7" i="5"/>
  <c r="W14" i="5"/>
  <c r="S15" i="5"/>
  <c r="V17" i="5"/>
  <c r="E8" i="6"/>
  <c r="W12" i="6"/>
  <c r="M13" i="7"/>
  <c r="P15" i="7"/>
  <c r="Z14" i="5"/>
  <c r="U15" i="5"/>
  <c r="H8" i="6"/>
  <c r="AB12" i="6"/>
  <c r="J14" i="6"/>
  <c r="I15" i="6"/>
  <c r="N17" i="6"/>
  <c r="M17" i="6"/>
  <c r="AB17" i="6"/>
  <c r="F7" i="7"/>
  <c r="E8" i="7"/>
  <c r="K12" i="7"/>
  <c r="O13" i="7"/>
  <c r="T14" i="7"/>
  <c r="R15" i="7"/>
  <c r="H2" i="8"/>
  <c r="R8" i="8"/>
  <c r="AB13" i="8"/>
  <c r="Y14" i="8"/>
  <c r="F7" i="9"/>
  <c r="V14" i="9"/>
  <c r="W17" i="9"/>
  <c r="K2" i="10"/>
  <c r="N8" i="10"/>
  <c r="E14" i="10"/>
  <c r="Q3" i="11"/>
  <c r="AA7" i="11"/>
  <c r="M3" i="12"/>
  <c r="J3" i="12"/>
  <c r="I3" i="12"/>
  <c r="Z7" i="12"/>
  <c r="V15" i="12"/>
  <c r="Q2" i="13"/>
  <c r="S7" i="13"/>
  <c r="AB12" i="13"/>
  <c r="X12" i="13"/>
  <c r="M12" i="13"/>
  <c r="I12" i="13"/>
  <c r="H12" i="13"/>
  <c r="D12" i="13"/>
  <c r="U14" i="13"/>
  <c r="H14" i="13"/>
  <c r="Y14" i="13"/>
  <c r="T14" i="13"/>
  <c r="S14" i="13"/>
  <c r="R14" i="13"/>
  <c r="O14" i="13"/>
  <c r="N14" i="13"/>
  <c r="O15" i="13"/>
  <c r="I3" i="14"/>
  <c r="R7" i="14"/>
  <c r="Q13" i="14"/>
  <c r="P3" i="15"/>
  <c r="J3" i="15"/>
  <c r="Z3" i="15"/>
  <c r="Y3" i="15"/>
  <c r="X3" i="15"/>
  <c r="T3" i="15"/>
  <c r="Q3" i="15"/>
  <c r="N3" i="15"/>
  <c r="R7" i="15"/>
  <c r="G7" i="16"/>
  <c r="G17" i="16"/>
  <c r="P7" i="17"/>
  <c r="Y15" i="14"/>
  <c r="D2" i="18"/>
  <c r="AB8" i="18"/>
  <c r="Y12" i="18"/>
  <c r="H2" i="19"/>
  <c r="N6" i="19"/>
  <c r="M8" i="19"/>
  <c r="C12" i="19"/>
  <c r="T14" i="19"/>
  <c r="C15" i="14"/>
  <c r="Z15" i="14"/>
  <c r="Q12" i="17"/>
  <c r="F2" i="18"/>
  <c r="C8" i="18"/>
  <c r="Z12" i="18"/>
  <c r="M2" i="19"/>
  <c r="O6" i="19"/>
  <c r="N8" i="19"/>
  <c r="E12" i="19"/>
  <c r="U14" i="19"/>
  <c r="D15" i="14"/>
  <c r="AA15" i="14"/>
  <c r="C14" i="16"/>
  <c r="G2" i="18"/>
  <c r="D8" i="18"/>
  <c r="AB12" i="18"/>
  <c r="N2" i="19"/>
  <c r="R6" i="19"/>
  <c r="O8" i="19"/>
  <c r="F12" i="19"/>
  <c r="V14" i="19"/>
  <c r="J2" i="18"/>
  <c r="O2" i="19"/>
  <c r="W6" i="19"/>
  <c r="P8" i="19"/>
  <c r="G12" i="19"/>
  <c r="AB14" i="19"/>
  <c r="G15" i="14"/>
  <c r="W6" i="15"/>
  <c r="Z12" i="15"/>
  <c r="Z13" i="15"/>
  <c r="J14" i="16"/>
  <c r="H8" i="17"/>
  <c r="U12" i="17"/>
  <c r="H15" i="17"/>
  <c r="L17" i="17"/>
  <c r="L2" i="18"/>
  <c r="I6" i="18"/>
  <c r="G8" i="18"/>
  <c r="H13" i="18"/>
  <c r="R2" i="19"/>
  <c r="R8" i="19"/>
  <c r="I12" i="19"/>
  <c r="C15" i="19"/>
  <c r="Y8" i="9"/>
  <c r="P6" i="11"/>
  <c r="D8" i="13"/>
  <c r="H15" i="14"/>
  <c r="X6" i="15"/>
  <c r="AA12" i="15"/>
  <c r="AA13" i="15"/>
  <c r="Y14" i="16"/>
  <c r="J8" i="17"/>
  <c r="V12" i="17"/>
  <c r="I15" i="17"/>
  <c r="M17" i="17"/>
  <c r="M2" i="18"/>
  <c r="J6" i="18"/>
  <c r="J8" i="18"/>
  <c r="P13" i="18"/>
  <c r="S2" i="19"/>
  <c r="S8" i="19"/>
  <c r="J12" i="19"/>
  <c r="E15" i="19"/>
  <c r="E8" i="13"/>
  <c r="I15" i="14"/>
  <c r="AB13" i="15"/>
  <c r="N8" i="17"/>
  <c r="W12" i="17"/>
  <c r="N15" i="17"/>
  <c r="O17" i="17"/>
  <c r="N2" i="18"/>
  <c r="K6" i="18"/>
  <c r="K8" i="18"/>
  <c r="U2" i="19"/>
  <c r="T8" i="19"/>
  <c r="L12" i="19"/>
  <c r="F15" i="19"/>
  <c r="Q17" i="17"/>
  <c r="O2" i="18"/>
  <c r="O6" i="18"/>
  <c r="V2" i="19"/>
  <c r="V8" i="19"/>
  <c r="P12" i="19"/>
  <c r="G15" i="19"/>
  <c r="W2" i="19"/>
  <c r="W8" i="19"/>
  <c r="J15" i="19"/>
  <c r="U6" i="11"/>
  <c r="I8" i="13"/>
  <c r="L15" i="14"/>
  <c r="G12" i="15"/>
  <c r="E13" i="15"/>
  <c r="Q8" i="17"/>
  <c r="AB12" i="17"/>
  <c r="U17" i="17"/>
  <c r="R2" i="18"/>
  <c r="Q6" i="18"/>
  <c r="O8" i="18"/>
  <c r="L14" i="18"/>
  <c r="X2" i="19"/>
  <c r="Y8" i="19"/>
  <c r="R12" i="19"/>
  <c r="L15" i="19"/>
  <c r="C17" i="19"/>
  <c r="W17" i="17"/>
  <c r="S2" i="18"/>
  <c r="W6" i="18"/>
  <c r="P8" i="18"/>
  <c r="Q14" i="18"/>
  <c r="Z2" i="19"/>
  <c r="Z8" i="19"/>
  <c r="T12" i="19"/>
  <c r="M15" i="19"/>
  <c r="E17" i="19"/>
  <c r="X17" i="17"/>
  <c r="U2" i="18"/>
  <c r="AB2" i="19"/>
  <c r="AA8" i="19"/>
  <c r="O15" i="19"/>
  <c r="F17" i="19"/>
  <c r="AB8" i="19"/>
  <c r="V12" i="19"/>
  <c r="F14" i="19"/>
  <c r="P15" i="19"/>
  <c r="G17" i="19"/>
  <c r="K12" i="16"/>
  <c r="U8" i="17"/>
  <c r="E12" i="17"/>
  <c r="N13" i="17"/>
  <c r="X2" i="18"/>
  <c r="S8" i="18"/>
  <c r="V14" i="18"/>
  <c r="C8" i="19"/>
  <c r="Y12" i="19"/>
  <c r="G14" i="19"/>
  <c r="Q15" i="19"/>
  <c r="M17" i="19"/>
  <c r="T8" i="18"/>
  <c r="X14" i="18"/>
  <c r="D8" i="19"/>
  <c r="AA12" i="19"/>
  <c r="H14" i="19"/>
  <c r="W15" i="19"/>
  <c r="O17" i="19"/>
  <c r="E8" i="19"/>
  <c r="AB12" i="19"/>
  <c r="J14" i="19"/>
  <c r="Y15" i="19"/>
  <c r="Q17" i="19"/>
  <c r="W8" i="13"/>
  <c r="T15" i="14"/>
  <c r="O12" i="15"/>
  <c r="AA8" i="17"/>
  <c r="I12" i="17"/>
  <c r="G7" i="18"/>
  <c r="E6" i="19"/>
  <c r="G8" i="19"/>
  <c r="L14" i="19"/>
  <c r="AB15" i="19"/>
  <c r="V17" i="19"/>
  <c r="G6" i="19"/>
  <c r="H8" i="19"/>
  <c r="O14" i="19"/>
  <c r="Y17" i="19"/>
  <c r="C2" i="19"/>
  <c r="H6" i="19"/>
  <c r="J8" i="19"/>
  <c r="Q14" i="19"/>
  <c r="AA17" i="19"/>
  <c r="F2" i="19"/>
  <c r="J6" i="19"/>
  <c r="K8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<sst xmlns="http://schemas.openxmlformats.org/spreadsheetml/2006/main" count="3113" uniqueCount="587">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</sst>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127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NM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6.5687217803593731E-3</v>
      </c>
      <c r="C2" s="7">
        <f>$B2 * IFERROR(VLOOKUP("transport|PM25|Premature mortality", US_national_yearly!$D:$AM, 11, FALSE) / VLOOKUP("transport|PM25|Premature mortality", US_national_yearly!$D:$AM, 10, FALSE), 1)</f>
        <v>6.6501595351731299E-3</v>
      </c>
      <c r="D2" s="7">
        <f>$B2 * IFERROR(VLOOKUP("transport|PM25|Premature mortality", US_national_yearly!$D:$AM, 12, FALSE) / VLOOKUP("transport|PM25|Premature mortality", US_national_yearly!$D:$AM, 10, FALSE), 1)</f>
        <v>6.7315972899868858E-3</v>
      </c>
      <c r="E2" s="7">
        <f>$B2 * IFERROR(VLOOKUP("transport|PM25|Premature mortality", US_national_yearly!$D:$AM, 13, FALSE) / VLOOKUP("transport|PM25|Premature mortality", US_national_yearly!$D:$AM, 10, FALSE), 1)</f>
        <v>6.8130350448006409E-3</v>
      </c>
      <c r="F2" s="7">
        <f>$B2 * IFERROR(VLOOKUP("transport|PM25|Premature mortality", US_national_yearly!$D:$AM, 14, FALSE) / VLOOKUP("transport|PM25|Premature mortality", US_national_yearly!$D:$AM, 10, FALSE), 1)</f>
        <v>6.894472799614396E-3</v>
      </c>
      <c r="G2" s="7">
        <f>$B2 * IFERROR(VLOOKUP("transport|PM25|Premature mortality", US_national_yearly!$D:$AM, 15, FALSE) / VLOOKUP("transport|PM25|Premature mortality", US_national_yearly!$D:$AM, 10, FALSE), 1)</f>
        <v>7.053072212925178E-3</v>
      </c>
      <c r="H2" s="7">
        <f>$B2 * IFERROR(VLOOKUP("transport|PM25|Premature mortality", US_national_yearly!$D:$AM, 16, FALSE) / VLOOKUP("transport|PM25|Premature mortality", US_national_yearly!$D:$AM, 10, FALSE), 1)</f>
        <v>7.21167162623596E-3</v>
      </c>
      <c r="I2" s="7">
        <f>$B2 * IFERROR(VLOOKUP("transport|PM25|Premature mortality", US_national_yearly!$D:$AM, 17, FALSE) / VLOOKUP("transport|PM25|Premature mortality", US_national_yearly!$D:$AM, 10, FALSE), 1)</f>
        <v>7.315846397162264E-3</v>
      </c>
      <c r="J2" s="7">
        <f>$B2 * IFERROR(VLOOKUP("transport|PM25|Premature mortality", US_national_yearly!$D:$AM, 18, FALSE) / VLOOKUP("transport|PM25|Premature mortality", US_national_yearly!$D:$AM, 10, FALSE), 1)</f>
        <v>7.4200211680885714E-3</v>
      </c>
      <c r="K2" s="7">
        <f>$B2 * IFERROR(VLOOKUP("transport|PM25|Premature mortality", US_national_yearly!$D:$AM, 19, FALSE) / VLOOKUP("transport|PM25|Premature mortality", US_national_yearly!$D:$AM, 10, FALSE), 1)</f>
        <v>7.5241959390148763E-3</v>
      </c>
      <c r="L2" s="7">
        <f>$B2 * IFERROR(VLOOKUP("transport|PM25|Premature mortality", US_national_yearly!$D:$AM, 20, FALSE) / VLOOKUP("transport|PM25|Premature mortality", US_national_yearly!$D:$AM, 10, FALSE), 1)</f>
        <v>7.6283707099411837E-3</v>
      </c>
      <c r="M2" s="7">
        <f>$B2 * IFERROR(VLOOKUP("transport|PM25|Premature mortality", US_national_yearly!$D:$AM, 21, FALSE) / VLOOKUP("transport|PM25|Premature mortality", US_national_yearly!$D:$AM, 10, FALSE), 1)</f>
        <v>7.7325454808674894E-3</v>
      </c>
      <c r="N2" s="7">
        <f>$B2 * IFERROR(VLOOKUP("transport|PM25|Premature mortality", US_national_yearly!$D:$AM, 22, FALSE) / VLOOKUP("transport|PM25|Premature mortality", US_national_yearly!$D:$AM, 10, FALSE), 1)</f>
        <v>7.8134305603885391E-3</v>
      </c>
      <c r="O2" s="7">
        <f>$B2 * IFERROR(VLOOKUP("transport|PM25|Premature mortality", US_national_yearly!$D:$AM, 23, FALSE) / VLOOKUP("transport|PM25|Premature mortality", US_national_yearly!$D:$AM, 10, FALSE), 1)</f>
        <v>7.8943156399095896E-3</v>
      </c>
      <c r="P2" s="7">
        <f>$B2 * IFERROR(VLOOKUP("transport|PM25|Premature mortality", US_national_yearly!$D:$AM, 24, FALSE) / VLOOKUP("transport|PM25|Premature mortality", US_national_yearly!$D:$AM, 10, FALSE), 1)</f>
        <v>7.9752007194306401E-3</v>
      </c>
      <c r="Q2" s="7">
        <f>$B2 * IFERROR(VLOOKUP("transport|PM25|Premature mortality", US_national_yearly!$D:$AM, 25, FALSE) / VLOOKUP("transport|PM25|Premature mortality", US_national_yearly!$D:$AM, 10, FALSE), 1)</f>
        <v>8.0560857989516888E-3</v>
      </c>
      <c r="R2" s="7">
        <f>$B2 * IFERROR(VLOOKUP("transport|PM25|Premature mortality", US_national_yearly!$D:$AM, 26, FALSE) / VLOOKUP("transport|PM25|Premature mortality", US_national_yearly!$D:$AM, 10, FALSE), 1)</f>
        <v>8.136970878472741E-3</v>
      </c>
      <c r="S2" s="7">
        <f>$B2 * IFERROR(VLOOKUP("transport|PM25|Premature mortality", US_national_yearly!$D:$AM, 27, FALSE) / VLOOKUP("transport|PM25|Premature mortality", US_national_yearly!$D:$AM, 10, FALSE), 1)</f>
        <v>8.1798213904271822E-3</v>
      </c>
      <c r="T2" s="7">
        <f>$B2 * IFERROR(VLOOKUP("transport|PM25|Premature mortality", US_national_yearly!$D:$AM, 28, FALSE) / VLOOKUP("transport|PM25|Premature mortality", US_national_yearly!$D:$AM, 10, FALSE), 1)</f>
        <v>8.2226719023816217E-3</v>
      </c>
      <c r="U2" s="7">
        <f>$B2 * IFERROR(VLOOKUP("transport|PM25|Premature mortality", US_national_yearly!$D:$AM, 29, FALSE) / VLOOKUP("transport|PM25|Premature mortality", US_national_yearly!$D:$AM, 10, FALSE), 1)</f>
        <v>8.2655224143360594E-3</v>
      </c>
      <c r="V2" s="7">
        <f>$B2 * IFERROR(VLOOKUP("transport|PM25|Premature mortality", US_national_yearly!$D:$AM, 30, FALSE) / VLOOKUP("transport|PM25|Premature mortality", US_national_yearly!$D:$AM, 10, FALSE), 1)</f>
        <v>8.3083729262904988E-3</v>
      </c>
      <c r="W2" s="7">
        <f>$B2 * IFERROR(VLOOKUP("transport|PM25|Premature mortality", US_national_yearly!$D:$AM, 31, FALSE) / VLOOKUP("transport|PM25|Premature mortality", US_national_yearly!$D:$AM, 10, FALSE), 1)</f>
        <v>8.3512234382449382E-3</v>
      </c>
      <c r="X2" s="7">
        <f>$B2 * IFERROR(VLOOKUP("transport|PM25|Premature mortality", US_national_yearly!$D:$AM, 32, FALSE) / VLOOKUP("transport|PM25|Premature mortality", US_national_yearly!$D:$AM, 10, FALSE), 1)</f>
        <v>8.3587161817318435E-3</v>
      </c>
      <c r="Y2" s="7">
        <f>$B2 * IFERROR(VLOOKUP("transport|PM25|Premature mortality", US_national_yearly!$D:$AM, 33, FALSE) / VLOOKUP("transport|PM25|Premature mortality", US_national_yearly!$D:$AM, 10, FALSE), 1)</f>
        <v>8.3662089252187523E-3</v>
      </c>
      <c r="Z2" s="7">
        <f>$B2 * IFERROR(VLOOKUP("transport|PM25|Premature mortality", US_national_yearly!$D:$AM, 34, FALSE) / VLOOKUP("transport|PM25|Premature mortality", US_national_yearly!$D:$AM, 10, FALSE), 1)</f>
        <v>8.3737016687056576E-3</v>
      </c>
      <c r="AA2" s="7">
        <f>$B2 * IFERROR(VLOOKUP("transport|PM25|Premature mortality", US_national_yearly!$D:$AM, 35, FALSE) / VLOOKUP("transport|PM25|Premature mortality", US_national_yearly!$D:$AM, 10, FALSE), 1)</f>
        <v>8.3811944121925663E-3</v>
      </c>
      <c r="AB2" s="7">
        <f>$B2 * IFERROR(VLOOKUP("transport|PM25|Premature mortality", US_national_yearly!$D:$AM, 36, FALSE) / VLOOKUP("transport|PM25|Premature mortality", US_national_yearly!$D:$AM, 10, FALSE), 1)</f>
        <v>8.3886871556794716E-3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1.5816715929172339E-5</v>
      </c>
      <c r="C3" s="7">
        <f>$B3 * IFERROR(VLOOKUP("transport|PM25|Infant mortality", US_national_yearly!$D:$AM, 11, FALSE) / VLOOKUP("transport|PM25|Infant mortality", US_national_yearly!$D:$AM, 10, FALSE), 1)</f>
        <v>1.5678808599126117E-5</v>
      </c>
      <c r="D3" s="7">
        <f>$B3 * IFERROR(VLOOKUP("transport|PM25|Infant mortality", US_national_yearly!$D:$AM, 12, FALSE) / VLOOKUP("transport|PM25|Infant mortality", US_national_yearly!$D:$AM, 10, FALSE), 1)</f>
        <v>1.5540901269079892E-5</v>
      </c>
      <c r="E3" s="7">
        <f>$B3 * IFERROR(VLOOKUP("transport|PM25|Infant mortality", US_national_yearly!$D:$AM, 13, FALSE) / VLOOKUP("transport|PM25|Infant mortality", US_national_yearly!$D:$AM, 10, FALSE), 1)</f>
        <v>1.540299393903367E-5</v>
      </c>
      <c r="F3" s="7">
        <f>$B3 * IFERROR(VLOOKUP("transport|PM25|Infant mortality", US_national_yearly!$D:$AM, 14, FALSE) / VLOOKUP("transport|PM25|Infant mortality", US_national_yearly!$D:$AM, 10, FALSE), 1)</f>
        <v>1.5265086608987445E-5</v>
      </c>
      <c r="G3" s="7">
        <f>$B3 * IFERROR(VLOOKUP("transport|PM25|Infant mortality", US_national_yearly!$D:$AM, 15, FALSE) / VLOOKUP("transport|PM25|Infant mortality", US_national_yearly!$D:$AM, 10, FALSE), 1)</f>
        <v>1.0152099154319155E-5</v>
      </c>
      <c r="H3" s="7">
        <f>$B3 * IFERROR(VLOOKUP("transport|PM25|Infant mortality", US_national_yearly!$D:$AM, 16, FALSE) / VLOOKUP("transport|PM25|Infant mortality", US_national_yearly!$D:$AM, 10, FALSE), 1)</f>
        <v>5.0391116996508643E-6</v>
      </c>
      <c r="I3" s="7">
        <f>$B3 * IFERROR(VLOOKUP("transport|PM25|Infant mortality", US_national_yearly!$D:$AM, 17, FALSE) / VLOOKUP("transport|PM25|Infant mortality", US_national_yearly!$D:$AM, 10, FALSE), 1)</f>
        <v>5.0061727808234418E-6</v>
      </c>
      <c r="J3" s="7">
        <f>$B3 * IFERROR(VLOOKUP("transport|PM25|Infant mortality", US_national_yearly!$D:$AM, 18, FALSE) / VLOOKUP("transport|PM25|Infant mortality", US_national_yearly!$D:$AM, 10, FALSE), 1)</f>
        <v>4.9732338619960176E-6</v>
      </c>
      <c r="K3" s="7">
        <f>$B3 * IFERROR(VLOOKUP("transport|PM25|Infant mortality", US_national_yearly!$D:$AM, 19, FALSE) / VLOOKUP("transport|PM25|Infant mortality", US_national_yearly!$D:$AM, 10, FALSE), 1)</f>
        <v>4.9402949431685942E-6</v>
      </c>
      <c r="L3" s="7">
        <f>$B3 * IFERROR(VLOOKUP("transport|PM25|Infant mortality", US_national_yearly!$D:$AM, 20, FALSE) / VLOOKUP("transport|PM25|Infant mortality", US_national_yearly!$D:$AM, 10, FALSE), 1)</f>
        <v>4.9073560243411717E-6</v>
      </c>
      <c r="M3" s="7">
        <f>$B3 * IFERROR(VLOOKUP("transport|PM25|Infant mortality", US_national_yearly!$D:$AM, 21, FALSE) / VLOOKUP("transport|PM25|Infant mortality", US_national_yearly!$D:$AM, 10, FALSE), 1)</f>
        <v>4.8744171055137483E-6</v>
      </c>
      <c r="N3" s="7">
        <f>$B3 * IFERROR(VLOOKUP("transport|PM25|Infant mortality", US_national_yearly!$D:$AM, 22, FALSE) / VLOOKUP("transport|PM25|Infant mortality", US_national_yearly!$D:$AM, 10, FALSE), 1)</f>
        <v>4.8537278177956598E-6</v>
      </c>
      <c r="O3" s="7">
        <f>$B3 * IFERROR(VLOOKUP("transport|PM25|Infant mortality", US_national_yearly!$D:$AM, 23, FALSE) / VLOOKUP("transport|PM25|Infant mortality", US_national_yearly!$D:$AM, 10, FALSE), 1)</f>
        <v>4.8330385300775721E-6</v>
      </c>
      <c r="P3" s="7">
        <f>$B3 * IFERROR(VLOOKUP("transport|PM25|Infant mortality", US_national_yearly!$D:$AM, 24, FALSE) / VLOOKUP("transport|PM25|Infant mortality", US_national_yearly!$D:$AM, 10, FALSE), 1)</f>
        <v>4.8123492423594827E-6</v>
      </c>
      <c r="Q3" s="7">
        <f>$B3 * IFERROR(VLOOKUP("transport|PM25|Infant mortality", US_national_yearly!$D:$AM, 25, FALSE) / VLOOKUP("transport|PM25|Infant mortality", US_national_yearly!$D:$AM, 10, FALSE), 1)</f>
        <v>4.791659954641395E-6</v>
      </c>
      <c r="R3" s="7">
        <f>$B3 * IFERROR(VLOOKUP("transport|PM25|Infant mortality", US_national_yearly!$D:$AM, 26, FALSE) / VLOOKUP("transport|PM25|Infant mortality", US_national_yearly!$D:$AM, 10, FALSE), 1)</f>
        <v>4.7709706669233064E-6</v>
      </c>
      <c r="S3" s="7">
        <f>$B3 * IFERROR(VLOOKUP("transport|PM25|Infant mortality", US_national_yearly!$D:$AM, 27, FALSE) / VLOOKUP("transport|PM25|Infant mortality", US_national_yearly!$D:$AM, 10, FALSE), 1)</f>
        <v>4.7451810467571475E-6</v>
      </c>
      <c r="T3" s="7">
        <f>$B3 * IFERROR(VLOOKUP("transport|PM25|Infant mortality", US_national_yearly!$D:$AM, 28, FALSE) / VLOOKUP("transport|PM25|Infant mortality", US_national_yearly!$D:$AM, 10, FALSE), 1)</f>
        <v>4.7193914265909869E-6</v>
      </c>
      <c r="U3" s="7">
        <f>$B3 * IFERROR(VLOOKUP("transport|PM25|Infant mortality", US_national_yearly!$D:$AM, 29, FALSE) / VLOOKUP("transport|PM25|Infant mortality", US_national_yearly!$D:$AM, 10, FALSE), 1)</f>
        <v>4.6936018064248279E-6</v>
      </c>
      <c r="V3" s="7">
        <f>$B3 * IFERROR(VLOOKUP("transport|PM25|Infant mortality", US_national_yearly!$D:$AM, 30, FALSE) / VLOOKUP("transport|PM25|Infant mortality", US_national_yearly!$D:$AM, 10, FALSE), 1)</f>
        <v>4.667812186258669E-6</v>
      </c>
      <c r="W3" s="7">
        <f>$B3 * IFERROR(VLOOKUP("transport|PM25|Infant mortality", US_national_yearly!$D:$AM, 31, FALSE) / VLOOKUP("transport|PM25|Infant mortality", US_national_yearly!$D:$AM, 10, FALSE), 1)</f>
        <v>4.6420225660925084E-6</v>
      </c>
      <c r="X3" s="7">
        <f>$B3 * IFERROR(VLOOKUP("transport|PM25|Infant mortality", US_national_yearly!$D:$AM, 32, FALSE) / VLOOKUP("transport|PM25|Infant mortality", US_national_yearly!$D:$AM, 10, FALSE), 1)</f>
        <v>4.6142181141381977E-6</v>
      </c>
      <c r="Y3" s="7">
        <f>$B3 * IFERROR(VLOOKUP("transport|PM25|Infant mortality", US_national_yearly!$D:$AM, 33, FALSE) / VLOOKUP("transport|PM25|Infant mortality", US_national_yearly!$D:$AM, 10, FALSE), 1)</f>
        <v>4.5864136621838845E-6</v>
      </c>
      <c r="Z3" s="7">
        <f>$B3 * IFERROR(VLOOKUP("transport|PM25|Infant mortality", US_national_yearly!$D:$AM, 34, FALSE) / VLOOKUP("transport|PM25|Infant mortality", US_national_yearly!$D:$AM, 10, FALSE), 1)</f>
        <v>4.5586092102295739E-6</v>
      </c>
      <c r="AA3" s="7">
        <f>$B3 * IFERROR(VLOOKUP("transport|PM25|Infant mortality", US_national_yearly!$D:$AM, 35, FALSE) / VLOOKUP("transport|PM25|Infant mortality", US_national_yearly!$D:$AM, 10, FALSE), 1)</f>
        <v>4.5308047582752624E-6</v>
      </c>
      <c r="AB3" s="7">
        <f>$B3 * IFERROR(VLOOKUP("transport|PM25|Infant mortality", US_national_yearly!$D:$AM, 36, FALSE) / VLOOKUP("transport|PM25|Infant mortality", US_national_yearly!$D:$AM, 10, FALSE), 1)</f>
        <v>4.5030003063209509E-6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1.6995655284735438E-2</v>
      </c>
      <c r="C6" s="7">
        <f>$B6 * IFERROR(VLOOKUP("transport|PM25|Asthma symptoms cough", US_national_yearly!$D:$AM, 11, FALSE) / VLOOKUP("transport|PM25|Asthma symptoms cough", US_national_yearly!$D:$AM, 10, FALSE), 1)</f>
        <v>1.6995655284735438E-2</v>
      </c>
      <c r="D6" s="7">
        <f>$B6 * IFERROR(VLOOKUP("transport|PM25|Asthma symptoms cough", US_national_yearly!$D:$AM, 12, FALSE) / VLOOKUP("transport|PM25|Asthma symptoms cough", US_national_yearly!$D:$AM, 10, FALSE), 1)</f>
        <v>1.6995655284735438E-2</v>
      </c>
      <c r="E6" s="7">
        <f>$B6 * IFERROR(VLOOKUP("transport|PM25|Asthma symptoms cough", US_national_yearly!$D:$AM, 13, FALSE) / VLOOKUP("transport|PM25|Asthma symptoms cough", US_national_yearly!$D:$AM, 10, FALSE), 1)</f>
        <v>1.6995655284735438E-2</v>
      </c>
      <c r="F6" s="7">
        <f>$B6 * IFERROR(VLOOKUP("transport|PM25|Asthma symptoms cough", US_national_yearly!$D:$AM, 14, FALSE) / VLOOKUP("transport|PM25|Asthma symptoms cough", US_national_yearly!$D:$AM, 10, FALSE), 1)</f>
        <v>1.6995655284735438E-2</v>
      </c>
      <c r="G6" s="7">
        <f>$B6 * IFERROR(VLOOKUP("transport|PM25|Asthma symptoms cough", US_national_yearly!$D:$AM, 15, FALSE) / VLOOKUP("transport|PM25|Asthma symptoms cough", US_national_yearly!$D:$AM, 10, FALSE), 1)</f>
        <v>1.6995655284735438E-2</v>
      </c>
      <c r="H6" s="7">
        <f>$B6 * IFERROR(VLOOKUP("transport|PM25|Asthma symptoms cough", US_national_yearly!$D:$AM, 16, FALSE) / VLOOKUP("transport|PM25|Asthma symptoms cough", US_national_yearly!$D:$AM, 10, FALSE), 1)</f>
        <v>1.6995655284735438E-2</v>
      </c>
      <c r="I6" s="7">
        <f>$B6 * IFERROR(VLOOKUP("transport|PM25|Asthma symptoms cough", US_national_yearly!$D:$AM, 17, FALSE) / VLOOKUP("transport|PM25|Asthma symptoms cough", US_national_yearly!$D:$AM, 10, FALSE), 1)</f>
        <v>1.6995655284735438E-2</v>
      </c>
      <c r="J6" s="7">
        <f>$B6 * IFERROR(VLOOKUP("transport|PM25|Asthma symptoms cough", US_national_yearly!$D:$AM, 18, FALSE) / VLOOKUP("transport|PM25|Asthma symptoms cough", US_national_yearly!$D:$AM, 10, FALSE), 1)</f>
        <v>1.6995655284735438E-2</v>
      </c>
      <c r="K6" s="7">
        <f>$B6 * IFERROR(VLOOKUP("transport|PM25|Asthma symptoms cough", US_national_yearly!$D:$AM, 19, FALSE) / VLOOKUP("transport|PM25|Asthma symptoms cough", US_national_yearly!$D:$AM, 10, FALSE), 1)</f>
        <v>1.6995655284735438E-2</v>
      </c>
      <c r="L6" s="7">
        <f>$B6 * IFERROR(VLOOKUP("transport|PM25|Asthma symptoms cough", US_national_yearly!$D:$AM, 20, FALSE) / VLOOKUP("transport|PM25|Asthma symptoms cough", US_national_yearly!$D:$AM, 10, FALSE), 1)</f>
        <v>1.6995655284735438E-2</v>
      </c>
      <c r="M6" s="7">
        <f>$B6 * IFERROR(VLOOKUP("transport|PM25|Asthma symptoms cough", US_national_yearly!$D:$AM, 21, FALSE) / VLOOKUP("transport|PM25|Asthma symptoms cough", US_national_yearly!$D:$AM, 10, FALSE), 1)</f>
        <v>1.6995655284735438E-2</v>
      </c>
      <c r="N6" s="7">
        <f>$B6 * IFERROR(VLOOKUP("transport|PM25|Asthma symptoms cough", US_national_yearly!$D:$AM, 22, FALSE) / VLOOKUP("transport|PM25|Asthma symptoms cough", US_national_yearly!$D:$AM, 10, FALSE), 1)</f>
        <v>1.6995655284735438E-2</v>
      </c>
      <c r="O6" s="7">
        <f>$B6 * IFERROR(VLOOKUP("transport|PM25|Asthma symptoms cough", US_national_yearly!$D:$AM, 23, FALSE) / VLOOKUP("transport|PM25|Asthma symptoms cough", US_national_yearly!$D:$AM, 10, FALSE), 1)</f>
        <v>1.6995655284735438E-2</v>
      </c>
      <c r="P6" s="7">
        <f>$B6 * IFERROR(VLOOKUP("transport|PM25|Asthma symptoms cough", US_national_yearly!$D:$AM, 24, FALSE) / VLOOKUP("transport|PM25|Asthma symptoms cough", US_national_yearly!$D:$AM, 10, FALSE), 1)</f>
        <v>1.6995655284735438E-2</v>
      </c>
      <c r="Q6" s="7">
        <f>$B6 * IFERROR(VLOOKUP("transport|PM25|Asthma symptoms cough", US_national_yearly!$D:$AM, 25, FALSE) / VLOOKUP("transport|PM25|Asthma symptoms cough", US_national_yearly!$D:$AM, 10, FALSE), 1)</f>
        <v>1.6995655284735438E-2</v>
      </c>
      <c r="R6" s="7">
        <f>$B6 * IFERROR(VLOOKUP("transport|PM25|Asthma symptoms cough", US_national_yearly!$D:$AM, 26, FALSE) / VLOOKUP("transport|PM25|Asthma symptoms cough", US_national_yearly!$D:$AM, 10, FALSE), 1)</f>
        <v>1.6995655284735438E-2</v>
      </c>
      <c r="S6" s="7">
        <f>$B6 * IFERROR(VLOOKUP("transport|PM25|Asthma symptoms cough", US_national_yearly!$D:$AM, 27, FALSE) / VLOOKUP("transport|PM25|Asthma symptoms cough", US_national_yearly!$D:$AM, 10, FALSE), 1)</f>
        <v>1.6995655284735438E-2</v>
      </c>
      <c r="T6" s="7">
        <f>$B6 * IFERROR(VLOOKUP("transport|PM25|Asthma symptoms cough", US_national_yearly!$D:$AM, 28, FALSE) / VLOOKUP("transport|PM25|Asthma symptoms cough", US_national_yearly!$D:$AM, 10, FALSE), 1)</f>
        <v>1.6995655284735438E-2</v>
      </c>
      <c r="U6" s="7">
        <f>$B6 * IFERROR(VLOOKUP("transport|PM25|Asthma symptoms cough", US_national_yearly!$D:$AM, 29, FALSE) / VLOOKUP("transport|PM25|Asthma symptoms cough", US_national_yearly!$D:$AM, 10, FALSE), 1)</f>
        <v>1.6995655284735438E-2</v>
      </c>
      <c r="V6" s="7">
        <f>$B6 * IFERROR(VLOOKUP("transport|PM25|Asthma symptoms cough", US_national_yearly!$D:$AM, 30, FALSE) / VLOOKUP("transport|PM25|Asthma symptoms cough", US_national_yearly!$D:$AM, 10, FALSE), 1)</f>
        <v>1.6995655284735438E-2</v>
      </c>
      <c r="W6" s="7">
        <f>$B6 * IFERROR(VLOOKUP("transport|PM25|Asthma symptoms cough", US_national_yearly!$D:$AM, 31, FALSE) / VLOOKUP("transport|PM25|Asthma symptoms cough", US_national_yearly!$D:$AM, 10, FALSE), 1)</f>
        <v>1.6995655284735438E-2</v>
      </c>
      <c r="X6" s="7">
        <f>$B6 * IFERROR(VLOOKUP("transport|PM25|Asthma symptoms cough", US_national_yearly!$D:$AM, 32, FALSE) / VLOOKUP("transport|PM25|Asthma symptoms cough", US_national_yearly!$D:$AM, 10, FALSE), 1)</f>
        <v>1.6995655284735438E-2</v>
      </c>
      <c r="Y6" s="7">
        <f>$B6 * IFERROR(VLOOKUP("transport|PM25|Asthma symptoms cough", US_national_yearly!$D:$AM, 33, FALSE) / VLOOKUP("transport|PM25|Asthma symptoms cough", US_national_yearly!$D:$AM, 10, FALSE), 1)</f>
        <v>1.6995655284735438E-2</v>
      </c>
      <c r="Z6" s="7">
        <f>$B6 * IFERROR(VLOOKUP("transport|PM25|Asthma symptoms cough", US_national_yearly!$D:$AM, 34, FALSE) / VLOOKUP("transport|PM25|Asthma symptoms cough", US_national_yearly!$D:$AM, 10, FALSE), 1)</f>
        <v>1.6995655284735438E-2</v>
      </c>
      <c r="AA6" s="7">
        <f>$B6 * IFERROR(VLOOKUP("transport|PM25|Asthma symptoms cough", US_national_yearly!$D:$AM, 35, FALSE) / VLOOKUP("transport|PM25|Asthma symptoms cough", US_national_yearly!$D:$AM, 10, FALSE), 1)</f>
        <v>1.6995655284735438E-2</v>
      </c>
      <c r="AB6" s="7">
        <f>$B6 * IFERROR(VLOOKUP("transport|PM25|Asthma symptoms cough", US_national_yearly!$D:$AM, 36, FALSE) / VLOOKUP("transport|PM25|Asthma symptoms cough", US_national_yearly!$D:$AM, 10, FALSE), 1)</f>
        <v>1.6995655284735438E-2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2.2886867849363397E-2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2.2886867849363397E-2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2.2886867849363397E-2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2.2886867849363397E-2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2.2886867849363397E-2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2.2886867849363397E-2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2.2886867849363397E-2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2.2886867849363397E-2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2.2886867849363397E-2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2.2886867849363397E-2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2.2886867849363397E-2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2.2886867849363397E-2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2.2886867849363397E-2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2.2886867849363397E-2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2.2886867849363397E-2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2.2886867849363397E-2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2.2886867849363397E-2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2.2886867849363397E-2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2.2886867849363397E-2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2.2886867849363397E-2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2.2886867849363397E-2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2.2886867849363397E-2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2.2886867849363397E-2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2.2886867849363397E-2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2.2886867849363397E-2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2.2886867849363397E-2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2.2886867849363397E-2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3.4968140260845819E-2</v>
      </c>
      <c r="C8" s="7">
        <f>$B8 * IFERROR(VLOOKUP("transport|PM25|Asthma symptoms wheeze", US_national_yearly!$D:$AM, 11, FALSE) / VLOOKUP("transport|PM25|Asthma symptoms wheeze", US_national_yearly!$D:$AM, 10, FALSE), 1)</f>
        <v>3.4968140260845819E-2</v>
      </c>
      <c r="D8" s="7">
        <f>$B8 * IFERROR(VLOOKUP("transport|PM25|Asthma symptoms wheeze", US_national_yearly!$D:$AM, 12, FALSE) / VLOOKUP("transport|PM25|Asthma symptoms wheeze", US_national_yearly!$D:$AM, 10, FALSE), 1)</f>
        <v>3.4968140260845819E-2</v>
      </c>
      <c r="E8" s="7">
        <f>$B8 * IFERROR(VLOOKUP("transport|PM25|Asthma symptoms wheeze", US_national_yearly!$D:$AM, 13, FALSE) / VLOOKUP("transport|PM25|Asthma symptoms wheeze", US_national_yearly!$D:$AM, 10, FALSE), 1)</f>
        <v>3.4968140260845819E-2</v>
      </c>
      <c r="F8" s="7">
        <f>$B8 * IFERROR(VLOOKUP("transport|PM25|Asthma symptoms wheeze", US_national_yearly!$D:$AM, 14, FALSE) / VLOOKUP("transport|PM25|Asthma symptoms wheeze", US_national_yearly!$D:$AM, 10, FALSE), 1)</f>
        <v>3.4968140260845819E-2</v>
      </c>
      <c r="G8" s="7">
        <f>$B8 * IFERROR(VLOOKUP("transport|PM25|Asthma symptoms wheeze", US_national_yearly!$D:$AM, 15, FALSE) / VLOOKUP("transport|PM25|Asthma symptoms wheeze", US_national_yearly!$D:$AM, 10, FALSE), 1)</f>
        <v>3.4968140260845819E-2</v>
      </c>
      <c r="H8" s="7">
        <f>$B8 * IFERROR(VLOOKUP("transport|PM25|Asthma symptoms wheeze", US_national_yearly!$D:$AM, 16, FALSE) / VLOOKUP("transport|PM25|Asthma symptoms wheeze", US_national_yearly!$D:$AM, 10, FALSE), 1)</f>
        <v>3.4968140260845819E-2</v>
      </c>
      <c r="I8" s="7">
        <f>$B8 * IFERROR(VLOOKUP("transport|PM25|Asthma symptoms wheeze", US_national_yearly!$D:$AM, 17, FALSE) / VLOOKUP("transport|PM25|Asthma symptoms wheeze", US_national_yearly!$D:$AM, 10, FALSE), 1)</f>
        <v>3.4968140260845819E-2</v>
      </c>
      <c r="J8" s="7">
        <f>$B8 * IFERROR(VLOOKUP("transport|PM25|Asthma symptoms wheeze", US_national_yearly!$D:$AM, 18, FALSE) / VLOOKUP("transport|PM25|Asthma symptoms wheeze", US_national_yearly!$D:$AM, 10, FALSE), 1)</f>
        <v>3.4968140260845819E-2</v>
      </c>
      <c r="K8" s="7">
        <f>$B8 * IFERROR(VLOOKUP("transport|PM25|Asthma symptoms wheeze", US_national_yearly!$D:$AM, 19, FALSE) / VLOOKUP("transport|PM25|Asthma symptoms wheeze", US_national_yearly!$D:$AM, 10, FALSE), 1)</f>
        <v>3.4968140260845819E-2</v>
      </c>
      <c r="L8" s="7">
        <f>$B8 * IFERROR(VLOOKUP("transport|PM25|Asthma symptoms wheeze", US_national_yearly!$D:$AM, 20, FALSE) / VLOOKUP("transport|PM25|Asthma symptoms wheeze", US_national_yearly!$D:$AM, 10, FALSE), 1)</f>
        <v>3.4968140260845819E-2</v>
      </c>
      <c r="M8" s="7">
        <f>$B8 * IFERROR(VLOOKUP("transport|PM25|Asthma symptoms wheeze", US_national_yearly!$D:$AM, 21, FALSE) / VLOOKUP("transport|PM25|Asthma symptoms wheeze", US_national_yearly!$D:$AM, 10, FALSE), 1)</f>
        <v>3.4968140260845819E-2</v>
      </c>
      <c r="N8" s="7">
        <f>$B8 * IFERROR(VLOOKUP("transport|PM25|Asthma symptoms wheeze", US_national_yearly!$D:$AM, 22, FALSE) / VLOOKUP("transport|PM25|Asthma symptoms wheeze", US_national_yearly!$D:$AM, 10, FALSE), 1)</f>
        <v>3.4968140260845819E-2</v>
      </c>
      <c r="O8" s="7">
        <f>$B8 * IFERROR(VLOOKUP("transport|PM25|Asthma symptoms wheeze", US_national_yearly!$D:$AM, 23, FALSE) / VLOOKUP("transport|PM25|Asthma symptoms wheeze", US_national_yearly!$D:$AM, 10, FALSE), 1)</f>
        <v>3.4968140260845819E-2</v>
      </c>
      <c r="P8" s="7">
        <f>$B8 * IFERROR(VLOOKUP("transport|PM25|Asthma symptoms wheeze", US_national_yearly!$D:$AM, 24, FALSE) / VLOOKUP("transport|PM25|Asthma symptoms wheeze", US_national_yearly!$D:$AM, 10, FALSE), 1)</f>
        <v>3.4968140260845819E-2</v>
      </c>
      <c r="Q8" s="7">
        <f>$B8 * IFERROR(VLOOKUP("transport|PM25|Asthma symptoms wheeze", US_national_yearly!$D:$AM, 25, FALSE) / VLOOKUP("transport|PM25|Asthma symptoms wheeze", US_national_yearly!$D:$AM, 10, FALSE), 1)</f>
        <v>3.4968140260845819E-2</v>
      </c>
      <c r="R8" s="7">
        <f>$B8 * IFERROR(VLOOKUP("transport|PM25|Asthma symptoms wheeze", US_national_yearly!$D:$AM, 26, FALSE) / VLOOKUP("transport|PM25|Asthma symptoms wheeze", US_national_yearly!$D:$AM, 10, FALSE), 1)</f>
        <v>3.4968140260845819E-2</v>
      </c>
      <c r="S8" s="7">
        <f>$B8 * IFERROR(VLOOKUP("transport|PM25|Asthma symptoms wheeze", US_national_yearly!$D:$AM, 27, FALSE) / VLOOKUP("transport|PM25|Asthma symptoms wheeze", US_national_yearly!$D:$AM, 10, FALSE), 1)</f>
        <v>3.4968140260845819E-2</v>
      </c>
      <c r="T8" s="7">
        <f>$B8 * IFERROR(VLOOKUP("transport|PM25|Asthma symptoms wheeze", US_national_yearly!$D:$AM, 28, FALSE) / VLOOKUP("transport|PM25|Asthma symptoms wheeze", US_national_yearly!$D:$AM, 10, FALSE), 1)</f>
        <v>3.4968140260845819E-2</v>
      </c>
      <c r="U8" s="7">
        <f>$B8 * IFERROR(VLOOKUP("transport|PM25|Asthma symptoms wheeze", US_national_yearly!$D:$AM, 29, FALSE) / VLOOKUP("transport|PM25|Asthma symptoms wheeze", US_national_yearly!$D:$AM, 10, FALSE), 1)</f>
        <v>3.4968140260845819E-2</v>
      </c>
      <c r="V8" s="7">
        <f>$B8 * IFERROR(VLOOKUP("transport|PM25|Asthma symptoms wheeze", US_national_yearly!$D:$AM, 30, FALSE) / VLOOKUP("transport|PM25|Asthma symptoms wheeze", US_national_yearly!$D:$AM, 10, FALSE), 1)</f>
        <v>3.4968140260845819E-2</v>
      </c>
      <c r="W8" s="7">
        <f>$B8 * IFERROR(VLOOKUP("transport|PM25|Asthma symptoms wheeze", US_national_yearly!$D:$AM, 31, FALSE) / VLOOKUP("transport|PM25|Asthma symptoms wheeze", US_national_yearly!$D:$AM, 10, FALSE), 1)</f>
        <v>3.4968140260845819E-2</v>
      </c>
      <c r="X8" s="7">
        <f>$B8 * IFERROR(VLOOKUP("transport|PM25|Asthma symptoms wheeze", US_national_yearly!$D:$AM, 32, FALSE) / VLOOKUP("transport|PM25|Asthma symptoms wheeze", US_national_yearly!$D:$AM, 10, FALSE), 1)</f>
        <v>3.4968140260845819E-2</v>
      </c>
      <c r="Y8" s="7">
        <f>$B8 * IFERROR(VLOOKUP("transport|PM25|Asthma symptoms wheeze", US_national_yearly!$D:$AM, 33, FALSE) / VLOOKUP("transport|PM25|Asthma symptoms wheeze", US_national_yearly!$D:$AM, 10, FALSE), 1)</f>
        <v>3.4968140260845819E-2</v>
      </c>
      <c r="Z8" s="7">
        <f>$B8 * IFERROR(VLOOKUP("transport|PM25|Asthma symptoms wheeze", US_national_yearly!$D:$AM, 34, FALSE) / VLOOKUP("transport|PM25|Asthma symptoms wheeze", US_national_yearly!$D:$AM, 10, FALSE), 1)</f>
        <v>3.4968140260845819E-2</v>
      </c>
      <c r="AA8" s="7">
        <f>$B8 * IFERROR(VLOOKUP("transport|PM25|Asthma symptoms wheeze", US_national_yearly!$D:$AM, 35, FALSE) / VLOOKUP("transport|PM25|Asthma symptoms wheeze", US_national_yearly!$D:$AM, 10, FALSE), 1)</f>
        <v>3.4968140260845819E-2</v>
      </c>
      <c r="AB8" s="7">
        <f>$B8 * IFERROR(VLOOKUP("transport|PM25|Asthma symptoms wheeze", US_national_yearly!$D:$AM, 36, FALSE) / VLOOKUP("transport|PM25|Asthma symptoms wheeze", US_national_yearly!$D:$AM, 10, FALSE), 1)</f>
        <v>3.4968140260845819E-2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4.0540612868475331E-4</v>
      </c>
      <c r="C12" s="7">
        <f>$B12 * IFERROR(VLOOKUP("transport|PM25|Respiratory hospital admissions", US_national_yearly!$D:$AM, 11, FALSE) / VLOOKUP("transport|PM25|Respiratory hospital admissions", US_national_yearly!$D:$AM, 10, FALSE), 1)</f>
        <v>4.0772975321261561E-4</v>
      </c>
      <c r="D12" s="7">
        <f>$B12 * IFERROR(VLOOKUP("transport|PM25|Respiratory hospital admissions", US_national_yearly!$D:$AM, 12, FALSE) / VLOOKUP("transport|PM25|Respiratory hospital admissions", US_national_yearly!$D:$AM, 10, FALSE), 1)</f>
        <v>4.100533777404778E-4</v>
      </c>
      <c r="E12" s="7">
        <f>$B12 * IFERROR(VLOOKUP("transport|PM25|Respiratory hospital admissions", US_national_yearly!$D:$AM, 13, FALSE) / VLOOKUP("transport|PM25|Respiratory hospital admissions", US_national_yearly!$D:$AM, 10, FALSE), 1)</f>
        <v>4.123770022683401E-4</v>
      </c>
      <c r="F12" s="7">
        <f>$B12 * IFERROR(VLOOKUP("transport|PM25|Respiratory hospital admissions", US_national_yearly!$D:$AM, 14, FALSE) / VLOOKUP("transport|PM25|Respiratory hospital admissions", US_national_yearly!$D:$AM, 10, FALSE), 1)</f>
        <v>4.1470062679620229E-4</v>
      </c>
      <c r="G12" s="7">
        <f>$B12 * IFERROR(VLOOKUP("transport|PM25|Respiratory hospital admissions", US_national_yearly!$D:$AM, 15, FALSE) / VLOOKUP("transport|PM25|Respiratory hospital admissions", US_national_yearly!$D:$AM, 10, FALSE), 1)</f>
        <v>4.1721024040113834E-4</v>
      </c>
      <c r="H12" s="7">
        <f>$B12 * IFERROR(VLOOKUP("transport|PM25|Respiratory hospital admissions", US_national_yearly!$D:$AM, 16, FALSE) / VLOOKUP("transport|PM25|Respiratory hospital admissions", US_national_yearly!$D:$AM, 10, FALSE), 1)</f>
        <v>4.1971985400607439E-4</v>
      </c>
      <c r="I12" s="7">
        <f>$B12 * IFERROR(VLOOKUP("transport|PM25|Respiratory hospital admissions", US_national_yearly!$D:$AM, 17, FALSE) / VLOOKUP("transport|PM25|Respiratory hospital admissions", US_national_yearly!$D:$AM, 10, FALSE), 1)</f>
        <v>4.2211769445655618E-4</v>
      </c>
      <c r="J12" s="7">
        <f>$B12 * IFERROR(VLOOKUP("transport|PM25|Respiratory hospital admissions", US_national_yearly!$D:$AM, 18, FALSE) / VLOOKUP("transport|PM25|Respiratory hospital admissions", US_national_yearly!$D:$AM, 10, FALSE), 1)</f>
        <v>4.2451553490703819E-4</v>
      </c>
      <c r="K12" s="7">
        <f>$B12 * IFERROR(VLOOKUP("transport|PM25|Respiratory hospital admissions", US_national_yearly!$D:$AM, 19, FALSE) / VLOOKUP("transport|PM25|Respiratory hospital admissions", US_national_yearly!$D:$AM, 10, FALSE), 1)</f>
        <v>4.2691337535752009E-4</v>
      </c>
      <c r="L12" s="7">
        <f>$B12 * IFERROR(VLOOKUP("transport|PM25|Respiratory hospital admissions", US_national_yearly!$D:$AM, 20, FALSE) / VLOOKUP("transport|PM25|Respiratory hospital admissions", US_national_yearly!$D:$AM, 10, FALSE), 1)</f>
        <v>4.2931121580800209E-4</v>
      </c>
      <c r="M12" s="7">
        <f>$B12 * IFERROR(VLOOKUP("transport|PM25|Respiratory hospital admissions", US_national_yearly!$D:$AM, 21, FALSE) / VLOOKUP("transport|PM25|Respiratory hospital admissions", US_national_yearly!$D:$AM, 10, FALSE), 1)</f>
        <v>4.3170905625848388E-4</v>
      </c>
      <c r="N12" s="7">
        <f>$B12 * IFERROR(VLOOKUP("transport|PM25|Respiratory hospital admissions", US_national_yearly!$D:$AM, 22, FALSE) / VLOOKUP("transport|PM25|Respiratory hospital admissions", US_national_yearly!$D:$AM, 10, FALSE), 1)</f>
        <v>4.3343005632316478E-4</v>
      </c>
      <c r="O12" s="7">
        <f>$B12 * IFERROR(VLOOKUP("transport|PM25|Respiratory hospital admissions", US_national_yearly!$D:$AM, 23, FALSE) / VLOOKUP("transport|PM25|Respiratory hospital admissions", US_national_yearly!$D:$AM, 10, FALSE), 1)</f>
        <v>4.3515105638784561E-4</v>
      </c>
      <c r="P12" s="7">
        <f>$B12 * IFERROR(VLOOKUP("transport|PM25|Respiratory hospital admissions", US_national_yearly!$D:$AM, 24, FALSE) / VLOOKUP("transport|PM25|Respiratory hospital admissions", US_national_yearly!$D:$AM, 10, FALSE), 1)</f>
        <v>4.368720564525264E-4</v>
      </c>
      <c r="Q12" s="7">
        <f>$B12 * IFERROR(VLOOKUP("transport|PM25|Respiratory hospital admissions", US_national_yearly!$D:$AM, 25, FALSE) / VLOOKUP("transport|PM25|Respiratory hospital admissions", US_national_yearly!$D:$AM, 10, FALSE), 1)</f>
        <v>4.3859305651720718E-4</v>
      </c>
      <c r="R12" s="7">
        <f>$B12 * IFERROR(VLOOKUP("transport|PM25|Respiratory hospital admissions", US_national_yearly!$D:$AM, 26, FALSE) / VLOOKUP("transport|PM25|Respiratory hospital admissions", US_national_yearly!$D:$AM, 10, FALSE), 1)</f>
        <v>4.4031405658188813E-4</v>
      </c>
      <c r="S12" s="7">
        <f>$B12 * IFERROR(VLOOKUP("transport|PM25|Respiratory hospital admissions", US_national_yearly!$D:$AM, 27, FALSE) / VLOOKUP("transport|PM25|Respiratory hospital admissions", US_national_yearly!$D:$AM, 10, FALSE), 1)</f>
        <v>4.4195267541597723E-4</v>
      </c>
      <c r="T12" s="7">
        <f>$B12 * IFERROR(VLOOKUP("transport|PM25|Respiratory hospital admissions", US_national_yearly!$D:$AM, 28, FALSE) / VLOOKUP("transport|PM25|Respiratory hospital admissions", US_national_yearly!$D:$AM, 10, FALSE), 1)</f>
        <v>4.4359129425006649E-4</v>
      </c>
      <c r="U12" s="7">
        <f>$B12 * IFERROR(VLOOKUP("transport|PM25|Respiratory hospital admissions", US_national_yearly!$D:$AM, 29, FALSE) / VLOOKUP("transport|PM25|Respiratory hospital admissions", US_national_yearly!$D:$AM, 10, FALSE), 1)</f>
        <v>4.452299130841556E-4</v>
      </c>
      <c r="V12" s="7">
        <f>$B12 * IFERROR(VLOOKUP("transport|PM25|Respiratory hospital admissions", US_national_yearly!$D:$AM, 30, FALSE) / VLOOKUP("transport|PM25|Respiratory hospital admissions", US_national_yearly!$D:$AM, 10, FALSE), 1)</f>
        <v>4.4686853191824475E-4</v>
      </c>
      <c r="W12" s="7">
        <f>$B12 * IFERROR(VLOOKUP("transport|PM25|Respiratory hospital admissions", US_national_yearly!$D:$AM, 31, FALSE) / VLOOKUP("transport|PM25|Respiratory hospital admissions", US_national_yearly!$D:$AM, 10, FALSE), 1)</f>
        <v>4.4850715075233385E-4</v>
      </c>
      <c r="X12" s="7">
        <f>$B12 * IFERROR(VLOOKUP("transport|PM25|Respiratory hospital admissions", US_national_yearly!$D:$AM, 32, FALSE) / VLOOKUP("transport|PM25|Respiratory hospital admissions", US_national_yearly!$D:$AM, 10, FALSE), 1)</f>
        <v>4.500835229732283E-4</v>
      </c>
      <c r="Y12" s="7">
        <f>$B12 * IFERROR(VLOOKUP("transport|PM25|Respiratory hospital admissions", US_national_yearly!$D:$AM, 33, FALSE) / VLOOKUP("transport|PM25|Respiratory hospital admissions", US_national_yearly!$D:$AM, 10, FALSE), 1)</f>
        <v>4.5165989519412264E-4</v>
      </c>
      <c r="Z12" s="7">
        <f>$B12 * IFERROR(VLOOKUP("transport|PM25|Respiratory hospital admissions", US_national_yearly!$D:$AM, 34, FALSE) / VLOOKUP("transport|PM25|Respiratory hospital admissions", US_national_yearly!$D:$AM, 10, FALSE), 1)</f>
        <v>4.5323626741501698E-4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4.5481263963591126E-4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4.5638901185680565E-4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2.2923773928676546E-3</v>
      </c>
      <c r="C13" s="7">
        <f>$B13 * IFERROR(VLOOKUP("transport|PM25|Non-fatal heart attacks", US_national_yearly!$D:$AM, 11, FALSE) / VLOOKUP("transport|PM25|Non-fatal heart attacks", US_national_yearly!$D:$AM, 10, FALSE), 1)</f>
        <v>2.3590228869516876E-3</v>
      </c>
      <c r="D13" s="7">
        <f>$B13 * IFERROR(VLOOKUP("transport|PM25|Non-fatal heart attacks", US_national_yearly!$D:$AM, 12, FALSE) / VLOOKUP("transport|PM25|Non-fatal heart attacks", US_national_yearly!$D:$AM, 10, FALSE), 1)</f>
        <v>2.425668381035721E-3</v>
      </c>
      <c r="E13" s="7">
        <f>$B13 * IFERROR(VLOOKUP("transport|PM25|Non-fatal heart attacks", US_national_yearly!$D:$AM, 13, FALSE) / VLOOKUP("transport|PM25|Non-fatal heart attacks", US_national_yearly!$D:$AM, 10, FALSE), 1)</f>
        <v>2.4923138751197535E-3</v>
      </c>
      <c r="F13" s="7">
        <f>$B13 * IFERROR(VLOOKUP("transport|PM25|Non-fatal heart attacks", US_national_yearly!$D:$AM, 14, FALSE) / VLOOKUP("transport|PM25|Non-fatal heart attacks", US_national_yearly!$D:$AM, 10, FALSE), 1)</f>
        <v>2.5589593692037873E-3</v>
      </c>
      <c r="G13" s="7">
        <f>$B13 * IFERROR(VLOOKUP("transport|PM25|Non-fatal heart attacks", US_national_yearly!$D:$AM, 15, FALSE) / VLOOKUP("transport|PM25|Non-fatal heart attacks", US_national_yearly!$D:$AM, 10, FALSE), 1)</f>
        <v>2.6218102833714839E-3</v>
      </c>
      <c r="H13" s="7">
        <f>$B13 * IFERROR(VLOOKUP("transport|PM25|Non-fatal heart attacks", US_national_yearly!$D:$AM, 16, FALSE) / VLOOKUP("transport|PM25|Non-fatal heart attacks", US_national_yearly!$D:$AM, 10, FALSE), 1)</f>
        <v>2.68466119753918E-3</v>
      </c>
      <c r="I13" s="7">
        <f>$B13 * IFERROR(VLOOKUP("transport|PM25|Non-fatal heart attacks", US_national_yearly!$D:$AM, 17, FALSE) / VLOOKUP("transport|PM25|Non-fatal heart attacks", US_national_yearly!$D:$AM, 10, FALSE), 1)</f>
        <v>2.7351724185737123E-3</v>
      </c>
      <c r="J13" s="7">
        <f>$B13 * IFERROR(VLOOKUP("transport|PM25|Non-fatal heart attacks", US_national_yearly!$D:$AM, 18, FALSE) / VLOOKUP("transport|PM25|Non-fatal heart attacks", US_national_yearly!$D:$AM, 10, FALSE), 1)</f>
        <v>2.7856836396082446E-3</v>
      </c>
      <c r="K13" s="7">
        <f>$B13 * IFERROR(VLOOKUP("transport|PM25|Non-fatal heart attacks", US_national_yearly!$D:$AM, 19, FALSE) / VLOOKUP("transport|PM25|Non-fatal heart attacks", US_national_yearly!$D:$AM, 10, FALSE), 1)</f>
        <v>2.8361948606427777E-3</v>
      </c>
      <c r="L13" s="7">
        <f>$B13 * IFERROR(VLOOKUP("transport|PM25|Non-fatal heart attacks", US_national_yearly!$D:$AM, 20, FALSE) / VLOOKUP("transport|PM25|Non-fatal heart attacks", US_national_yearly!$D:$AM, 10, FALSE), 1)</f>
        <v>2.8867060816773105E-3</v>
      </c>
      <c r="M13" s="7">
        <f>$B13 * IFERROR(VLOOKUP("transport|PM25|Non-fatal heart attacks", US_national_yearly!$D:$AM, 21, FALSE) / VLOOKUP("transport|PM25|Non-fatal heart attacks", US_national_yearly!$D:$AM, 10, FALSE), 1)</f>
        <v>2.9372173027118432E-3</v>
      </c>
      <c r="N13" s="7">
        <f>$B13 * IFERROR(VLOOKUP("transport|PM25|Non-fatal heart attacks", US_national_yearly!$D:$AM, 22, FALSE) / VLOOKUP("transport|PM25|Non-fatal heart attacks", US_national_yearly!$D:$AM, 10, FALSE), 1)</f>
        <v>2.9697920525243665E-3</v>
      </c>
      <c r="O13" s="7">
        <f>$B13 * IFERROR(VLOOKUP("transport|PM25|Non-fatal heart attacks", US_national_yearly!$D:$AM, 23, FALSE) / VLOOKUP("transport|PM25|Non-fatal heart attacks", US_national_yearly!$D:$AM, 10, FALSE), 1)</f>
        <v>3.0023668023368907E-3</v>
      </c>
      <c r="P13" s="7">
        <f>$B13 * IFERROR(VLOOKUP("transport|PM25|Non-fatal heart attacks", US_national_yearly!$D:$AM, 24, FALSE) / VLOOKUP("transport|PM25|Non-fatal heart attacks", US_national_yearly!$D:$AM, 10, FALSE), 1)</f>
        <v>3.0349415521494145E-3</v>
      </c>
      <c r="Q13" s="7">
        <f>$B13 * IFERROR(VLOOKUP("transport|PM25|Non-fatal heart attacks", US_national_yearly!$D:$AM, 25, FALSE) / VLOOKUP("transport|PM25|Non-fatal heart attacks", US_national_yearly!$D:$AM, 10, FALSE), 1)</f>
        <v>3.0675163019619378E-3</v>
      </c>
      <c r="R13" s="7">
        <f>$B13 * IFERROR(VLOOKUP("transport|PM25|Non-fatal heart attacks", US_national_yearly!$D:$AM, 26, FALSE) / VLOOKUP("transport|PM25|Non-fatal heart attacks", US_national_yearly!$D:$AM, 10, FALSE), 1)</f>
        <v>3.1000910517744616E-3</v>
      </c>
      <c r="S13" s="7">
        <f>$B13 * IFERROR(VLOOKUP("transport|PM25|Non-fatal heart attacks", US_national_yearly!$D:$AM, 27, FALSE) / VLOOKUP("transport|PM25|Non-fatal heart attacks", US_national_yearly!$D:$AM, 10, FALSE), 1)</f>
        <v>3.1172458456792361E-3</v>
      </c>
      <c r="T13" s="7">
        <f>$B13 * IFERROR(VLOOKUP("transport|PM25|Non-fatal heart attacks", US_national_yearly!$D:$AM, 28, FALSE) / VLOOKUP("transport|PM25|Non-fatal heart attacks", US_national_yearly!$D:$AM, 10, FALSE), 1)</f>
        <v>3.1344006395840115E-3</v>
      </c>
      <c r="U13" s="7">
        <f>$B13 * IFERROR(VLOOKUP("transport|PM25|Non-fatal heart attacks", US_national_yearly!$D:$AM, 29, FALSE) / VLOOKUP("transport|PM25|Non-fatal heart attacks", US_national_yearly!$D:$AM, 10, FALSE), 1)</f>
        <v>3.1515554334887873E-3</v>
      </c>
      <c r="V13" s="7">
        <f>$B13 * IFERROR(VLOOKUP("transport|PM25|Non-fatal heart attacks", US_national_yearly!$D:$AM, 30, FALSE) / VLOOKUP("transport|PM25|Non-fatal heart attacks", US_national_yearly!$D:$AM, 10, FALSE), 1)</f>
        <v>3.1687102273935622E-3</v>
      </c>
      <c r="W13" s="7">
        <f>$B13 * IFERROR(VLOOKUP("transport|PM25|Non-fatal heart attacks", US_national_yearly!$D:$AM, 31, FALSE) / VLOOKUP("transport|PM25|Non-fatal heart attacks", US_national_yearly!$D:$AM, 10, FALSE), 1)</f>
        <v>3.1858650212983372E-3</v>
      </c>
      <c r="X13" s="7">
        <f>$B13 * IFERROR(VLOOKUP("transport|PM25|Non-fatal heart attacks", US_national_yearly!$D:$AM, 32, FALSE) / VLOOKUP("transport|PM25|Non-fatal heart attacks", US_national_yearly!$D:$AM, 10, FALSE), 1)</f>
        <v>3.1988879904042799E-3</v>
      </c>
      <c r="Y13" s="7">
        <f>$B13 * IFERROR(VLOOKUP("transport|PM25|Non-fatal heart attacks", US_national_yearly!$D:$AM, 33, FALSE) / VLOOKUP("transport|PM25|Non-fatal heart attacks", US_national_yearly!$D:$AM, 10, FALSE), 1)</f>
        <v>3.2119109595102236E-3</v>
      </c>
      <c r="Z13" s="7">
        <f>$B13 * IFERROR(VLOOKUP("transport|PM25|Non-fatal heart attacks", US_national_yearly!$D:$AM, 34, FALSE) / VLOOKUP("transport|PM25|Non-fatal heart attacks", US_national_yearly!$D:$AM, 10, FALSE), 1)</f>
        <v>3.2249339286161663E-3</v>
      </c>
      <c r="AA13" s="7">
        <f>$B13 * IFERROR(VLOOKUP("transport|PM25|Non-fatal heart attacks", US_national_yearly!$D:$AM, 35, FALSE) / VLOOKUP("transport|PM25|Non-fatal heart attacks", US_national_yearly!$D:$AM, 10, FALSE), 1)</f>
        <v>3.2379568977221099E-3</v>
      </c>
      <c r="AB13" s="7">
        <f>$B13 * IFERROR(VLOOKUP("transport|PM25|Non-fatal heart attacks", US_national_yearly!$D:$AM, 36, FALSE) / VLOOKUP("transport|PM25|Non-fatal heart attacks", US_national_yearly!$D:$AM, 10, FALSE), 1)</f>
        <v>3.2509798668280531E-3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2.051203168273573</v>
      </c>
      <c r="C14" s="7">
        <f>$B14 * IFERROR(VLOOKUP("transport|PM25|Minor restricted activity days", US_national_yearly!$D:$AM, 11, FALSE) / VLOOKUP("transport|PM25|Minor restricted activity days", US_national_yearly!$D:$AM, 10, FALSE), 1)</f>
        <v>2.0562124496644936</v>
      </c>
      <c r="D14" s="7">
        <f>$B14 * IFERROR(VLOOKUP("transport|PM25|Minor restricted activity days", US_national_yearly!$D:$AM, 12, FALSE) / VLOOKUP("transport|PM25|Minor restricted activity days", US_national_yearly!$D:$AM, 10, FALSE), 1)</f>
        <v>2.0612217310554142</v>
      </c>
      <c r="E14" s="7">
        <f>$B14 * IFERROR(VLOOKUP("transport|PM25|Minor restricted activity days", US_national_yearly!$D:$AM, 13, FALSE) / VLOOKUP("transport|PM25|Minor restricted activity days", US_national_yearly!$D:$AM, 10, FALSE), 1)</f>
        <v>2.0662310124463357</v>
      </c>
      <c r="F14" s="7">
        <f>$B14 * IFERROR(VLOOKUP("transport|PM25|Minor restricted activity days", US_national_yearly!$D:$AM, 14, FALSE) / VLOOKUP("transport|PM25|Minor restricted activity days", US_national_yearly!$D:$AM, 10, FALSE), 1)</f>
        <v>2.0712402938372558</v>
      </c>
      <c r="G14" s="7">
        <f>$B14 * IFERROR(VLOOKUP("transport|PM25|Minor restricted activity days", US_national_yearly!$D:$AM, 15, FALSE) / VLOOKUP("transport|PM25|Minor restricted activity days", US_national_yearly!$D:$AM, 10, FALSE), 1)</f>
        <v>2.0786313386147586</v>
      </c>
      <c r="H14" s="7">
        <f>$B14 * IFERROR(VLOOKUP("transport|PM25|Minor restricted activity days", US_national_yearly!$D:$AM, 16, FALSE) / VLOOKUP("transport|PM25|Minor restricted activity days", US_national_yearly!$D:$AM, 10, FALSE), 1)</f>
        <v>2.0860223833922613</v>
      </c>
      <c r="I14" s="7">
        <f>$B14 * IFERROR(VLOOKUP("transport|PM25|Minor restricted activity days", US_national_yearly!$D:$AM, 17, FALSE) / VLOOKUP("transport|PM25|Minor restricted activity days", US_national_yearly!$D:$AM, 10, FALSE), 1)</f>
        <v>2.0986576853867964</v>
      </c>
      <c r="J14" s="7">
        <f>$B14 * IFERROR(VLOOKUP("transport|PM25|Minor restricted activity days", US_national_yearly!$D:$AM, 18, FALSE) / VLOOKUP("transport|PM25|Minor restricted activity days", US_national_yearly!$D:$AM, 10, FALSE), 1)</f>
        <v>2.1112929873813306</v>
      </c>
      <c r="K14" s="7">
        <f>$B14 * IFERROR(VLOOKUP("transport|PM25|Minor restricted activity days", US_national_yearly!$D:$AM, 19, FALSE) / VLOOKUP("transport|PM25|Minor restricted activity days", US_national_yearly!$D:$AM, 10, FALSE), 1)</f>
        <v>2.1239282893758653</v>
      </c>
      <c r="L14" s="7">
        <f>$B14 * IFERROR(VLOOKUP("transport|PM25|Minor restricted activity days", US_national_yearly!$D:$AM, 20, FALSE) / VLOOKUP("transport|PM25|Minor restricted activity days", US_national_yearly!$D:$AM, 10, FALSE), 1)</f>
        <v>2.1365635913704</v>
      </c>
      <c r="M14" s="7">
        <f>$B14 * IFERROR(VLOOKUP("transport|PM25|Minor restricted activity days", US_national_yearly!$D:$AM, 21, FALSE) / VLOOKUP("transport|PM25|Minor restricted activity days", US_national_yearly!$D:$AM, 10, FALSE), 1)</f>
        <v>2.1491988933649346</v>
      </c>
      <c r="N14" s="7">
        <f>$B14 * IFERROR(VLOOKUP("transport|PM25|Minor restricted activity days", US_national_yearly!$D:$AM, 22, FALSE) / VLOOKUP("transport|PM25|Minor restricted activity days", US_national_yearly!$D:$AM, 10, FALSE), 1)</f>
        <v>2.1664106903656442</v>
      </c>
      <c r="O14" s="7">
        <f>$B14 * IFERROR(VLOOKUP("transport|PM25|Minor restricted activity days", US_national_yearly!$D:$AM, 23, FALSE) / VLOOKUP("transport|PM25|Minor restricted activity days", US_national_yearly!$D:$AM, 10, FALSE), 1)</f>
        <v>2.1836224873663528</v>
      </c>
      <c r="P14" s="7">
        <f>$B14 * IFERROR(VLOOKUP("transport|PM25|Minor restricted activity days", US_national_yearly!$D:$AM, 24, FALSE) / VLOOKUP("transport|PM25|Minor restricted activity days", US_national_yearly!$D:$AM, 10, FALSE), 1)</f>
        <v>2.2008342843670623</v>
      </c>
      <c r="Q14" s="7">
        <f>$B14 * IFERROR(VLOOKUP("transport|PM25|Minor restricted activity days", US_national_yearly!$D:$AM, 25, FALSE) / VLOOKUP("transport|PM25|Minor restricted activity days", US_national_yearly!$D:$AM, 10, FALSE), 1)</f>
        <v>2.2180460813677714</v>
      </c>
      <c r="R14" s="7">
        <f>$B14 * IFERROR(VLOOKUP("transport|PM25|Minor restricted activity days", US_national_yearly!$D:$AM, 26, FALSE) / VLOOKUP("transport|PM25|Minor restricted activity days", US_national_yearly!$D:$AM, 10, FALSE), 1)</f>
        <v>2.23525787836848</v>
      </c>
      <c r="S14" s="7">
        <f>$B14 * IFERROR(VLOOKUP("transport|PM25|Minor restricted activity days", US_national_yearly!$D:$AM, 27, FALSE) / VLOOKUP("transport|PM25|Minor restricted activity days", US_national_yearly!$D:$AM, 10, FALSE), 1)</f>
        <v>2.2525882073751817</v>
      </c>
      <c r="T14" s="7">
        <f>$B14 * IFERROR(VLOOKUP("transport|PM25|Minor restricted activity days", US_national_yearly!$D:$AM, 28, FALSE) / VLOOKUP("transport|PM25|Minor restricted activity days", US_national_yearly!$D:$AM, 10, FALSE), 1)</f>
        <v>2.2699185363818835</v>
      </c>
      <c r="U14" s="7">
        <f>$B14 * IFERROR(VLOOKUP("transport|PM25|Minor restricted activity days", US_national_yearly!$D:$AM, 29, FALSE) / VLOOKUP("transport|PM25|Minor restricted activity days", US_national_yearly!$D:$AM, 10, FALSE), 1)</f>
        <v>2.2872488653885856</v>
      </c>
      <c r="V14" s="7">
        <f>$B14 * IFERROR(VLOOKUP("transport|PM25|Minor restricted activity days", US_national_yearly!$D:$AM, 30, FALSE) / VLOOKUP("transport|PM25|Minor restricted activity days", US_national_yearly!$D:$AM, 10, FALSE), 1)</f>
        <v>2.3045791943952874</v>
      </c>
      <c r="W14" s="7">
        <f>$B14 * IFERROR(VLOOKUP("transport|PM25|Minor restricted activity days", US_national_yearly!$D:$AM, 31, FALSE) / VLOOKUP("transport|PM25|Minor restricted activity days", US_national_yearly!$D:$AM, 10, FALSE), 1)</f>
        <v>2.3219095234019891</v>
      </c>
      <c r="X14" s="7">
        <f>$B14 * IFERROR(VLOOKUP("transport|PM25|Minor restricted activity days", US_national_yearly!$D:$AM, 32, FALSE) / VLOOKUP("transport|PM25|Minor restricted activity days", US_national_yearly!$D:$AM, 10, FALSE), 1)</f>
        <v>2.3369539924440756</v>
      </c>
      <c r="Y14" s="7">
        <f>$B14 * IFERROR(VLOOKUP("transport|PM25|Minor restricted activity days", US_national_yearly!$D:$AM, 33, FALSE) / VLOOKUP("transport|PM25|Minor restricted activity days", US_national_yearly!$D:$AM, 10, FALSE), 1)</f>
        <v>2.3519984614861622</v>
      </c>
      <c r="Z14" s="7">
        <f>$B14 * IFERROR(VLOOKUP("transport|PM25|Minor restricted activity days", US_national_yearly!$D:$AM, 34, FALSE) / VLOOKUP("transport|PM25|Minor restricted activity days", US_national_yearly!$D:$AM, 10, FALSE), 1)</f>
        <v>2.3670429305282488</v>
      </c>
      <c r="AA14" s="7">
        <f>$B14 * IFERROR(VLOOKUP("transport|PM25|Minor restricted activity days", US_national_yearly!$D:$AM, 35, FALSE) / VLOOKUP("transport|PM25|Minor restricted activity days", US_national_yearly!$D:$AM, 10, FALSE), 1)</f>
        <v>2.3820873995703349</v>
      </c>
      <c r="AB14" s="7">
        <f>$B14 * IFERROR(VLOOKUP("transport|PM25|Minor restricted activity days", US_national_yearly!$D:$AM, 36, FALSE) / VLOOKUP("transport|PM25|Minor restricted activity days", US_national_yearly!$D:$AM, 10, FALSE), 1)</f>
        <v>2.3971318686124214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0.34838371276641561</v>
      </c>
      <c r="C15" s="7">
        <f>$B15 * IFERROR(VLOOKUP("transport|PM25|Work loss days", US_national_yearly!$D:$AM, 11, FALSE) / VLOOKUP("transport|PM25|Work loss days", US_national_yearly!$D:$AM, 10, FALSE), 1)</f>
        <v>0.3494635767983526</v>
      </c>
      <c r="D15" s="7">
        <f>$B15 * IFERROR(VLOOKUP("transport|PM25|Work loss days", US_national_yearly!$D:$AM, 12, FALSE) / VLOOKUP("transport|PM25|Work loss days", US_national_yearly!$D:$AM, 10, FALSE), 1)</f>
        <v>0.35054344083028965</v>
      </c>
      <c r="E15" s="7">
        <f>$B15 * IFERROR(VLOOKUP("transport|PM25|Work loss days", US_national_yearly!$D:$AM, 13, FALSE) / VLOOKUP("transport|PM25|Work loss days", US_national_yearly!$D:$AM, 10, FALSE), 1)</f>
        <v>0.35162330486222665</v>
      </c>
      <c r="F15" s="7">
        <f>$B15 * IFERROR(VLOOKUP("transport|PM25|Work loss days", US_national_yearly!$D:$AM, 14, FALSE) / VLOOKUP("transport|PM25|Work loss days", US_national_yearly!$D:$AM, 10, FALSE), 1)</f>
        <v>0.35270316889416364</v>
      </c>
      <c r="G15" s="7">
        <f>$B15 * IFERROR(VLOOKUP("transport|PM25|Work loss days", US_national_yearly!$D:$AM, 15, FALSE) / VLOOKUP("transport|PM25|Work loss days", US_national_yearly!$D:$AM, 10, FALSE), 1)</f>
        <v>0.35411893954719265</v>
      </c>
      <c r="H15" s="7">
        <f>$B15 * IFERROR(VLOOKUP("transport|PM25|Work loss days", US_national_yearly!$D:$AM, 16, FALSE) / VLOOKUP("transport|PM25|Work loss days", US_national_yearly!$D:$AM, 10, FALSE), 1)</f>
        <v>0.35553471020022165</v>
      </c>
      <c r="I15" s="7">
        <f>$B15 * IFERROR(VLOOKUP("transport|PM25|Work loss days", US_national_yearly!$D:$AM, 17, FALSE) / VLOOKUP("transport|PM25|Work loss days", US_national_yearly!$D:$AM, 10, FALSE), 1)</f>
        <v>0.35761958820021172</v>
      </c>
      <c r="J15" s="7">
        <f>$B15 * IFERROR(VLOOKUP("transport|PM25|Work loss days", US_national_yearly!$D:$AM, 18, FALSE) / VLOOKUP("transport|PM25|Work loss days", US_national_yearly!$D:$AM, 10, FALSE), 1)</f>
        <v>0.3597044662002018</v>
      </c>
      <c r="K15" s="7">
        <f>$B15 * IFERROR(VLOOKUP("transport|PM25|Work loss days", US_national_yearly!$D:$AM, 19, FALSE) / VLOOKUP("transport|PM25|Work loss days", US_national_yearly!$D:$AM, 10, FALSE), 1)</f>
        <v>0.36178934420019182</v>
      </c>
      <c r="L15" s="7">
        <f>$B15 * IFERROR(VLOOKUP("transport|PM25|Work loss days", US_national_yearly!$D:$AM, 20, FALSE) / VLOOKUP("transport|PM25|Work loss days", US_national_yearly!$D:$AM, 10, FALSE), 1)</f>
        <v>0.3638742222001819</v>
      </c>
      <c r="M15" s="7">
        <f>$B15 * IFERROR(VLOOKUP("transport|PM25|Work loss days", US_national_yearly!$D:$AM, 21, FALSE) / VLOOKUP("transport|PM25|Work loss days", US_national_yearly!$D:$AM, 10, FALSE), 1)</f>
        <v>0.36595910020017197</v>
      </c>
      <c r="N15" s="7">
        <f>$B15 * IFERROR(VLOOKUP("transport|PM25|Work loss days", US_national_yearly!$D:$AM, 22, FALSE) / VLOOKUP("transport|PM25|Work loss days", US_national_yearly!$D:$AM, 10, FALSE), 1)</f>
        <v>0.36858307696507564</v>
      </c>
      <c r="O15" s="7">
        <f>$B15 * IFERROR(VLOOKUP("transport|PM25|Work loss days", US_national_yearly!$D:$AM, 23, FALSE) / VLOOKUP("transport|PM25|Work loss days", US_national_yearly!$D:$AM, 10, FALSE), 1)</f>
        <v>0.37120705372997931</v>
      </c>
      <c r="P15" s="7">
        <f>$B15 * IFERROR(VLOOKUP("transport|PM25|Work loss days", US_national_yearly!$D:$AM, 24, FALSE) / VLOOKUP("transport|PM25|Work loss days", US_national_yearly!$D:$AM, 10, FALSE), 1)</f>
        <v>0.37383103049488298</v>
      </c>
      <c r="Q15" s="7">
        <f>$B15 * IFERROR(VLOOKUP("transport|PM25|Work loss days", US_national_yearly!$D:$AM, 25, FALSE) / VLOOKUP("transport|PM25|Work loss days", US_national_yearly!$D:$AM, 10, FALSE), 1)</f>
        <v>0.37645500725978664</v>
      </c>
      <c r="R15" s="7">
        <f>$B15 * IFERROR(VLOOKUP("transport|PM25|Work loss days", US_national_yearly!$D:$AM, 26, FALSE) / VLOOKUP("transport|PM25|Work loss days", US_national_yearly!$D:$AM, 10, FALSE), 1)</f>
        <v>0.37907898402469031</v>
      </c>
      <c r="S15" s="7">
        <f>$B15 * IFERROR(VLOOKUP("transport|PM25|Work loss days", US_national_yearly!$D:$AM, 27, FALSE) / VLOOKUP("transport|PM25|Work loss days", US_national_yearly!$D:$AM, 10, FALSE), 1)</f>
        <v>0.38198121435330273</v>
      </c>
      <c r="T15" s="7">
        <f>$B15 * IFERROR(VLOOKUP("transport|PM25|Work loss days", US_national_yearly!$D:$AM, 28, FALSE) / VLOOKUP("transport|PM25|Work loss days", US_national_yearly!$D:$AM, 10, FALSE), 1)</f>
        <v>0.38488344468191521</v>
      </c>
      <c r="U15" s="7">
        <f>$B15 * IFERROR(VLOOKUP("transport|PM25|Work loss days", US_national_yearly!$D:$AM, 29, FALSE) / VLOOKUP("transport|PM25|Work loss days", US_national_yearly!$D:$AM, 10, FALSE), 1)</f>
        <v>0.38778567501052752</v>
      </c>
      <c r="V15" s="7">
        <f>$B15 * IFERROR(VLOOKUP("transport|PM25|Work loss days", US_national_yearly!$D:$AM, 30, FALSE) / VLOOKUP("transport|PM25|Work loss days", US_national_yearly!$D:$AM, 10, FALSE), 1)</f>
        <v>0.39068790533913994</v>
      </c>
      <c r="W15" s="7">
        <f>$B15 * IFERROR(VLOOKUP("transport|PM25|Work loss days", US_national_yearly!$D:$AM, 31, FALSE) / VLOOKUP("transport|PM25|Work loss days", US_national_yearly!$D:$AM, 10, FALSE), 1)</f>
        <v>0.39359013566775236</v>
      </c>
      <c r="X15" s="7">
        <f>$B15 * IFERROR(VLOOKUP("transport|PM25|Work loss days", US_national_yearly!$D:$AM, 32, FALSE) / VLOOKUP("transport|PM25|Work loss days", US_national_yearly!$D:$AM, 10, FALSE), 1)</f>
        <v>0.39616519671126416</v>
      </c>
      <c r="Y15" s="7">
        <f>$B15 * IFERROR(VLOOKUP("transport|PM25|Work loss days", US_national_yearly!$D:$AM, 33, FALSE) / VLOOKUP("transport|PM25|Work loss days", US_national_yearly!$D:$AM, 10, FALSE), 1)</f>
        <v>0.39874025775477601</v>
      </c>
      <c r="Z15" s="7">
        <f>$B15 * IFERROR(VLOOKUP("transport|PM25|Work loss days", US_national_yearly!$D:$AM, 34, FALSE) / VLOOKUP("transport|PM25|Work loss days", US_national_yearly!$D:$AM, 10, FALSE), 1)</f>
        <v>0.40131531879828791</v>
      </c>
      <c r="AA15" s="7">
        <f>$B15 * IFERROR(VLOOKUP("transport|PM25|Work loss days", US_national_yearly!$D:$AM, 35, FALSE) / VLOOKUP("transport|PM25|Work loss days", US_national_yearly!$D:$AM, 10, FALSE), 1)</f>
        <v>0.40389037984179982</v>
      </c>
      <c r="AB15" s="7">
        <f>$B15 * IFERROR(VLOOKUP("transport|PM25|Work loss days", US_national_yearly!$D:$AM, 36, FALSE) / VLOOKUP("transport|PM25|Work loss days", US_national_yearly!$D:$AM, 10, FALSE), 1)</f>
        <v>0.40646544088531161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6.6804983693025913E-4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6.8801163190014732E-4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7.0797342687003572E-4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7.2793522183992401E-4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7.478970168098123E-4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7.670168506803954E-4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7.8613668455097872E-4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8.0248901619806121E-4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8.1884134784514337E-4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8.3519367949222564E-4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8.5154601113930813E-4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8.678983427863904E-4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8.7880081564103139E-4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8.897032884956726E-4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9.0060576135031359E-4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9.115082342049548E-4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9.224107070595958E-4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9.2817913306621864E-4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9.3394755907284137E-4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9.3971598507946389E-4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9.4548441108608663E-4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9.5125283709270936E-4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9.5513621735807109E-4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9.5901959762343281E-4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9.6290297788879453E-4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9.6678635815415626E-4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9.7066973841951809E-4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2.6451463084713141E-4</v>
      </c>
      <c r="C2" s="7">
        <f>$B2 * IFERROR(VLOOKUP("transport|NOx|Premature mortality", US_national_yearly!$D:$AM, 11, FALSE) / VLOOKUP("transport|NOx|Premature mortality", US_national_yearly!$D:$AM, 10, FALSE), 1)</f>
        <v>2.6839990367755526E-4</v>
      </c>
      <c r="D2" s="7">
        <f>$B2 * IFERROR(VLOOKUP("transport|NOx|Premature mortality", US_national_yearly!$D:$AM, 12, FALSE) / VLOOKUP("transport|NOx|Premature mortality", US_national_yearly!$D:$AM, 10, FALSE), 1)</f>
        <v>2.7228517650797906E-4</v>
      </c>
      <c r="E2" s="7">
        <f>$B2 * IFERROR(VLOOKUP("transport|NOx|Premature mortality", US_national_yearly!$D:$AM, 13, FALSE) / VLOOKUP("transport|NOx|Premature mortality", US_national_yearly!$D:$AM, 10, FALSE), 1)</f>
        <v>2.7617044933840292E-4</v>
      </c>
      <c r="F2" s="7">
        <f>$B2 * IFERROR(VLOOKUP("transport|NOx|Premature mortality", US_national_yearly!$D:$AM, 14, FALSE) / VLOOKUP("transport|NOx|Premature mortality", US_national_yearly!$D:$AM, 10, FALSE), 1)</f>
        <v>2.8005572216882683E-4</v>
      </c>
      <c r="G2" s="7">
        <f>$B2 * IFERROR(VLOOKUP("transport|NOx|Premature mortality", US_national_yearly!$D:$AM, 15, FALSE) / VLOOKUP("transport|NOx|Premature mortality", US_national_yearly!$D:$AM, 10, FALSE), 1)</f>
        <v>2.8703459074480553E-4</v>
      </c>
      <c r="H2" s="7">
        <f>$B2 * IFERROR(VLOOKUP("transport|NOx|Premature mortality", US_national_yearly!$D:$AM, 16, FALSE) / VLOOKUP("transport|NOx|Premature mortality", US_national_yearly!$D:$AM, 10, FALSE), 1)</f>
        <v>2.940134593207844E-4</v>
      </c>
      <c r="I2" s="7">
        <f>$B2 * IFERROR(VLOOKUP("transport|NOx|Premature mortality", US_national_yearly!$D:$AM, 17, FALSE) / VLOOKUP("transport|NOx|Premature mortality", US_national_yearly!$D:$AM, 10, FALSE), 1)</f>
        <v>2.9851845136618944E-4</v>
      </c>
      <c r="J2" s="7">
        <f>$B2 * IFERROR(VLOOKUP("transport|NOx|Premature mortality", US_national_yearly!$D:$AM, 18, FALSE) / VLOOKUP("transport|NOx|Premature mortality", US_national_yearly!$D:$AM, 10, FALSE), 1)</f>
        <v>3.0302344341159447E-4</v>
      </c>
      <c r="K2" s="7">
        <f>$B2 * IFERROR(VLOOKUP("transport|NOx|Premature mortality", US_national_yearly!$D:$AM, 19, FALSE) / VLOOKUP("transport|NOx|Premature mortality", US_national_yearly!$D:$AM, 10, FALSE), 1)</f>
        <v>3.0752843545699945E-4</v>
      </c>
      <c r="L2" s="7">
        <f>$B2 * IFERROR(VLOOKUP("transport|NOx|Premature mortality", US_national_yearly!$D:$AM, 20, FALSE) / VLOOKUP("transport|NOx|Premature mortality", US_national_yearly!$D:$AM, 10, FALSE), 1)</f>
        <v>3.1203342750240443E-4</v>
      </c>
      <c r="M2" s="7">
        <f>$B2 * IFERROR(VLOOKUP("transport|NOx|Premature mortality", US_national_yearly!$D:$AM, 21, FALSE) / VLOOKUP("transport|NOx|Premature mortality", US_national_yearly!$D:$AM, 10, FALSE), 1)</f>
        <v>3.1653841954780952E-4</v>
      </c>
      <c r="N2" s="7">
        <f>$B2 * IFERROR(VLOOKUP("transport|NOx|Premature mortality", US_national_yearly!$D:$AM, 22, FALSE) / VLOOKUP("transport|NOx|Premature mortality", US_national_yearly!$D:$AM, 10, FALSE), 1)</f>
        <v>3.1987570014169208E-4</v>
      </c>
      <c r="O2" s="7">
        <f>$B2 * IFERROR(VLOOKUP("transport|NOx|Premature mortality", US_national_yearly!$D:$AM, 23, FALSE) / VLOOKUP("transport|NOx|Premature mortality", US_national_yearly!$D:$AM, 10, FALSE), 1)</f>
        <v>3.232129807355747E-4</v>
      </c>
      <c r="P2" s="7">
        <f>$B2 * IFERROR(VLOOKUP("transport|NOx|Premature mortality", US_national_yearly!$D:$AM, 24, FALSE) / VLOOKUP("transport|NOx|Premature mortality", US_national_yearly!$D:$AM, 10, FALSE), 1)</f>
        <v>3.2655026132945726E-4</v>
      </c>
      <c r="Q2" s="7">
        <f>$B2 * IFERROR(VLOOKUP("transport|NOx|Premature mortality", US_national_yearly!$D:$AM, 25, FALSE) / VLOOKUP("transport|NOx|Premature mortality", US_national_yearly!$D:$AM, 10, FALSE), 1)</f>
        <v>3.2988754192333992E-4</v>
      </c>
      <c r="R2" s="7">
        <f>$B2 * IFERROR(VLOOKUP("transport|NOx|Premature mortality", US_national_yearly!$D:$AM, 26, FALSE) / VLOOKUP("transport|NOx|Premature mortality", US_national_yearly!$D:$AM, 10, FALSE), 1)</f>
        <v>3.3322482251722248E-4</v>
      </c>
      <c r="S2" s="7">
        <f>$B2 * IFERROR(VLOOKUP("transport|NOx|Premature mortality", US_national_yearly!$D:$AM, 27, FALSE) / VLOOKUP("transport|NOx|Premature mortality", US_national_yearly!$D:$AM, 10, FALSE), 1)</f>
        <v>3.3474165015311114E-4</v>
      </c>
      <c r="T2" s="7">
        <f>$B2 * IFERROR(VLOOKUP("transport|NOx|Premature mortality", US_national_yearly!$D:$AM, 28, FALSE) / VLOOKUP("transport|NOx|Premature mortality", US_national_yearly!$D:$AM, 10, FALSE), 1)</f>
        <v>3.362584777889998E-4</v>
      </c>
      <c r="U2" s="7">
        <f>$B2 * IFERROR(VLOOKUP("transport|NOx|Premature mortality", US_national_yearly!$D:$AM, 29, FALSE) / VLOOKUP("transport|NOx|Premature mortality", US_national_yearly!$D:$AM, 10, FALSE), 1)</f>
        <v>3.3777530542488841E-4</v>
      </c>
      <c r="V2" s="7">
        <f>$B2 * IFERROR(VLOOKUP("transport|NOx|Premature mortality", US_national_yearly!$D:$AM, 30, FALSE) / VLOOKUP("transport|NOx|Premature mortality", US_national_yearly!$D:$AM, 10, FALSE), 1)</f>
        <v>3.3929213306077701E-4</v>
      </c>
      <c r="W2" s="7">
        <f>$B2 * IFERROR(VLOOKUP("transport|NOx|Premature mortality", US_national_yearly!$D:$AM, 31, FALSE) / VLOOKUP("transport|NOx|Premature mortality", US_national_yearly!$D:$AM, 10, FALSE), 1)</f>
        <v>3.4080896069666573E-4</v>
      </c>
      <c r="X2" s="7">
        <f>$B2 * IFERROR(VLOOKUP("transport|NOx|Premature mortality", US_national_yearly!$D:$AM, 32, FALSE) / VLOOKUP("transport|NOx|Premature mortality", US_national_yearly!$D:$AM, 10, FALSE), 1)</f>
        <v>3.4086150273530686E-4</v>
      </c>
      <c r="Y2" s="7">
        <f>$B2 * IFERROR(VLOOKUP("transport|NOx|Premature mortality", US_national_yearly!$D:$AM, 33, FALSE) / VLOOKUP("transport|NOx|Premature mortality", US_national_yearly!$D:$AM, 10, FALSE), 1)</f>
        <v>3.4091404477394805E-4</v>
      </c>
      <c r="Z2" s="7">
        <f>$B2 * IFERROR(VLOOKUP("transport|NOx|Premature mortality", US_national_yearly!$D:$AM, 34, FALSE) / VLOOKUP("transport|NOx|Premature mortality", US_national_yearly!$D:$AM, 10, FALSE), 1)</f>
        <v>3.4096658681258914E-4</v>
      </c>
      <c r="AA2" s="7">
        <f>$B2 * IFERROR(VLOOKUP("transport|NOx|Premature mortality", US_national_yearly!$D:$AM, 35, FALSE) / VLOOKUP("transport|NOx|Premature mortality", US_national_yearly!$D:$AM, 10, FALSE), 1)</f>
        <v>3.4101912885123033E-4</v>
      </c>
      <c r="AB2" s="7">
        <f>$B2 * IFERROR(VLOOKUP("transport|NOx|Premature mortality", US_national_yearly!$D:$AM, 36, FALSE) / VLOOKUP("transport|NOx|Premature mortality", US_national_yearly!$D:$AM, 10, FALSE), 1)</f>
        <v>3.4107167088987152E-4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6.3278962996024596E-7</v>
      </c>
      <c r="C3" s="7">
        <f>$B3 * IFERROR(VLOOKUP("transport|NOx|Infant mortality", US_national_yearly!$D:$AM, 11, FALSE) / VLOOKUP("transport|NOx|Infant mortality", US_national_yearly!$D:$AM, 10, FALSE), 1)</f>
        <v>6.2676069628406723E-7</v>
      </c>
      <c r="D3" s="7">
        <f>$B3 * IFERROR(VLOOKUP("transport|NOx|Infant mortality", US_national_yearly!$D:$AM, 12, FALSE) / VLOOKUP("transport|NOx|Infant mortality", US_national_yearly!$D:$AM, 10, FALSE), 1)</f>
        <v>6.2073176260788851E-7</v>
      </c>
      <c r="E3" s="7">
        <f>$B3 * IFERROR(VLOOKUP("transport|NOx|Infant mortality", US_national_yearly!$D:$AM, 13, FALSE) / VLOOKUP("transport|NOx|Infant mortality", US_national_yearly!$D:$AM, 10, FALSE), 1)</f>
        <v>6.1470282893170978E-7</v>
      </c>
      <c r="F3" s="7">
        <f>$B3 * IFERROR(VLOOKUP("transport|NOx|Infant mortality", US_national_yearly!$D:$AM, 14, FALSE) / VLOOKUP("transport|NOx|Infant mortality", US_national_yearly!$D:$AM, 10, FALSE), 1)</f>
        <v>6.0867389525553105E-7</v>
      </c>
      <c r="G3" s="7">
        <f>$B3 * IFERROR(VLOOKUP("transport|NOx|Infant mortality", US_national_yearly!$D:$AM, 15, FALSE) / VLOOKUP("transport|NOx|Infant mortality", US_national_yearly!$D:$AM, 10, FALSE), 1)</f>
        <v>4.0406778858567904E-7</v>
      </c>
      <c r="H3" s="7">
        <f>$B3 * IFERROR(VLOOKUP("transport|NOx|Infant mortality", US_national_yearly!$D:$AM, 16, FALSE) / VLOOKUP("transport|NOx|Infant mortality", US_national_yearly!$D:$AM, 10, FALSE), 1)</f>
        <v>1.99461681915827E-7</v>
      </c>
      <c r="I3" s="7">
        <f>$B3 * IFERROR(VLOOKUP("transport|NOx|Infant mortality", US_national_yearly!$D:$AM, 17, FALSE) / VLOOKUP("transport|NOx|Infant mortality", US_national_yearly!$D:$AM, 10, FALSE), 1)</f>
        <v>1.9805129737789215E-7</v>
      </c>
      <c r="J3" s="7">
        <f>$B3 * IFERROR(VLOOKUP("transport|NOx|Infant mortality", US_national_yearly!$D:$AM, 18, FALSE) / VLOOKUP("transport|NOx|Infant mortality", US_national_yearly!$D:$AM, 10, FALSE), 1)</f>
        <v>1.9664091283995728E-7</v>
      </c>
      <c r="K3" s="7">
        <f>$B3 * IFERROR(VLOOKUP("transport|NOx|Infant mortality", US_national_yearly!$D:$AM, 19, FALSE) / VLOOKUP("transport|NOx|Infant mortality", US_national_yearly!$D:$AM, 10, FALSE), 1)</f>
        <v>1.952305283020224E-7</v>
      </c>
      <c r="L3" s="7">
        <f>$B3 * IFERROR(VLOOKUP("transport|NOx|Infant mortality", US_national_yearly!$D:$AM, 20, FALSE) / VLOOKUP("transport|NOx|Infant mortality", US_national_yearly!$D:$AM, 10, FALSE), 1)</f>
        <v>1.9382014376408755E-7</v>
      </c>
      <c r="M3" s="7">
        <f>$B3 * IFERROR(VLOOKUP("transport|NOx|Infant mortality", US_national_yearly!$D:$AM, 21, FALSE) / VLOOKUP("transport|NOx|Infant mortality", US_national_yearly!$D:$AM, 10, FALSE), 1)</f>
        <v>1.9240975922615267E-7</v>
      </c>
      <c r="N3" s="7">
        <f>$B3 * IFERROR(VLOOKUP("transport|NOx|Infant mortality", US_national_yearly!$D:$AM, 22, FALSE) / VLOOKUP("transport|NOx|Infant mortality", US_national_yearly!$D:$AM, 10, FALSE), 1)</f>
        <v>1.9147360494155333E-7</v>
      </c>
      <c r="O3" s="7">
        <f>$B3 * IFERROR(VLOOKUP("transport|NOx|Infant mortality", US_national_yearly!$D:$AM, 23, FALSE) / VLOOKUP("transport|NOx|Infant mortality", US_national_yearly!$D:$AM, 10, FALSE), 1)</f>
        <v>1.9053745065695396E-7</v>
      </c>
      <c r="P3" s="7">
        <f>$B3 * IFERROR(VLOOKUP("transport|NOx|Infant mortality", US_national_yearly!$D:$AM, 24, FALSE) / VLOOKUP("transport|NOx|Infant mortality", US_national_yearly!$D:$AM, 10, FALSE), 1)</f>
        <v>1.8960129637235462E-7</v>
      </c>
      <c r="Q3" s="7">
        <f>$B3 * IFERROR(VLOOKUP("transport|NOx|Infant mortality", US_national_yearly!$D:$AM, 25, FALSE) / VLOOKUP("transport|NOx|Infant mortality", US_national_yearly!$D:$AM, 10, FALSE), 1)</f>
        <v>1.8866514208775525E-7</v>
      </c>
      <c r="R3" s="7">
        <f>$B3 * IFERROR(VLOOKUP("transport|NOx|Infant mortality", US_national_yearly!$D:$AM, 26, FALSE) / VLOOKUP("transport|NOx|Infant mortality", US_national_yearly!$D:$AM, 10, FALSE), 1)</f>
        <v>1.877289878031559E-7</v>
      </c>
      <c r="S3" s="7">
        <f>$B3 * IFERROR(VLOOKUP("transport|NOx|Infant mortality", US_national_yearly!$D:$AM, 27, FALSE) / VLOOKUP("transport|NOx|Infant mortality", US_national_yearly!$D:$AM, 10, FALSE), 1)</f>
        <v>1.8660358148223164E-7</v>
      </c>
      <c r="T3" s="7">
        <f>$B3 * IFERROR(VLOOKUP("transport|NOx|Infant mortality", US_national_yearly!$D:$AM, 28, FALSE) / VLOOKUP("transport|NOx|Infant mortality", US_national_yearly!$D:$AM, 10, FALSE), 1)</f>
        <v>1.8547817516130741E-7</v>
      </c>
      <c r="U3" s="7">
        <f>$B3 * IFERROR(VLOOKUP("transport|NOx|Infant mortality", US_national_yearly!$D:$AM, 29, FALSE) / VLOOKUP("transport|NOx|Infant mortality", US_national_yearly!$D:$AM, 10, FALSE), 1)</f>
        <v>1.8435276884038314E-7</v>
      </c>
      <c r="V3" s="7">
        <f>$B3 * IFERROR(VLOOKUP("transport|NOx|Infant mortality", US_national_yearly!$D:$AM, 30, FALSE) / VLOOKUP("transport|NOx|Infant mortality", US_national_yearly!$D:$AM, 10, FALSE), 1)</f>
        <v>1.8322736251945891E-7</v>
      </c>
      <c r="W3" s="7">
        <f>$B3 * IFERROR(VLOOKUP("transport|NOx|Infant mortality", US_national_yearly!$D:$AM, 31, FALSE) / VLOOKUP("transport|NOx|Infant mortality", US_national_yearly!$D:$AM, 10, FALSE), 1)</f>
        <v>1.8210195619853465E-7</v>
      </c>
      <c r="X3" s="7">
        <f>$B3 * IFERROR(VLOOKUP("transport|NOx|Infant mortality", US_national_yearly!$D:$AM, 32, FALSE) / VLOOKUP("transport|NOx|Infant mortality", US_national_yearly!$D:$AM, 10, FALSE), 1)</f>
        <v>1.8091009648224744E-7</v>
      </c>
      <c r="Y3" s="7">
        <f>$B3 * IFERROR(VLOOKUP("transport|NOx|Infant mortality", US_national_yearly!$D:$AM, 33, FALSE) / VLOOKUP("transport|NOx|Infant mortality", US_national_yearly!$D:$AM, 10, FALSE), 1)</f>
        <v>1.7971823676596017E-7</v>
      </c>
      <c r="Z3" s="7">
        <f>$B3 * IFERROR(VLOOKUP("transport|NOx|Infant mortality", US_national_yearly!$D:$AM, 34, FALSE) / VLOOKUP("transport|NOx|Infant mortality", US_national_yearly!$D:$AM, 10, FALSE), 1)</f>
        <v>1.7852637704967291E-7</v>
      </c>
      <c r="AA3" s="7">
        <f>$B3 * IFERROR(VLOOKUP("transport|NOx|Infant mortality", US_national_yearly!$D:$AM, 35, FALSE) / VLOOKUP("transport|NOx|Infant mortality", US_national_yearly!$D:$AM, 10, FALSE), 1)</f>
        <v>1.7733451733338564E-7</v>
      </c>
      <c r="AB3" s="7">
        <f>$B3 * IFERROR(VLOOKUP("transport|NOx|Infant mortality", US_national_yearly!$D:$AM, 36, FALSE) / VLOOKUP("transport|NOx|Infant mortality", US_national_yearly!$D:$AM, 10, FALSE), 1)</f>
        <v>1.7614265761709838E-7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6.8760737435730635E-4</v>
      </c>
      <c r="C6" s="7">
        <f>$B6 * IFERROR(VLOOKUP("transport|NOx|Asthma symptoms cough", US_national_yearly!$D:$AM, 11, FALSE) / VLOOKUP("transport|NOx|Asthma symptoms cough", US_national_yearly!$D:$AM, 10, FALSE), 1)</f>
        <v>6.9700809135832698E-4</v>
      </c>
      <c r="D6" s="7">
        <f>$B6 * IFERROR(VLOOKUP("transport|NOx|Asthma symptoms cough", US_national_yearly!$D:$AM, 12, FALSE) / VLOOKUP("transport|NOx|Asthma symptoms cough", US_national_yearly!$D:$AM, 10, FALSE), 1)</f>
        <v>7.0640880835934762E-4</v>
      </c>
      <c r="E6" s="7">
        <f>$B6 * IFERROR(VLOOKUP("transport|NOx|Asthma symptoms cough", US_national_yearly!$D:$AM, 13, FALSE) / VLOOKUP("transport|NOx|Asthma symptoms cough", US_national_yearly!$D:$AM, 10, FALSE), 1)</f>
        <v>7.1580952536036836E-4</v>
      </c>
      <c r="F6" s="7">
        <f>$B6 * IFERROR(VLOOKUP("transport|NOx|Asthma symptoms cough", US_national_yearly!$D:$AM, 14, FALSE) / VLOOKUP("transport|NOx|Asthma symptoms cough", US_national_yearly!$D:$AM, 10, FALSE), 1)</f>
        <v>7.2521024236138899E-4</v>
      </c>
      <c r="G6" s="7">
        <f>$B6 * IFERROR(VLOOKUP("transport|NOx|Asthma symptoms cough", US_national_yearly!$D:$AM, 15, FALSE) / VLOOKUP("transport|NOx|Asthma symptoms cough", US_national_yearly!$D:$AM, 10, FALSE), 1)</f>
        <v>7.3271540122525343E-4</v>
      </c>
      <c r="H6" s="7">
        <f>$B6 * IFERROR(VLOOKUP("transport|NOx|Asthma symptoms cough", US_national_yearly!$D:$AM, 16, FALSE) / VLOOKUP("transport|NOx|Asthma symptoms cough", US_national_yearly!$D:$AM, 10, FALSE), 1)</f>
        <v>7.4022056008911808E-4</v>
      </c>
      <c r="I6" s="7">
        <f>$B6 * IFERROR(VLOOKUP("transport|NOx|Asthma symptoms cough", US_national_yearly!$D:$AM, 17, FALSE) / VLOOKUP("transport|NOx|Asthma symptoms cough", US_national_yearly!$D:$AM, 10, FALSE), 1)</f>
        <v>7.4280372847817567E-4</v>
      </c>
      <c r="J6" s="7">
        <f>$B6 * IFERROR(VLOOKUP("transport|NOx|Asthma symptoms cough", US_national_yearly!$D:$AM, 18, FALSE) / VLOOKUP("transport|NOx|Asthma symptoms cough", US_national_yearly!$D:$AM, 10, FALSE), 1)</f>
        <v>7.4538689686723327E-4</v>
      </c>
      <c r="K6" s="7">
        <f>$B6 * IFERROR(VLOOKUP("transport|NOx|Asthma symptoms cough", US_national_yearly!$D:$AM, 19, FALSE) / VLOOKUP("transport|NOx|Asthma symptoms cough", US_national_yearly!$D:$AM, 10, FALSE), 1)</f>
        <v>7.4797006525629075E-4</v>
      </c>
      <c r="L6" s="7">
        <f>$B6 * IFERROR(VLOOKUP("transport|NOx|Asthma symptoms cough", US_national_yearly!$D:$AM, 20, FALSE) / VLOOKUP("transport|NOx|Asthma symptoms cough", US_national_yearly!$D:$AM, 10, FALSE), 1)</f>
        <v>7.5055323364534824E-4</v>
      </c>
      <c r="M6" s="7">
        <f>$B6 * IFERROR(VLOOKUP("transport|NOx|Asthma symptoms cough", US_national_yearly!$D:$AM, 21, FALSE) / VLOOKUP("transport|NOx|Asthma symptoms cough", US_national_yearly!$D:$AM, 10, FALSE), 1)</f>
        <v>7.5313640203440594E-4</v>
      </c>
      <c r="N6" s="7">
        <f>$B6 * IFERROR(VLOOKUP("transport|NOx|Asthma symptoms cough", US_national_yearly!$D:$AM, 22, FALSE) / VLOOKUP("transport|NOx|Asthma symptoms cough", US_national_yearly!$D:$AM, 10, FALSE), 1)</f>
        <v>7.5613177814301503E-4</v>
      </c>
      <c r="O6" s="7">
        <f>$B6 * IFERROR(VLOOKUP("transport|NOx|Asthma symptoms cough", US_national_yearly!$D:$AM, 23, FALSE) / VLOOKUP("transport|NOx|Asthma symptoms cough", US_national_yearly!$D:$AM, 10, FALSE), 1)</f>
        <v>7.5912715425162413E-4</v>
      </c>
      <c r="P6" s="7">
        <f>$B6 * IFERROR(VLOOKUP("transport|NOx|Asthma symptoms cough", US_national_yearly!$D:$AM, 24, FALSE) / VLOOKUP("transport|NOx|Asthma symptoms cough", US_national_yearly!$D:$AM, 10, FALSE), 1)</f>
        <v>7.6212253036023322E-4</v>
      </c>
      <c r="Q6" s="7">
        <f>$B6 * IFERROR(VLOOKUP("transport|NOx|Asthma symptoms cough", US_national_yearly!$D:$AM, 25, FALSE) / VLOOKUP("transport|NOx|Asthma symptoms cough", US_national_yearly!$D:$AM, 10, FALSE), 1)</f>
        <v>7.6511790646884253E-4</v>
      </c>
      <c r="R6" s="7">
        <f>$B6 * IFERROR(VLOOKUP("transport|NOx|Asthma symptoms cough", US_national_yearly!$D:$AM, 26, FALSE) / VLOOKUP("transport|NOx|Asthma symptoms cough", US_national_yearly!$D:$AM, 10, FALSE), 1)</f>
        <v>7.6811328257745163E-4</v>
      </c>
      <c r="S6" s="7">
        <f>$B6 * IFERROR(VLOOKUP("transport|NOx|Asthma symptoms cough", US_national_yearly!$D:$AM, 27, FALSE) / VLOOKUP("transport|NOx|Asthma symptoms cough", US_national_yearly!$D:$AM, 10, FALSE), 1)</f>
        <v>7.7202619779551649E-4</v>
      </c>
      <c r="T6" s="7">
        <f>$B6 * IFERROR(VLOOKUP("transport|NOx|Asthma symptoms cough", US_national_yearly!$D:$AM, 28, FALSE) / VLOOKUP("transport|NOx|Asthma symptoms cough", US_national_yearly!$D:$AM, 10, FALSE), 1)</f>
        <v>7.7593911301358125E-4</v>
      </c>
      <c r="U6" s="7">
        <f>$B6 * IFERROR(VLOOKUP("transport|NOx|Asthma symptoms cough", US_national_yearly!$D:$AM, 29, FALSE) / VLOOKUP("transport|NOx|Asthma symptoms cough", US_national_yearly!$D:$AM, 10, FALSE), 1)</f>
        <v>7.7985202823164579E-4</v>
      </c>
      <c r="V6" s="7">
        <f>$B6 * IFERROR(VLOOKUP("transport|NOx|Asthma symptoms cough", US_national_yearly!$D:$AM, 30, FALSE) / VLOOKUP("transport|NOx|Asthma symptoms cough", US_national_yearly!$D:$AM, 10, FALSE), 1)</f>
        <v>7.8376494344971066E-4</v>
      </c>
      <c r="W6" s="7">
        <f>$B6 * IFERROR(VLOOKUP("transport|NOx|Asthma symptoms cough", US_national_yearly!$D:$AM, 31, FALSE) / VLOOKUP("transport|NOx|Asthma symptoms cough", US_national_yearly!$D:$AM, 10, FALSE), 1)</f>
        <v>7.8767785866777542E-4</v>
      </c>
      <c r="X6" s="7">
        <f>$B6 * IFERROR(VLOOKUP("transport|NOx|Asthma symptoms cough", US_national_yearly!$D:$AM, 32, FALSE) / VLOOKUP("transport|NOx|Asthma symptoms cough", US_national_yearly!$D:$AM, 10, FALSE), 1)</f>
        <v>7.9131351913472379E-4</v>
      </c>
      <c r="Y6" s="7">
        <f>$B6 * IFERROR(VLOOKUP("transport|NOx|Asthma symptoms cough", US_national_yearly!$D:$AM, 33, FALSE) / VLOOKUP("transport|NOx|Asthma symptoms cough", US_national_yearly!$D:$AM, 10, FALSE), 1)</f>
        <v>7.9494917960167217E-4</v>
      </c>
      <c r="Z6" s="7">
        <f>$B6 * IFERROR(VLOOKUP("transport|NOx|Asthma symptoms cough", US_national_yearly!$D:$AM, 34, FALSE) / VLOOKUP("transport|NOx|Asthma symptoms cough", US_national_yearly!$D:$AM, 10, FALSE), 1)</f>
        <v>7.9858484006862043E-4</v>
      </c>
      <c r="AA6" s="7">
        <f>$B6 * IFERROR(VLOOKUP("transport|NOx|Asthma symptoms cough", US_national_yearly!$D:$AM, 35, FALSE) / VLOOKUP("transport|NOx|Asthma symptoms cough", US_national_yearly!$D:$AM, 10, FALSE), 1)</f>
        <v>8.022205005355688E-4</v>
      </c>
      <c r="AB6" s="7">
        <f>$B6 * IFERROR(VLOOKUP("transport|NOx|Asthma symptoms cough", US_national_yearly!$D:$AM, 36, FALSE) / VLOOKUP("transport|NOx|Asthma symptoms cough", US_national_yearly!$D:$AM, 10, FALSE), 1)</f>
        <v>8.0585616100251728E-4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9.2594577831094809E-4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9.3860497095197724E-4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9.5126416359300617E-4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9.6392335623403532E-4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9.7658254887506447E-4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9.8668914518748726E-4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9.9679574149991027E-4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1.0002742874519396E-3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1.003752833403969E-3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1.0072313793559984E-3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1.0107099253080277E-3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1.0141884712600571E-3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1.0182221043429087E-3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1.0222557374257603E-3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1.026289370508612E-3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1.0303230035914636E-3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1.0343566366743152E-3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1.0396258461979032E-3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1.0448950557214913E-3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1.0501642652450793E-3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1.055433474768667E-3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1.060702684292255E-3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1.0655985370456986E-3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1.0704943897991421E-3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1.0753902425525859E-3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1.0802860953060295E-3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1.0851819480594731E-3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1.4147500094418733E-3</v>
      </c>
      <c r="C8" s="7">
        <f>$B8 * IFERROR(VLOOKUP("transport|NOx|Asthma symptoms wheeze", US_national_yearly!$D:$AM, 11, FALSE) / VLOOKUP("transport|NOx|Asthma symptoms wheeze", US_national_yearly!$D:$AM, 10, FALSE), 1)</f>
        <v>1.4340919551223204E-3</v>
      </c>
      <c r="D8" s="7">
        <f>$B8 * IFERROR(VLOOKUP("transport|NOx|Asthma symptoms wheeze", US_national_yearly!$D:$AM, 12, FALSE) / VLOOKUP("transport|NOx|Asthma symptoms wheeze", US_national_yearly!$D:$AM, 10, FALSE), 1)</f>
        <v>1.4534339008027682E-3</v>
      </c>
      <c r="E8" s="7">
        <f>$B8 * IFERROR(VLOOKUP("transport|NOx|Asthma symptoms wheeze", US_national_yearly!$D:$AM, 13, FALSE) / VLOOKUP("transport|NOx|Asthma symptoms wheeze", US_national_yearly!$D:$AM, 10, FALSE), 1)</f>
        <v>1.4727758464832153E-3</v>
      </c>
      <c r="F8" s="7">
        <f>$B8 * IFERROR(VLOOKUP("transport|NOx|Asthma symptoms wheeze", US_national_yearly!$D:$AM, 14, FALSE) / VLOOKUP("transport|NOx|Asthma symptoms wheeze", US_national_yearly!$D:$AM, 10, FALSE), 1)</f>
        <v>1.4921177921636624E-3</v>
      </c>
      <c r="G8" s="7">
        <f>$B8 * IFERROR(VLOOKUP("transport|NOx|Asthma symptoms wheeze", US_national_yearly!$D:$AM, 15, FALSE) / VLOOKUP("transport|NOx|Asthma symptoms wheeze", US_national_yearly!$D:$AM, 10, FALSE), 1)</f>
        <v>1.5075596329466984E-3</v>
      </c>
      <c r="H8" s="7">
        <f>$B8 * IFERROR(VLOOKUP("transport|NOx|Asthma symptoms wheeze", US_national_yearly!$D:$AM, 16, FALSE) / VLOOKUP("transport|NOx|Asthma symptoms wheeze", US_national_yearly!$D:$AM, 10, FALSE), 1)</f>
        <v>1.5230014737297342E-3</v>
      </c>
      <c r="I8" s="7">
        <f>$B8 * IFERROR(VLOOKUP("transport|NOx|Asthma symptoms wheeze", US_national_yearly!$D:$AM, 17, FALSE) / VLOOKUP("transport|NOx|Asthma symptoms wheeze", US_national_yearly!$D:$AM, 10, FALSE), 1)</f>
        <v>1.5283163345941688E-3</v>
      </c>
      <c r="J8" s="7">
        <f>$B8 * IFERROR(VLOOKUP("transport|NOx|Asthma symptoms wheeze", US_national_yearly!$D:$AM, 18, FALSE) / VLOOKUP("transport|NOx|Asthma symptoms wheeze", US_national_yearly!$D:$AM, 10, FALSE), 1)</f>
        <v>1.5336311954586039E-3</v>
      </c>
      <c r="K8" s="7">
        <f>$B8 * IFERROR(VLOOKUP("transport|NOx|Asthma symptoms wheeze", US_national_yearly!$D:$AM, 19, FALSE) / VLOOKUP("transport|NOx|Asthma symptoms wheeze", US_national_yearly!$D:$AM, 10, FALSE), 1)</f>
        <v>1.5389460563230383E-3</v>
      </c>
      <c r="L8" s="7">
        <f>$B8 * IFERROR(VLOOKUP("transport|NOx|Asthma symptoms wheeze", US_national_yearly!$D:$AM, 20, FALSE) / VLOOKUP("transport|NOx|Asthma symptoms wheeze", US_national_yearly!$D:$AM, 10, FALSE), 1)</f>
        <v>1.5442609171874731E-3</v>
      </c>
      <c r="M8" s="7">
        <f>$B8 * IFERROR(VLOOKUP("transport|NOx|Asthma symptoms wheeze", US_national_yearly!$D:$AM, 21, FALSE) / VLOOKUP("transport|NOx|Asthma symptoms wheeze", US_national_yearly!$D:$AM, 10, FALSE), 1)</f>
        <v>1.5495757780519077E-3</v>
      </c>
      <c r="N8" s="7">
        <f>$B8 * IFERROR(VLOOKUP("transport|NOx|Asthma symptoms wheeze", US_national_yearly!$D:$AM, 22, FALSE) / VLOOKUP("transport|NOx|Asthma symptoms wheeze", US_national_yearly!$D:$AM, 10, FALSE), 1)</f>
        <v>1.5557387550098557E-3</v>
      </c>
      <c r="O8" s="7">
        <f>$B8 * IFERROR(VLOOKUP("transport|NOx|Asthma symptoms wheeze", US_national_yearly!$D:$AM, 23, FALSE) / VLOOKUP("transport|NOx|Asthma symptoms wheeze", US_national_yearly!$D:$AM, 10, FALSE), 1)</f>
        <v>1.5619017319678039E-3</v>
      </c>
      <c r="P8" s="7">
        <f>$B8 * IFERROR(VLOOKUP("transport|NOx|Asthma symptoms wheeze", US_national_yearly!$D:$AM, 24, FALSE) / VLOOKUP("transport|NOx|Asthma symptoms wheeze", US_national_yearly!$D:$AM, 10, FALSE), 1)</f>
        <v>1.568064708925752E-3</v>
      </c>
      <c r="Q8" s="7">
        <f>$B8 * IFERROR(VLOOKUP("transport|NOx|Asthma symptoms wheeze", US_national_yearly!$D:$AM, 25, FALSE) / VLOOKUP("transport|NOx|Asthma symptoms wheeze", US_national_yearly!$D:$AM, 10, FALSE), 1)</f>
        <v>1.5742276858837002E-3</v>
      </c>
      <c r="R8" s="7">
        <f>$B8 * IFERROR(VLOOKUP("transport|NOx|Asthma symptoms wheeze", US_national_yearly!$D:$AM, 26, FALSE) / VLOOKUP("transport|NOx|Asthma symptoms wheeze", US_national_yearly!$D:$AM, 10, FALSE), 1)</f>
        <v>1.5803906628416482E-3</v>
      </c>
      <c r="S8" s="7">
        <f>$B8 * IFERROR(VLOOKUP("transport|NOx|Asthma symptoms wheeze", US_national_yearly!$D:$AM, 27, FALSE) / VLOOKUP("transport|NOx|Asthma symptoms wheeze", US_national_yearly!$D:$AM, 10, FALSE), 1)</f>
        <v>1.5884414736375752E-3</v>
      </c>
      <c r="T8" s="7">
        <f>$B8 * IFERROR(VLOOKUP("transport|NOx|Asthma symptoms wheeze", US_national_yearly!$D:$AM, 28, FALSE) / VLOOKUP("transport|NOx|Asthma symptoms wheeze", US_national_yearly!$D:$AM, 10, FALSE), 1)</f>
        <v>1.5964922844335023E-3</v>
      </c>
      <c r="U8" s="7">
        <f>$B8 * IFERROR(VLOOKUP("transport|NOx|Asthma symptoms wheeze", US_national_yearly!$D:$AM, 29, FALSE) / VLOOKUP("transport|NOx|Asthma symptoms wheeze", US_national_yearly!$D:$AM, 10, FALSE), 1)</f>
        <v>1.6045430952294295E-3</v>
      </c>
      <c r="V8" s="7">
        <f>$B8 * IFERROR(VLOOKUP("transport|NOx|Asthma symptoms wheeze", US_national_yearly!$D:$AM, 30, FALSE) / VLOOKUP("transport|NOx|Asthma symptoms wheeze", US_national_yearly!$D:$AM, 10, FALSE), 1)</f>
        <v>1.6125939060253568E-3</v>
      </c>
      <c r="W8" s="7">
        <f>$B8 * IFERROR(VLOOKUP("transport|NOx|Asthma symptoms wheeze", US_national_yearly!$D:$AM, 31, FALSE) / VLOOKUP("transport|NOx|Asthma symptoms wheeze", US_national_yearly!$D:$AM, 10, FALSE), 1)</f>
        <v>1.6206447168212836E-3</v>
      </c>
      <c r="X8" s="7">
        <f>$B8 * IFERROR(VLOOKUP("transport|NOx|Asthma symptoms wheeze", US_national_yearly!$D:$AM, 32, FALSE) / VLOOKUP("transport|NOx|Asthma symptoms wheeze", US_national_yearly!$D:$AM, 10, FALSE), 1)</f>
        <v>1.6281250768333171E-3</v>
      </c>
      <c r="Y8" s="7">
        <f>$B8 * IFERROR(VLOOKUP("transport|NOx|Asthma symptoms wheeze", US_national_yearly!$D:$AM, 33, FALSE) / VLOOKUP("transport|NOx|Asthma symptoms wheeze", US_national_yearly!$D:$AM, 10, FALSE), 1)</f>
        <v>1.6356054368453501E-3</v>
      </c>
      <c r="Z8" s="7">
        <f>$B8 * IFERROR(VLOOKUP("transport|NOx|Asthma symptoms wheeze", US_national_yearly!$D:$AM, 34, FALSE) / VLOOKUP("transport|NOx|Asthma symptoms wheeze", US_national_yearly!$D:$AM, 10, FALSE), 1)</f>
        <v>1.6430857968573835E-3</v>
      </c>
      <c r="AA8" s="7">
        <f>$B8 * IFERROR(VLOOKUP("transport|NOx|Asthma symptoms wheeze", US_national_yearly!$D:$AM, 35, FALSE) / VLOOKUP("transport|NOx|Asthma symptoms wheeze", US_national_yearly!$D:$AM, 10, FALSE), 1)</f>
        <v>1.6505661568694166E-3</v>
      </c>
      <c r="AB8" s="7">
        <f>$B8 * IFERROR(VLOOKUP("transport|NOx|Asthma symptoms wheeze", US_national_yearly!$D:$AM, 36, FALSE) / VLOOKUP("transport|NOx|Asthma symptoms wheeze", US_national_yearly!$D:$AM, 10, FALSE), 1)</f>
        <v>1.65804651688145E-3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1.6409301875717445E-5</v>
      </c>
      <c r="C12" s="7">
        <f>$B12 * IFERROR(VLOOKUP("transport|NOx|Respiratory hospital admissions", US_national_yearly!$D:$AM, 11, FALSE) / VLOOKUP("transport|NOx|Respiratory hospital admissions", US_national_yearly!$D:$AM, 10, FALSE), 1)</f>
        <v>1.6818626409010838E-5</v>
      </c>
      <c r="D12" s="7">
        <f>$B12 * IFERROR(VLOOKUP("transport|NOx|Respiratory hospital admissions", US_national_yearly!$D:$AM, 12, FALSE) / VLOOKUP("transport|NOx|Respiratory hospital admissions", US_national_yearly!$D:$AM, 10, FALSE), 1)</f>
        <v>1.7227950942304233E-5</v>
      </c>
      <c r="E12" s="7">
        <f>$B12 * IFERROR(VLOOKUP("transport|NOx|Respiratory hospital admissions", US_national_yearly!$D:$AM, 13, FALSE) / VLOOKUP("transport|NOx|Respiratory hospital admissions", US_national_yearly!$D:$AM, 10, FALSE), 1)</f>
        <v>1.7637275475597629E-5</v>
      </c>
      <c r="F12" s="7">
        <f>$B12 * IFERROR(VLOOKUP("transport|NOx|Respiratory hospital admissions", US_national_yearly!$D:$AM, 14, FALSE) / VLOOKUP("transport|NOx|Respiratory hospital admissions", US_national_yearly!$D:$AM, 10, FALSE), 1)</f>
        <v>1.8046600008891025E-5</v>
      </c>
      <c r="G12" s="7">
        <f>$B12 * IFERROR(VLOOKUP("transport|NOx|Respiratory hospital admissions", US_national_yearly!$D:$AM, 15, FALSE) / VLOOKUP("transport|NOx|Respiratory hospital admissions", US_national_yearly!$D:$AM, 10, FALSE), 1)</f>
        <v>1.8437928194468253E-5</v>
      </c>
      <c r="H12" s="7">
        <f>$B12 * IFERROR(VLOOKUP("transport|NOx|Respiratory hospital admissions", US_national_yearly!$D:$AM, 16, FALSE) / VLOOKUP("transport|NOx|Respiratory hospital admissions", US_national_yearly!$D:$AM, 10, FALSE), 1)</f>
        <v>1.8829256380045481E-5</v>
      </c>
      <c r="I12" s="7">
        <f>$B12 * IFERROR(VLOOKUP("transport|NOx|Respiratory hospital admissions", US_national_yearly!$D:$AM, 17, FALSE) / VLOOKUP("transport|NOx|Respiratory hospital admissions", US_national_yearly!$D:$AM, 10, FALSE), 1)</f>
        <v>1.9161502054493893E-5</v>
      </c>
      <c r="J12" s="7">
        <f>$B12 * IFERROR(VLOOKUP("transport|NOx|Respiratory hospital admissions", US_national_yearly!$D:$AM, 18, FALSE) / VLOOKUP("transport|NOx|Respiratory hospital admissions", US_national_yearly!$D:$AM, 10, FALSE), 1)</f>
        <v>1.9493747728942302E-5</v>
      </c>
      <c r="K12" s="7">
        <f>$B12 * IFERROR(VLOOKUP("transport|NOx|Respiratory hospital admissions", US_national_yearly!$D:$AM, 19, FALSE) / VLOOKUP("transport|NOx|Respiratory hospital admissions", US_national_yearly!$D:$AM, 10, FALSE), 1)</f>
        <v>1.9825993403390714E-5</v>
      </c>
      <c r="L12" s="7">
        <f>$B12 * IFERROR(VLOOKUP("transport|NOx|Respiratory hospital admissions", US_national_yearly!$D:$AM, 20, FALSE) / VLOOKUP("transport|NOx|Respiratory hospital admissions", US_national_yearly!$D:$AM, 10, FALSE), 1)</f>
        <v>2.0158239077839129E-5</v>
      </c>
      <c r="M12" s="7">
        <f>$B12 * IFERROR(VLOOKUP("transport|NOx|Respiratory hospital admissions", US_national_yearly!$D:$AM, 21, FALSE) / VLOOKUP("transport|NOx|Respiratory hospital admissions", US_national_yearly!$D:$AM, 10, FALSE), 1)</f>
        <v>2.0490484752287541E-5</v>
      </c>
      <c r="N12" s="7">
        <f>$B12 * IFERROR(VLOOKUP("transport|NOx|Respiratory hospital admissions", US_national_yearly!$D:$AM, 22, FALSE) / VLOOKUP("transport|NOx|Respiratory hospital admissions", US_national_yearly!$D:$AM, 10, FALSE), 1)</f>
        <v>2.0712596967593269E-5</v>
      </c>
      <c r="O12" s="7">
        <f>$B12 * IFERROR(VLOOKUP("transport|NOx|Respiratory hospital admissions", US_national_yearly!$D:$AM, 23, FALSE) / VLOOKUP("transport|NOx|Respiratory hospital admissions", US_national_yearly!$D:$AM, 10, FALSE), 1)</f>
        <v>2.0934709182899004E-5</v>
      </c>
      <c r="P12" s="7">
        <f>$B12 * IFERROR(VLOOKUP("transport|NOx|Respiratory hospital admissions", US_national_yearly!$D:$AM, 24, FALSE) / VLOOKUP("transport|NOx|Respiratory hospital admissions", US_national_yearly!$D:$AM, 10, FALSE), 1)</f>
        <v>2.1156821398204735E-5</v>
      </c>
      <c r="Q12" s="7">
        <f>$B12 * IFERROR(VLOOKUP("transport|NOx|Respiratory hospital admissions", US_national_yearly!$D:$AM, 25, FALSE) / VLOOKUP("transport|NOx|Respiratory hospital admissions", US_national_yearly!$D:$AM, 10, FALSE), 1)</f>
        <v>2.137893361351047E-5</v>
      </c>
      <c r="R12" s="7">
        <f>$B12 * IFERROR(VLOOKUP("transport|NOx|Respiratory hospital admissions", US_national_yearly!$D:$AM, 26, FALSE) / VLOOKUP("transport|NOx|Respiratory hospital admissions", US_national_yearly!$D:$AM, 10, FALSE), 1)</f>
        <v>2.1601045828816201E-5</v>
      </c>
      <c r="S12" s="7">
        <f>$B12 * IFERROR(VLOOKUP("transport|NOx|Respiratory hospital admissions", US_national_yearly!$D:$AM, 27, FALSE) / VLOOKUP("transport|NOx|Respiratory hospital admissions", US_national_yearly!$D:$AM, 10, FALSE), 1)</f>
        <v>2.1720047535233124E-5</v>
      </c>
      <c r="T12" s="7">
        <f>$B12 * IFERROR(VLOOKUP("transport|NOx|Respiratory hospital admissions", US_national_yearly!$D:$AM, 28, FALSE) / VLOOKUP("transport|NOx|Respiratory hospital admissions", US_national_yearly!$D:$AM, 10, FALSE), 1)</f>
        <v>2.1839049241650049E-5</v>
      </c>
      <c r="U12" s="7">
        <f>$B12 * IFERROR(VLOOKUP("transport|NOx|Respiratory hospital admissions", US_national_yearly!$D:$AM, 29, FALSE) / VLOOKUP("transport|NOx|Respiratory hospital admissions", US_national_yearly!$D:$AM, 10, FALSE), 1)</f>
        <v>2.1958050948066972E-5</v>
      </c>
      <c r="V12" s="7">
        <f>$B12 * IFERROR(VLOOKUP("transport|NOx|Respiratory hospital admissions", US_national_yearly!$D:$AM, 30, FALSE) / VLOOKUP("transport|NOx|Respiratory hospital admissions", US_national_yearly!$D:$AM, 10, FALSE), 1)</f>
        <v>2.2077052654483891E-5</v>
      </c>
      <c r="W12" s="7">
        <f>$B12 * IFERROR(VLOOKUP("transport|NOx|Respiratory hospital admissions", US_national_yearly!$D:$AM, 31, FALSE) / VLOOKUP("transport|NOx|Respiratory hospital admissions", US_national_yearly!$D:$AM, 10, FALSE), 1)</f>
        <v>2.219605436090082E-5</v>
      </c>
      <c r="X12" s="7">
        <f>$B12 * IFERROR(VLOOKUP("transport|NOx|Respiratory hospital admissions", US_national_yearly!$D:$AM, 32, FALSE) / VLOOKUP("transport|NOx|Respiratory hospital admissions", US_national_yearly!$D:$AM, 10, FALSE), 1)</f>
        <v>2.2277376566953384E-5</v>
      </c>
      <c r="Y12" s="7">
        <f>$B12 * IFERROR(VLOOKUP("transport|NOx|Respiratory hospital admissions", US_national_yearly!$D:$AM, 33, FALSE) / VLOOKUP("transport|NOx|Respiratory hospital admissions", US_national_yearly!$D:$AM, 10, FALSE), 1)</f>
        <v>2.2358698773005948E-5</v>
      </c>
      <c r="Z12" s="7">
        <f>$B12 * IFERROR(VLOOKUP("transport|NOx|Respiratory hospital admissions", US_national_yearly!$D:$AM, 34, FALSE) / VLOOKUP("transport|NOx|Respiratory hospital admissions", US_national_yearly!$D:$AM, 10, FALSE), 1)</f>
        <v>2.2440020979058516E-5</v>
      </c>
      <c r="AA12" s="7">
        <f>$B12 * IFERROR(VLOOKUP("transport|NOx|Respiratory hospital admissions", US_national_yearly!$D:$AM, 35, FALSE) / VLOOKUP("transport|NOx|Respiratory hospital admissions", US_national_yearly!$D:$AM, 10, FALSE), 1)</f>
        <v>2.2521343185111083E-5</v>
      </c>
      <c r="AB12" s="7">
        <f>$B12 * IFERROR(VLOOKUP("transport|NOx|Respiratory hospital admissions", US_national_yearly!$D:$AM, 36, FALSE) / VLOOKUP("transport|NOx|Respiratory hospital admissions", US_national_yearly!$D:$AM, 10, FALSE), 1)</f>
        <v>2.2602665391163644E-5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9.0403704096910531E-5</v>
      </c>
      <c r="C13" s="7">
        <f>$B13 * IFERROR(VLOOKUP("transport|NOx|Non-fatal heart attacks", US_national_yearly!$D:$AM, 11, FALSE) / VLOOKUP("transport|NOx|Non-fatal heart attacks", US_national_yearly!$D:$AM, 10, FALSE), 1)</f>
        <v>9.2988266346295996E-5</v>
      </c>
      <c r="D13" s="7">
        <f>$B13 * IFERROR(VLOOKUP("transport|NOx|Non-fatal heart attacks", US_national_yearly!$D:$AM, 12, FALSE) / VLOOKUP("transport|NOx|Non-fatal heart attacks", US_national_yearly!$D:$AM, 10, FALSE), 1)</f>
        <v>9.5572828595681447E-5</v>
      </c>
      <c r="E13" s="7">
        <f>$B13 * IFERROR(VLOOKUP("transport|NOx|Non-fatal heart attacks", US_national_yearly!$D:$AM, 13, FALSE) / VLOOKUP("transport|NOx|Non-fatal heart attacks", US_national_yearly!$D:$AM, 10, FALSE), 1)</f>
        <v>9.8157390845066898E-5</v>
      </c>
      <c r="F13" s="7">
        <f>$B13 * IFERROR(VLOOKUP("transport|NOx|Non-fatal heart attacks", US_national_yearly!$D:$AM, 14, FALSE) / VLOOKUP("transport|NOx|Non-fatal heart attacks", US_national_yearly!$D:$AM, 10, FALSE), 1)</f>
        <v>1.0074195309445235E-4</v>
      </c>
      <c r="G13" s="7">
        <f>$B13 * IFERROR(VLOOKUP("transport|NOx|Non-fatal heart attacks", US_national_yearly!$D:$AM, 15, FALSE) / VLOOKUP("transport|NOx|Non-fatal heart attacks", US_national_yearly!$D:$AM, 10, FALSE), 1)</f>
        <v>1.0315722114488557E-4</v>
      </c>
      <c r="H13" s="7">
        <f>$B13 * IFERROR(VLOOKUP("transport|NOx|Non-fatal heart attacks", US_national_yearly!$D:$AM, 16, FALSE) / VLOOKUP("transport|NOx|Non-fatal heart attacks", US_national_yearly!$D:$AM, 10, FALSE), 1)</f>
        <v>1.0557248919531879E-4</v>
      </c>
      <c r="I13" s="7">
        <f>$B13 * IFERROR(VLOOKUP("transport|NOx|Non-fatal heart attacks", US_national_yearly!$D:$AM, 17, FALSE) / VLOOKUP("transport|NOx|Non-fatal heart attacks", US_national_yearly!$D:$AM, 10, FALSE), 1)</f>
        <v>1.0747665196158562E-4</v>
      </c>
      <c r="J13" s="7">
        <f>$B13 * IFERROR(VLOOKUP("transport|NOx|Non-fatal heart attacks", US_national_yearly!$D:$AM, 18, FALSE) / VLOOKUP("transport|NOx|Non-fatal heart attacks", US_national_yearly!$D:$AM, 10, FALSE), 1)</f>
        <v>1.0938081472785247E-4</v>
      </c>
      <c r="K13" s="7">
        <f>$B13 * IFERROR(VLOOKUP("transport|NOx|Non-fatal heart attacks", US_national_yearly!$D:$AM, 19, FALSE) / VLOOKUP("transport|NOx|Non-fatal heart attacks", US_national_yearly!$D:$AM, 10, FALSE), 1)</f>
        <v>1.1128497749411926E-4</v>
      </c>
      <c r="L13" s="7">
        <f>$B13 * IFERROR(VLOOKUP("transport|NOx|Non-fatal heart attacks", US_national_yearly!$D:$AM, 20, FALSE) / VLOOKUP("transport|NOx|Non-fatal heart attacks", US_national_yearly!$D:$AM, 10, FALSE), 1)</f>
        <v>1.1318914026038617E-4</v>
      </c>
      <c r="M13" s="7">
        <f>$B13 * IFERROR(VLOOKUP("transport|NOx|Non-fatal heart attacks", US_national_yearly!$D:$AM, 21, FALSE) / VLOOKUP("transport|NOx|Non-fatal heart attacks", US_national_yearly!$D:$AM, 10, FALSE), 1)</f>
        <v>1.1509330302665298E-4</v>
      </c>
      <c r="N13" s="7">
        <f>$B13 * IFERROR(VLOOKUP("transport|NOx|Non-fatal heart attacks", US_national_yearly!$D:$AM, 22, FALSE) / VLOOKUP("transport|NOx|Non-fatal heart attacks", US_national_yearly!$D:$AM, 10, FALSE), 1)</f>
        <v>1.1623890509357927E-4</v>
      </c>
      <c r="O13" s="7">
        <f>$B13 * IFERROR(VLOOKUP("transport|NOx|Non-fatal heart attacks", US_national_yearly!$D:$AM, 23, FALSE) / VLOOKUP("transport|NOx|Non-fatal heart attacks", US_national_yearly!$D:$AM, 10, FALSE), 1)</f>
        <v>1.1738450716050557E-4</v>
      </c>
      <c r="P13" s="7">
        <f>$B13 * IFERROR(VLOOKUP("transport|NOx|Non-fatal heart attacks", US_national_yearly!$D:$AM, 24, FALSE) / VLOOKUP("transport|NOx|Non-fatal heart attacks", US_national_yearly!$D:$AM, 10, FALSE), 1)</f>
        <v>1.1853010922743183E-4</v>
      </c>
      <c r="Q13" s="7">
        <f>$B13 * IFERROR(VLOOKUP("transport|NOx|Non-fatal heart attacks", US_national_yearly!$D:$AM, 25, FALSE) / VLOOKUP("transport|NOx|Non-fatal heart attacks", US_national_yearly!$D:$AM, 10, FALSE), 1)</f>
        <v>1.1967571129435814E-4</v>
      </c>
      <c r="R13" s="7">
        <f>$B13 * IFERROR(VLOOKUP("transport|NOx|Non-fatal heart attacks", US_national_yearly!$D:$AM, 26, FALSE) / VLOOKUP("transport|NOx|Non-fatal heart attacks", US_national_yearly!$D:$AM, 10, FALSE), 1)</f>
        <v>1.2082131336128442E-4</v>
      </c>
      <c r="S13" s="7">
        <f>$B13 * IFERROR(VLOOKUP("transport|NOx|Non-fatal heart attacks", US_national_yearly!$D:$AM, 27, FALSE) / VLOOKUP("transport|NOx|Non-fatal heart attacks", US_national_yearly!$D:$AM, 10, FALSE), 1)</f>
        <v>1.2134096638225226E-4</v>
      </c>
      <c r="T13" s="7">
        <f>$B13 * IFERROR(VLOOKUP("transport|NOx|Non-fatal heart attacks", US_national_yearly!$D:$AM, 28, FALSE) / VLOOKUP("transport|NOx|Non-fatal heart attacks", US_national_yearly!$D:$AM, 10, FALSE), 1)</f>
        <v>1.218606194032201E-4</v>
      </c>
      <c r="U13" s="7">
        <f>$B13 * IFERROR(VLOOKUP("transport|NOx|Non-fatal heart attacks", US_national_yearly!$D:$AM, 29, FALSE) / VLOOKUP("transport|NOx|Non-fatal heart attacks", US_national_yearly!$D:$AM, 10, FALSE), 1)</f>
        <v>1.2238027242418792E-4</v>
      </c>
      <c r="V13" s="7">
        <f>$B13 * IFERROR(VLOOKUP("transport|NOx|Non-fatal heart attacks", US_national_yearly!$D:$AM, 30, FALSE) / VLOOKUP("transport|NOx|Non-fatal heart attacks", US_national_yearly!$D:$AM, 10, FALSE), 1)</f>
        <v>1.2289992544515577E-4</v>
      </c>
      <c r="W13" s="7">
        <f>$B13 * IFERROR(VLOOKUP("transport|NOx|Non-fatal heart attacks", US_national_yearly!$D:$AM, 31, FALSE) / VLOOKUP("transport|NOx|Non-fatal heart attacks", US_national_yearly!$D:$AM, 10, FALSE), 1)</f>
        <v>1.234195784661236E-4</v>
      </c>
      <c r="X13" s="7">
        <f>$B13 * IFERROR(VLOOKUP("transport|NOx|Non-fatal heart attacks", US_national_yearly!$D:$AM, 32, FALSE) / VLOOKUP("transport|NOx|Non-fatal heart attacks", US_national_yearly!$D:$AM, 10, FALSE), 1)</f>
        <v>1.2376683795794637E-4</v>
      </c>
      <c r="Y13" s="7">
        <f>$B13 * IFERROR(VLOOKUP("transport|NOx|Non-fatal heart attacks", US_national_yearly!$D:$AM, 33, FALSE) / VLOOKUP("transport|NOx|Non-fatal heart attacks", US_national_yearly!$D:$AM, 10, FALSE), 1)</f>
        <v>1.2411409744976913E-4</v>
      </c>
      <c r="Z13" s="7">
        <f>$B13 * IFERROR(VLOOKUP("transport|NOx|Non-fatal heart attacks", US_national_yearly!$D:$AM, 34, FALSE) / VLOOKUP("transport|NOx|Non-fatal heart attacks", US_national_yearly!$D:$AM, 10, FALSE), 1)</f>
        <v>1.2446135694159187E-4</v>
      </c>
      <c r="AA13" s="7">
        <f>$B13 * IFERROR(VLOOKUP("transport|NOx|Non-fatal heart attacks", US_national_yearly!$D:$AM, 35, FALSE) / VLOOKUP("transport|NOx|Non-fatal heart attacks", US_national_yearly!$D:$AM, 10, FALSE), 1)</f>
        <v>1.2480861643341464E-4</v>
      </c>
      <c r="AB13" s="7">
        <f>$B13 * IFERROR(VLOOKUP("transport|NOx|Non-fatal heart attacks", US_national_yearly!$D:$AM, 36, FALSE) / VLOOKUP("transport|NOx|Non-fatal heart attacks", US_national_yearly!$D:$AM, 10, FALSE), 1)</f>
        <v>1.251558759252374E-4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8.1219714863138864E-2</v>
      </c>
      <c r="C14" s="7">
        <f>$B14 * IFERROR(VLOOKUP("transport|NOx|Minor restricted activity days", US_national_yearly!$D:$AM, 11, FALSE) / VLOOKUP("transport|NOx|Minor restricted activity days", US_national_yearly!$D:$AM, 10, FALSE), 1)</f>
        <v>8.1344238316204714E-2</v>
      </c>
      <c r="D14" s="7">
        <f>$B14 * IFERROR(VLOOKUP("transport|NOx|Minor restricted activity days", US_national_yearly!$D:$AM, 12, FALSE) / VLOOKUP("transport|NOx|Minor restricted activity days", US_national_yearly!$D:$AM, 10, FALSE), 1)</f>
        <v>8.1468761769270578E-2</v>
      </c>
      <c r="E14" s="7">
        <f>$B14 * IFERROR(VLOOKUP("transport|NOx|Minor restricted activity days", US_national_yearly!$D:$AM, 13, FALSE) / VLOOKUP("transport|NOx|Minor restricted activity days", US_national_yearly!$D:$AM, 10, FALSE), 1)</f>
        <v>8.1593285222336442E-2</v>
      </c>
      <c r="F14" s="7">
        <f>$B14 * IFERROR(VLOOKUP("transport|NOx|Minor restricted activity days", US_national_yearly!$D:$AM, 14, FALSE) / VLOOKUP("transport|NOx|Minor restricted activity days", US_national_yearly!$D:$AM, 10, FALSE), 1)</f>
        <v>8.1717808675402293E-2</v>
      </c>
      <c r="G14" s="7">
        <f>$B14 * IFERROR(VLOOKUP("transport|NOx|Minor restricted activity days", US_national_yearly!$D:$AM, 15, FALSE) / VLOOKUP("transport|NOx|Minor restricted activity days", US_national_yearly!$D:$AM, 10, FALSE), 1)</f>
        <v>8.1942668392510534E-2</v>
      </c>
      <c r="H14" s="7">
        <f>$B14 * IFERROR(VLOOKUP("transport|NOx|Minor restricted activity days", US_national_yearly!$D:$AM, 16, FALSE) / VLOOKUP("transport|NOx|Minor restricted activity days", US_national_yearly!$D:$AM, 10, FALSE), 1)</f>
        <v>8.2167528109618776E-2</v>
      </c>
      <c r="I14" s="7">
        <f>$B14 * IFERROR(VLOOKUP("transport|NOx|Minor restricted activity days", US_national_yearly!$D:$AM, 17, FALSE) / VLOOKUP("transport|NOx|Minor restricted activity days", US_national_yearly!$D:$AM, 10, FALSE), 1)</f>
        <v>8.2607344824409207E-2</v>
      </c>
      <c r="J14" s="7">
        <f>$B14 * IFERROR(VLOOKUP("transport|NOx|Minor restricted activity days", US_national_yearly!$D:$AM, 18, FALSE) / VLOOKUP("transport|NOx|Minor restricted activity days", US_national_yearly!$D:$AM, 10, FALSE), 1)</f>
        <v>8.3047161539199624E-2</v>
      </c>
      <c r="K14" s="7">
        <f>$B14 * IFERROR(VLOOKUP("transport|NOx|Minor restricted activity days", US_national_yearly!$D:$AM, 19, FALSE) / VLOOKUP("transport|NOx|Minor restricted activity days", US_national_yearly!$D:$AM, 10, FALSE), 1)</f>
        <v>8.3486978253990055E-2</v>
      </c>
      <c r="L14" s="7">
        <f>$B14 * IFERROR(VLOOKUP("transport|NOx|Minor restricted activity days", US_national_yearly!$D:$AM, 20, FALSE) / VLOOKUP("transport|NOx|Minor restricted activity days", US_national_yearly!$D:$AM, 10, FALSE), 1)</f>
        <v>8.3926794968780472E-2</v>
      </c>
      <c r="M14" s="7">
        <f>$B14 * IFERROR(VLOOKUP("transport|NOx|Minor restricted activity days", US_national_yearly!$D:$AM, 21, FALSE) / VLOOKUP("transport|NOx|Minor restricted activity days", US_national_yearly!$D:$AM, 10, FALSE), 1)</f>
        <v>8.4366611683570902E-2</v>
      </c>
      <c r="N14" s="7">
        <f>$B14 * IFERROR(VLOOKUP("transport|NOx|Minor restricted activity days", US_national_yearly!$D:$AM, 22, FALSE) / VLOOKUP("transport|NOx|Minor restricted activity days", US_national_yearly!$D:$AM, 10, FALSE), 1)</f>
        <v>8.4996329492870726E-2</v>
      </c>
      <c r="O14" s="7">
        <f>$B14 * IFERROR(VLOOKUP("transport|NOx|Minor restricted activity days", US_national_yearly!$D:$AM, 23, FALSE) / VLOOKUP("transport|NOx|Minor restricted activity days", US_national_yearly!$D:$AM, 10, FALSE), 1)</f>
        <v>8.5626047302170563E-2</v>
      </c>
      <c r="P14" s="7">
        <f>$B14 * IFERROR(VLOOKUP("transport|NOx|Minor restricted activity days", US_national_yearly!$D:$AM, 24, FALSE) / VLOOKUP("transport|NOx|Minor restricted activity days", US_national_yearly!$D:$AM, 10, FALSE), 1)</f>
        <v>8.6255765111470387E-2</v>
      </c>
      <c r="Q14" s="7">
        <f>$B14 * IFERROR(VLOOKUP("transport|NOx|Minor restricted activity days", US_national_yearly!$D:$AM, 25, FALSE) / VLOOKUP("transport|NOx|Minor restricted activity days", US_national_yearly!$D:$AM, 10, FALSE), 1)</f>
        <v>8.6885482920770224E-2</v>
      </c>
      <c r="R14" s="7">
        <f>$B14 * IFERROR(VLOOKUP("transport|NOx|Minor restricted activity days", US_national_yearly!$D:$AM, 26, FALSE) / VLOOKUP("transport|NOx|Minor restricted activity days", US_national_yearly!$D:$AM, 10, FALSE), 1)</f>
        <v>8.7515200730070047E-2</v>
      </c>
      <c r="S14" s="7">
        <f>$B14 * IFERROR(VLOOKUP("transport|NOx|Minor restricted activity days", US_national_yearly!$D:$AM, 27, FALSE) / VLOOKUP("transport|NOx|Minor restricted activity days", US_national_yearly!$D:$AM, 10, FALSE), 1)</f>
        <v>8.8144786142548295E-2</v>
      </c>
      <c r="T14" s="7">
        <f>$B14 * IFERROR(VLOOKUP("transport|NOx|Minor restricted activity days", US_national_yearly!$D:$AM, 28, FALSE) / VLOOKUP("transport|NOx|Minor restricted activity days", US_national_yearly!$D:$AM, 10, FALSE), 1)</f>
        <v>8.8774371555026516E-2</v>
      </c>
      <c r="U14" s="7">
        <f>$B14 * IFERROR(VLOOKUP("transport|NOx|Minor restricted activity days", US_national_yearly!$D:$AM, 29, FALSE) / VLOOKUP("transport|NOx|Minor restricted activity days", US_national_yearly!$D:$AM, 10, FALSE), 1)</f>
        <v>8.940395696750475E-2</v>
      </c>
      <c r="V14" s="7">
        <f>$B14 * IFERROR(VLOOKUP("transport|NOx|Minor restricted activity days", US_national_yearly!$D:$AM, 30, FALSE) / VLOOKUP("transport|NOx|Minor restricted activity days", US_national_yearly!$D:$AM, 10, FALSE), 1)</f>
        <v>9.0033542379982984E-2</v>
      </c>
      <c r="W14" s="7">
        <f>$B14 * IFERROR(VLOOKUP("transport|NOx|Minor restricted activity days", US_national_yearly!$D:$AM, 31, FALSE) / VLOOKUP("transport|NOx|Minor restricted activity days", US_national_yearly!$D:$AM, 10, FALSE), 1)</f>
        <v>9.0663127792461204E-2</v>
      </c>
      <c r="X14" s="7">
        <f>$B14 * IFERROR(VLOOKUP("transport|NOx|Minor restricted activity days", US_national_yearly!$D:$AM, 32, FALSE) / VLOOKUP("transport|NOx|Minor restricted activity days", US_national_yearly!$D:$AM, 10, FALSE), 1)</f>
        <v>9.1195418274132786E-2</v>
      </c>
      <c r="Y14" s="7">
        <f>$B14 * IFERROR(VLOOKUP("transport|NOx|Minor restricted activity days", US_national_yearly!$D:$AM, 33, FALSE) / VLOOKUP("transport|NOx|Minor restricted activity days", US_national_yearly!$D:$AM, 10, FALSE), 1)</f>
        <v>9.1727708755804369E-2</v>
      </c>
      <c r="Z14" s="7">
        <f>$B14 * IFERROR(VLOOKUP("transport|NOx|Minor restricted activity days", US_national_yearly!$D:$AM, 34, FALSE) / VLOOKUP("transport|NOx|Minor restricted activity days", US_national_yearly!$D:$AM, 10, FALSE), 1)</f>
        <v>9.2259999237475951E-2</v>
      </c>
      <c r="AA14" s="7">
        <f>$B14 * IFERROR(VLOOKUP("transport|NOx|Minor restricted activity days", US_national_yearly!$D:$AM, 35, FALSE) / VLOOKUP("transport|NOx|Minor restricted activity days", US_national_yearly!$D:$AM, 10, FALSE), 1)</f>
        <v>9.2792289719147547E-2</v>
      </c>
      <c r="AB14" s="7">
        <f>$B14 * IFERROR(VLOOKUP("transport|NOx|Minor restricted activity days", US_national_yearly!$D:$AM, 36, FALSE) / VLOOKUP("transport|NOx|Minor restricted activity days", US_national_yearly!$D:$AM, 10, FALSE), 1)</f>
        <v>9.3324580200819129E-2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1.3788584039961381E-2</v>
      </c>
      <c r="C15" s="7">
        <f>$B15 * IFERROR(VLOOKUP("transport|NOx|Work loss days", US_national_yearly!$D:$AM, 11, FALSE) / VLOOKUP("transport|NOx|Work loss days", US_national_yearly!$D:$AM, 10, FALSE), 1)</f>
        <v>1.3819256003379311E-2</v>
      </c>
      <c r="D15" s="7">
        <f>$B15 * IFERROR(VLOOKUP("transport|NOx|Work loss days", US_national_yearly!$D:$AM, 12, FALSE) / VLOOKUP("transport|NOx|Work loss days", US_national_yearly!$D:$AM, 10, FALSE), 1)</f>
        <v>1.3849927966797243E-2</v>
      </c>
      <c r="E15" s="7">
        <f>$B15 * IFERROR(VLOOKUP("transport|NOx|Work loss days", US_national_yearly!$D:$AM, 13, FALSE) / VLOOKUP("transport|NOx|Work loss days", US_national_yearly!$D:$AM, 10, FALSE), 1)</f>
        <v>1.3880599930215173E-2</v>
      </c>
      <c r="F15" s="7">
        <f>$B15 * IFERROR(VLOOKUP("transport|NOx|Work loss days", US_national_yearly!$D:$AM, 14, FALSE) / VLOOKUP("transport|NOx|Work loss days", US_national_yearly!$D:$AM, 10, FALSE), 1)</f>
        <v>1.3911271893633106E-2</v>
      </c>
      <c r="G15" s="7">
        <f>$B15 * IFERROR(VLOOKUP("transport|NOx|Work loss days", US_national_yearly!$D:$AM, 15, FALSE) / VLOOKUP("transport|NOx|Work loss days", US_national_yearly!$D:$AM, 10, FALSE), 1)</f>
        <v>1.395605322186875E-2</v>
      </c>
      <c r="H15" s="7">
        <f>$B15 * IFERROR(VLOOKUP("transport|NOx|Work loss days", US_national_yearly!$D:$AM, 16, FALSE) / VLOOKUP("transport|NOx|Work loss days", US_national_yearly!$D:$AM, 10, FALSE), 1)</f>
        <v>1.4000834550104398E-2</v>
      </c>
      <c r="I15" s="7">
        <f>$B15 * IFERROR(VLOOKUP("transport|NOx|Work loss days", US_national_yearly!$D:$AM, 17, FALSE) / VLOOKUP("transport|NOx|Work loss days", US_national_yearly!$D:$AM, 10, FALSE), 1)</f>
        <v>1.4073377874867574E-2</v>
      </c>
      <c r="J15" s="7">
        <f>$B15 * IFERROR(VLOOKUP("transport|NOx|Work loss days", US_national_yearly!$D:$AM, 18, FALSE) / VLOOKUP("transport|NOx|Work loss days", US_national_yearly!$D:$AM, 10, FALSE), 1)</f>
        <v>1.4145921199630753E-2</v>
      </c>
      <c r="K15" s="7">
        <f>$B15 * IFERROR(VLOOKUP("transport|NOx|Work loss days", US_national_yearly!$D:$AM, 19, FALSE) / VLOOKUP("transport|NOx|Work loss days", US_national_yearly!$D:$AM, 10, FALSE), 1)</f>
        <v>1.4218464524393931E-2</v>
      </c>
      <c r="L15" s="7">
        <f>$B15 * IFERROR(VLOOKUP("transport|NOx|Work loss days", US_national_yearly!$D:$AM, 20, FALSE) / VLOOKUP("transport|NOx|Work loss days", US_national_yearly!$D:$AM, 10, FALSE), 1)</f>
        <v>1.4291007849157107E-2</v>
      </c>
      <c r="M15" s="7">
        <f>$B15 * IFERROR(VLOOKUP("transport|NOx|Work loss days", US_national_yearly!$D:$AM, 21, FALSE) / VLOOKUP("transport|NOx|Work loss days", US_national_yearly!$D:$AM, 10, FALSE), 1)</f>
        <v>1.4363551173920287E-2</v>
      </c>
      <c r="N15" s="7">
        <f>$B15 * IFERROR(VLOOKUP("transport|NOx|Work loss days", US_national_yearly!$D:$AM, 22, FALSE) / VLOOKUP("transport|NOx|Work loss days", US_national_yearly!$D:$AM, 10, FALSE), 1)</f>
        <v>1.4457961859642873E-2</v>
      </c>
      <c r="O15" s="7">
        <f>$B15 * IFERROR(VLOOKUP("transport|NOx|Work loss days", US_national_yearly!$D:$AM, 23, FALSE) / VLOOKUP("transport|NOx|Work loss days", US_national_yearly!$D:$AM, 10, FALSE), 1)</f>
        <v>1.4552372545365459E-2</v>
      </c>
      <c r="P15" s="7">
        <f>$B15 * IFERROR(VLOOKUP("transport|NOx|Work loss days", US_national_yearly!$D:$AM, 24, FALSE) / VLOOKUP("transport|NOx|Work loss days", US_national_yearly!$D:$AM, 10, FALSE), 1)</f>
        <v>1.4646783231088045E-2</v>
      </c>
      <c r="Q15" s="7">
        <f>$B15 * IFERROR(VLOOKUP("transport|NOx|Work loss days", US_national_yearly!$D:$AM, 25, FALSE) / VLOOKUP("transport|NOx|Work loss days", US_national_yearly!$D:$AM, 10, FALSE), 1)</f>
        <v>1.4741193916810627E-2</v>
      </c>
      <c r="R15" s="7">
        <f>$B15 * IFERROR(VLOOKUP("transport|NOx|Work loss days", US_national_yearly!$D:$AM, 26, FALSE) / VLOOKUP("transport|NOx|Work loss days", US_national_yearly!$D:$AM, 10, FALSE), 1)</f>
        <v>1.4835604602533215E-2</v>
      </c>
      <c r="S15" s="7">
        <f>$B15 * IFERROR(VLOOKUP("transport|NOx|Work loss days", US_national_yearly!$D:$AM, 27, FALSE) / VLOOKUP("transport|NOx|Work loss days", US_national_yearly!$D:$AM, 10, FALSE), 1)</f>
        <v>1.4940860445574359E-2</v>
      </c>
      <c r="T15" s="7">
        <f>$B15 * IFERROR(VLOOKUP("transport|NOx|Work loss days", US_national_yearly!$D:$AM, 28, FALSE) / VLOOKUP("transport|NOx|Work loss days", US_national_yearly!$D:$AM, 10, FALSE), 1)</f>
        <v>1.5046116288615501E-2</v>
      </c>
      <c r="U15" s="7">
        <f>$B15 * IFERROR(VLOOKUP("transport|NOx|Work loss days", US_national_yearly!$D:$AM, 29, FALSE) / VLOOKUP("transport|NOx|Work loss days", US_national_yearly!$D:$AM, 10, FALSE), 1)</f>
        <v>1.5151372131656642E-2</v>
      </c>
      <c r="V15" s="7">
        <f>$B15 * IFERROR(VLOOKUP("transport|NOx|Work loss days", US_national_yearly!$D:$AM, 30, FALSE) / VLOOKUP("transport|NOx|Work loss days", US_national_yearly!$D:$AM, 10, FALSE), 1)</f>
        <v>1.5256627974697784E-2</v>
      </c>
      <c r="W15" s="7">
        <f>$B15 * IFERROR(VLOOKUP("transport|NOx|Work loss days", US_national_yearly!$D:$AM, 31, FALSE) / VLOOKUP("transport|NOx|Work loss days", US_national_yearly!$D:$AM, 10, FALSE), 1)</f>
        <v>1.5361883817738927E-2</v>
      </c>
      <c r="X15" s="7">
        <f>$B15 * IFERROR(VLOOKUP("transport|NOx|Work loss days", US_national_yearly!$D:$AM, 32, FALSE) / VLOOKUP("transport|NOx|Work loss days", US_national_yearly!$D:$AM, 10, FALSE), 1)</f>
        <v>1.5453240277600162E-2</v>
      </c>
      <c r="Y15" s="7">
        <f>$B15 * IFERROR(VLOOKUP("transport|NOx|Work loss days", US_national_yearly!$D:$AM, 33, FALSE) / VLOOKUP("transport|NOx|Work loss days", US_national_yearly!$D:$AM, 10, FALSE), 1)</f>
        <v>1.5544596737461395E-2</v>
      </c>
      <c r="Z15" s="7">
        <f>$B15 * IFERROR(VLOOKUP("transport|NOx|Work loss days", US_national_yearly!$D:$AM, 34, FALSE) / VLOOKUP("transport|NOx|Work loss days", US_national_yearly!$D:$AM, 10, FALSE), 1)</f>
        <v>1.5635953197322632E-2</v>
      </c>
      <c r="AA15" s="7">
        <f>$B15 * IFERROR(VLOOKUP("transport|NOx|Work loss days", US_national_yearly!$D:$AM, 35, FALSE) / VLOOKUP("transport|NOx|Work loss days", US_national_yearly!$D:$AM, 10, FALSE), 1)</f>
        <v>1.5727309657183865E-2</v>
      </c>
      <c r="AB15" s="7">
        <f>$B15 * IFERROR(VLOOKUP("transport|NOx|Work loss days", US_national_yearly!$D:$AM, 36, FALSE) / VLOOKUP("transport|NOx|Work loss days", US_national_yearly!$D:$AM, 10, FALSE), 1)</f>
        <v>1.5818666117045098E-2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2.4499377781709602E-5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2.5219282975108772E-5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2.5939188168507936E-5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2.66590933619071E-5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2.737899855530627E-5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2.8062789435003157E-5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2.874658031470005E-5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2.9321595693036225E-5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2.98966110713724E-5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3.0471626449708578E-5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3.1046641828044753E-5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3.1621657206380931E-5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3.198123337546595E-5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3.2340809544550968E-5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3.2700385713635987E-5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3.3059961882721005E-5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3.3419538051806024E-5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3.3583602783625064E-5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3.3747667515444111E-5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3.3911732247263144E-5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3.4075796979082191E-5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3.4239861710901231E-5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3.4331169422219594E-5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3.4422477133537951E-5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3.4513784844856307E-5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3.4605092556174671E-5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3.4696400267493027E-5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7.0495197305213116E-4</v>
      </c>
      <c r="C2" s="7">
        <f>$B2 * IFERROR(VLOOKUP("transport|SO2|Premature mortality", US_national_yearly!$D:$AM, 11, FALSE) / VLOOKUP("transport|SO2|Premature mortality", US_national_yearly!$D:$AM, 10, FALSE), 1)</f>
        <v>7.1387980836639829E-4</v>
      </c>
      <c r="D2" s="7">
        <f>$B2 * IFERROR(VLOOKUP("transport|SO2|Premature mortality", US_national_yearly!$D:$AM, 12, FALSE) / VLOOKUP("transport|SO2|Premature mortality", US_national_yearly!$D:$AM, 10, FALSE), 1)</f>
        <v>7.2280764368066563E-4</v>
      </c>
      <c r="E2" s="7">
        <f>$B2 * IFERROR(VLOOKUP("transport|SO2|Premature mortality", US_national_yearly!$D:$AM, 13, FALSE) / VLOOKUP("transport|SO2|Premature mortality", US_national_yearly!$D:$AM, 10, FALSE), 1)</f>
        <v>7.3173547899493276E-4</v>
      </c>
      <c r="F2" s="7">
        <f>$B2 * IFERROR(VLOOKUP("transport|SO2|Premature mortality", US_national_yearly!$D:$AM, 14, FALSE) / VLOOKUP("transport|SO2|Premature mortality", US_national_yearly!$D:$AM, 10, FALSE), 1)</f>
        <v>7.4066331430919989E-4</v>
      </c>
      <c r="G2" s="7">
        <f>$B2 * IFERROR(VLOOKUP("transport|SO2|Premature mortality", US_national_yearly!$D:$AM, 15, FALSE) / VLOOKUP("transport|SO2|Premature mortality", US_national_yearly!$D:$AM, 10, FALSE), 1)</f>
        <v>7.5786674698497761E-4</v>
      </c>
      <c r="H2" s="7">
        <f>$B2 * IFERROR(VLOOKUP("transport|SO2|Premature mortality", US_national_yearly!$D:$AM, 16, FALSE) / VLOOKUP("transport|SO2|Premature mortality", US_national_yearly!$D:$AM, 10, FALSE), 1)</f>
        <v>7.7507017966075523E-4</v>
      </c>
      <c r="I2" s="7">
        <f>$B2 * IFERROR(VLOOKUP("transport|SO2|Premature mortality", US_national_yearly!$D:$AM, 17, FALSE) / VLOOKUP("transport|SO2|Premature mortality", US_national_yearly!$D:$AM, 10, FALSE), 1)</f>
        <v>7.8643926209637726E-4</v>
      </c>
      <c r="J2" s="7">
        <f>$B2 * IFERROR(VLOOKUP("transport|SO2|Premature mortality", US_national_yearly!$D:$AM, 18, FALSE) / VLOOKUP("transport|SO2|Premature mortality", US_national_yearly!$D:$AM, 10, FALSE), 1)</f>
        <v>7.9780834453199918E-4</v>
      </c>
      <c r="K2" s="7">
        <f>$B2 * IFERROR(VLOOKUP("transport|SO2|Premature mortality", US_national_yearly!$D:$AM, 19, FALSE) / VLOOKUP("transport|SO2|Premature mortality", US_national_yearly!$D:$AM, 10, FALSE), 1)</f>
        <v>8.0917742696762088E-4</v>
      </c>
      <c r="L2" s="7">
        <f>$B2 * IFERROR(VLOOKUP("transport|SO2|Premature mortality", US_national_yearly!$D:$AM, 20, FALSE) / VLOOKUP("transport|SO2|Premature mortality", US_national_yearly!$D:$AM, 10, FALSE), 1)</f>
        <v>8.205465094032428E-4</v>
      </c>
      <c r="M2" s="7">
        <f>$B2 * IFERROR(VLOOKUP("transport|SO2|Premature mortality", US_national_yearly!$D:$AM, 21, FALSE) / VLOOKUP("transport|SO2|Premature mortality", US_national_yearly!$D:$AM, 10, FALSE), 1)</f>
        <v>8.3191559183886472E-4</v>
      </c>
      <c r="N2" s="7">
        <f>$B2 * IFERROR(VLOOKUP("transport|SO2|Premature mortality", US_national_yearly!$D:$AM, 22, FALSE) / VLOOKUP("transport|SO2|Premature mortality", US_national_yearly!$D:$AM, 10, FALSE), 1)</f>
        <v>8.4079877616402804E-4</v>
      </c>
      <c r="O2" s="7">
        <f>$B2 * IFERROR(VLOOKUP("transport|SO2|Premature mortality", US_national_yearly!$D:$AM, 23, FALSE) / VLOOKUP("transport|SO2|Premature mortality", US_national_yearly!$D:$AM, 10, FALSE), 1)</f>
        <v>8.4968196048919135E-4</v>
      </c>
      <c r="P2" s="7">
        <f>$B2 * IFERROR(VLOOKUP("transport|SO2|Premature mortality", US_national_yearly!$D:$AM, 24, FALSE) / VLOOKUP("transport|SO2|Premature mortality", US_national_yearly!$D:$AM, 10, FALSE), 1)</f>
        <v>8.5856514481435467E-4</v>
      </c>
      <c r="Q2" s="7">
        <f>$B2 * IFERROR(VLOOKUP("transport|SO2|Premature mortality", US_national_yearly!$D:$AM, 25, FALSE) / VLOOKUP("transport|SO2|Premature mortality", US_national_yearly!$D:$AM, 10, FALSE), 1)</f>
        <v>8.6744832913951799E-4</v>
      </c>
      <c r="R2" s="7">
        <f>$B2 * IFERROR(VLOOKUP("transport|SO2|Premature mortality", US_national_yearly!$D:$AM, 26, FALSE) / VLOOKUP("transport|SO2|Premature mortality", US_national_yearly!$D:$AM, 10, FALSE), 1)</f>
        <v>8.7633151346468109E-4</v>
      </c>
      <c r="S2" s="7">
        <f>$B2 * IFERROR(VLOOKUP("transport|SO2|Premature mortality", US_national_yearly!$D:$AM, 27, FALSE) / VLOOKUP("transport|SO2|Premature mortality", US_national_yearly!$D:$AM, 10, FALSE), 1)</f>
        <v>8.810885769521753E-4</v>
      </c>
      <c r="T2" s="7">
        <f>$B2 * IFERROR(VLOOKUP("transport|SO2|Premature mortality", US_national_yearly!$D:$AM, 28, FALSE) / VLOOKUP("transport|SO2|Premature mortality", US_national_yearly!$D:$AM, 10, FALSE), 1)</f>
        <v>8.8584564043966941E-4</v>
      </c>
      <c r="U2" s="7">
        <f>$B2 * IFERROR(VLOOKUP("transport|SO2|Premature mortality", US_national_yearly!$D:$AM, 29, FALSE) / VLOOKUP("transport|SO2|Premature mortality", US_national_yearly!$D:$AM, 10, FALSE), 1)</f>
        <v>8.9060270392716341E-4</v>
      </c>
      <c r="V2" s="7">
        <f>$B2 * IFERROR(VLOOKUP("transport|SO2|Premature mortality", US_national_yearly!$D:$AM, 30, FALSE) / VLOOKUP("transport|SO2|Premature mortality", US_national_yearly!$D:$AM, 10, FALSE), 1)</f>
        <v>8.9535976741465751E-4</v>
      </c>
      <c r="W2" s="7">
        <f>$B2 * IFERROR(VLOOKUP("transport|SO2|Premature mortality", US_national_yearly!$D:$AM, 31, FALSE) / VLOOKUP("transport|SO2|Premature mortality", US_national_yearly!$D:$AM, 10, FALSE), 1)</f>
        <v>9.0011683090215173E-4</v>
      </c>
      <c r="X2" s="7">
        <f>$B2 * IFERROR(VLOOKUP("transport|SO2|Premature mortality", US_national_yearly!$D:$AM, 32, FALSE) / VLOOKUP("transport|SO2|Premature mortality", US_national_yearly!$D:$AM, 10, FALSE), 1)</f>
        <v>9.0108324290039902E-4</v>
      </c>
      <c r="Y2" s="7">
        <f>$B2 * IFERROR(VLOOKUP("transport|SO2|Premature mortality", US_national_yearly!$D:$AM, 33, FALSE) / VLOOKUP("transport|SO2|Premature mortality", US_national_yearly!$D:$AM, 10, FALSE), 1)</f>
        <v>9.0204965489864653E-4</v>
      </c>
      <c r="Z2" s="7">
        <f>$B2 * IFERROR(VLOOKUP("transport|SO2|Premature mortality", US_national_yearly!$D:$AM, 34, FALSE) / VLOOKUP("transport|SO2|Premature mortality", US_national_yearly!$D:$AM, 10, FALSE), 1)</f>
        <v>9.0301606689689403E-4</v>
      </c>
      <c r="AA2" s="7">
        <f>$B2 * IFERROR(VLOOKUP("transport|SO2|Premature mortality", US_national_yearly!$D:$AM, 35, FALSE) / VLOOKUP("transport|SO2|Premature mortality", US_national_yearly!$D:$AM, 10, FALSE), 1)</f>
        <v>9.0398247889514154E-4</v>
      </c>
      <c r="AB2" s="7">
        <f>$B2 * IFERROR(VLOOKUP("transport|SO2|Premature mortality", US_national_yearly!$D:$AM, 36, FALSE) / VLOOKUP("transport|SO2|Premature mortality", US_national_yearly!$D:$AM, 10, FALSE), 1)</f>
        <v>9.0494889089338883E-4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1.7090628057621174E-6</v>
      </c>
      <c r="C3" s="7">
        <f>$B3 * IFERROR(VLOOKUP("transport|SO2|Infant mortality", US_national_yearly!$D:$AM, 11, FALSE) / VLOOKUP("transport|SO2|Infant mortality", US_national_yearly!$D:$AM, 10, FALSE), 1)</f>
        <v>1.694381644518044E-6</v>
      </c>
      <c r="D3" s="7">
        <f>$B3 * IFERROR(VLOOKUP("transport|SO2|Infant mortality", US_national_yearly!$D:$AM, 12, FALSE) / VLOOKUP("transport|SO2|Infant mortality", US_national_yearly!$D:$AM, 10, FALSE), 1)</f>
        <v>1.6797004832739706E-6</v>
      </c>
      <c r="E3" s="7">
        <f>$B3 * IFERROR(VLOOKUP("transport|SO2|Infant mortality", US_national_yearly!$D:$AM, 13, FALSE) / VLOOKUP("transport|SO2|Infant mortality", US_national_yearly!$D:$AM, 10, FALSE), 1)</f>
        <v>1.665019322029897E-6</v>
      </c>
      <c r="F3" s="7">
        <f>$B3 * IFERROR(VLOOKUP("transport|SO2|Infant mortality", US_national_yearly!$D:$AM, 14, FALSE) / VLOOKUP("transport|SO2|Infant mortality", US_national_yearly!$D:$AM, 10, FALSE), 1)</f>
        <v>1.6503381607858236E-6</v>
      </c>
      <c r="G3" s="7">
        <f>$B3 * IFERROR(VLOOKUP("transport|SO2|Infant mortality", US_national_yearly!$D:$AM, 15, FALSE) / VLOOKUP("transport|SO2|Infant mortality", US_national_yearly!$D:$AM, 10, FALSE), 1)</f>
        <v>1.0992581359275028E-6</v>
      </c>
      <c r="H3" s="7">
        <f>$B3 * IFERROR(VLOOKUP("transport|SO2|Infant mortality", US_national_yearly!$D:$AM, 16, FALSE) / VLOOKUP("transport|SO2|Infant mortality", US_national_yearly!$D:$AM, 10, FALSE), 1)</f>
        <v>5.481781110691829E-7</v>
      </c>
      <c r="I3" s="7">
        <f>$B3 * IFERROR(VLOOKUP("transport|SO2|Infant mortality", US_national_yearly!$D:$AM, 17, FALSE) / VLOOKUP("transport|SO2|Infant mortality", US_national_yearly!$D:$AM, 10, FALSE), 1)</f>
        <v>5.4473922424286873E-7</v>
      </c>
      <c r="J3" s="7">
        <f>$B3 * IFERROR(VLOOKUP("transport|SO2|Infant mortality", US_national_yearly!$D:$AM, 18, FALSE) / VLOOKUP("transport|SO2|Infant mortality", US_national_yearly!$D:$AM, 10, FALSE), 1)</f>
        <v>5.4130033741655467E-7</v>
      </c>
      <c r="K3" s="7">
        <f>$B3 * IFERROR(VLOOKUP("transport|SO2|Infant mortality", US_national_yearly!$D:$AM, 19, FALSE) / VLOOKUP("transport|SO2|Infant mortality", US_national_yearly!$D:$AM, 10, FALSE), 1)</f>
        <v>5.3786145059024061E-7</v>
      </c>
      <c r="L3" s="7">
        <f>$B3 * IFERROR(VLOOKUP("transport|SO2|Infant mortality", US_national_yearly!$D:$AM, 20, FALSE) / VLOOKUP("transport|SO2|Infant mortality", US_national_yearly!$D:$AM, 10, FALSE), 1)</f>
        <v>5.3442256376392665E-7</v>
      </c>
      <c r="M3" s="7">
        <f>$B3 * IFERROR(VLOOKUP("transport|SO2|Infant mortality", US_national_yearly!$D:$AM, 21, FALSE) / VLOOKUP("transport|SO2|Infant mortality", US_national_yearly!$D:$AM, 10, FALSE), 1)</f>
        <v>5.3098367693761259E-7</v>
      </c>
      <c r="N3" s="7">
        <f>$B3 * IFERROR(VLOOKUP("transport|SO2|Infant mortality", US_national_yearly!$D:$AM, 22, FALSE) / VLOOKUP("transport|SO2|Infant mortality", US_national_yearly!$D:$AM, 10, FALSE), 1)</f>
        <v>5.2882511342251937E-7</v>
      </c>
      <c r="O3" s="7">
        <f>$B3 * IFERROR(VLOOKUP("transport|SO2|Infant mortality", US_national_yearly!$D:$AM, 23, FALSE) / VLOOKUP("transport|SO2|Infant mortality", US_national_yearly!$D:$AM, 10, FALSE), 1)</f>
        <v>5.2666654990742615E-7</v>
      </c>
      <c r="P3" s="7">
        <f>$B3 * IFERROR(VLOOKUP("transport|SO2|Infant mortality", US_national_yearly!$D:$AM, 24, FALSE) / VLOOKUP("transport|SO2|Infant mortality", US_national_yearly!$D:$AM, 10, FALSE), 1)</f>
        <v>5.2450798639233283E-7</v>
      </c>
      <c r="Q3" s="7">
        <f>$B3 * IFERROR(VLOOKUP("transport|SO2|Infant mortality", US_national_yearly!$D:$AM, 25, FALSE) / VLOOKUP("transport|SO2|Infant mortality", US_national_yearly!$D:$AM, 10, FALSE), 1)</f>
        <v>5.2234942287723961E-7</v>
      </c>
      <c r="R3" s="7">
        <f>$B3 * IFERROR(VLOOKUP("transport|SO2|Infant mortality", US_national_yearly!$D:$AM, 26, FALSE) / VLOOKUP("transport|SO2|Infant mortality", US_national_yearly!$D:$AM, 10, FALSE), 1)</f>
        <v>5.2019085936214628E-7</v>
      </c>
      <c r="S3" s="7">
        <f>$B3 * IFERROR(VLOOKUP("transport|SO2|Infant mortality", US_national_yearly!$D:$AM, 27, FALSE) / VLOOKUP("transport|SO2|Infant mortality", US_national_yearly!$D:$AM, 10, FALSE), 1)</f>
        <v>5.1748065136644247E-7</v>
      </c>
      <c r="T3" s="7">
        <f>$B3 * IFERROR(VLOOKUP("transport|SO2|Infant mortality", US_national_yearly!$D:$AM, 28, FALSE) / VLOOKUP("transport|SO2|Infant mortality", US_national_yearly!$D:$AM, 10, FALSE), 1)</f>
        <v>5.1477044337073866E-7</v>
      </c>
      <c r="U3" s="7">
        <f>$B3 * IFERROR(VLOOKUP("transport|SO2|Infant mortality", US_national_yearly!$D:$AM, 29, FALSE) / VLOOKUP("transport|SO2|Infant mortality", US_national_yearly!$D:$AM, 10, FALSE), 1)</f>
        <v>5.1206023537503464E-7</v>
      </c>
      <c r="V3" s="7">
        <f>$B3 * IFERROR(VLOOKUP("transport|SO2|Infant mortality", US_national_yearly!$D:$AM, 30, FALSE) / VLOOKUP("transport|SO2|Infant mortality", US_national_yearly!$D:$AM, 10, FALSE), 1)</f>
        <v>5.0935002737933082E-7</v>
      </c>
      <c r="W3" s="7">
        <f>$B3 * IFERROR(VLOOKUP("transport|SO2|Infant mortality", US_national_yearly!$D:$AM, 31, FALSE) / VLOOKUP("transport|SO2|Infant mortality", US_national_yearly!$D:$AM, 10, FALSE), 1)</f>
        <v>5.0663981938362691E-7</v>
      </c>
      <c r="X3" s="7">
        <f>$B3 * IFERROR(VLOOKUP("transport|SO2|Infant mortality", US_national_yearly!$D:$AM, 32, FALSE) / VLOOKUP("transport|SO2|Infant mortality", US_national_yearly!$D:$AM, 10, FALSE), 1)</f>
        <v>5.036767254788056E-7</v>
      </c>
      <c r="Y3" s="7">
        <f>$B3 * IFERROR(VLOOKUP("transport|SO2|Infant mortality", US_national_yearly!$D:$AM, 33, FALSE) / VLOOKUP("transport|SO2|Infant mortality", US_national_yearly!$D:$AM, 10, FALSE), 1)</f>
        <v>5.0071363157398418E-7</v>
      </c>
      <c r="Z3" s="7">
        <f>$B3 * IFERROR(VLOOKUP("transport|SO2|Infant mortality", US_national_yearly!$D:$AM, 34, FALSE) / VLOOKUP("transport|SO2|Infant mortality", US_national_yearly!$D:$AM, 10, FALSE), 1)</f>
        <v>4.9775053766916287E-7</v>
      </c>
      <c r="AA3" s="7">
        <f>$B3 * IFERROR(VLOOKUP("transport|SO2|Infant mortality", US_national_yearly!$D:$AM, 35, FALSE) / VLOOKUP("transport|SO2|Infant mortality", US_national_yearly!$D:$AM, 10, FALSE), 1)</f>
        <v>4.9478744376434134E-7</v>
      </c>
      <c r="AB3" s="7">
        <f>$B3 * IFERROR(VLOOKUP("transport|SO2|Infant mortality", US_national_yearly!$D:$AM, 36, FALSE) / VLOOKUP("transport|SO2|Infant mortality", US_national_yearly!$D:$AM, 10, FALSE), 1)</f>
        <v>4.9182434985952003E-7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1.8328916955992118E-3</v>
      </c>
      <c r="C6" s="7">
        <f>$B6 * IFERROR(VLOOKUP("transport|SO2|Asthma symptoms cough", US_national_yearly!$D:$AM, 11, FALSE) / VLOOKUP("transport|SO2|Asthma symptoms cough", US_national_yearly!$D:$AM, 10, FALSE), 1)</f>
        <v>1.8328916955992118E-3</v>
      </c>
      <c r="D6" s="7">
        <f>$B6 * IFERROR(VLOOKUP("transport|SO2|Asthma symptoms cough", US_national_yearly!$D:$AM, 12, FALSE) / VLOOKUP("transport|SO2|Asthma symptoms cough", US_national_yearly!$D:$AM, 10, FALSE), 1)</f>
        <v>1.8328916955992118E-3</v>
      </c>
      <c r="E6" s="7">
        <f>$B6 * IFERROR(VLOOKUP("transport|SO2|Asthma symptoms cough", US_national_yearly!$D:$AM, 13, FALSE) / VLOOKUP("transport|SO2|Asthma symptoms cough", US_national_yearly!$D:$AM, 10, FALSE), 1)</f>
        <v>1.8328916955992118E-3</v>
      </c>
      <c r="F6" s="7">
        <f>$B6 * IFERROR(VLOOKUP("transport|SO2|Asthma symptoms cough", US_national_yearly!$D:$AM, 14, FALSE) / VLOOKUP("transport|SO2|Asthma symptoms cough", US_national_yearly!$D:$AM, 10, FALSE), 1)</f>
        <v>1.8328916955992118E-3</v>
      </c>
      <c r="G6" s="7">
        <f>$B6 * IFERROR(VLOOKUP("transport|SO2|Asthma symptoms cough", US_national_yearly!$D:$AM, 15, FALSE) / VLOOKUP("transport|SO2|Asthma symptoms cough", US_national_yearly!$D:$AM, 10, FALSE), 1)</f>
        <v>1.8328916955992118E-3</v>
      </c>
      <c r="H6" s="7">
        <f>$B6 * IFERROR(VLOOKUP("transport|SO2|Asthma symptoms cough", US_national_yearly!$D:$AM, 16, FALSE) / VLOOKUP("transport|SO2|Asthma symptoms cough", US_national_yearly!$D:$AM, 10, FALSE), 1)</f>
        <v>1.8328916955992118E-3</v>
      </c>
      <c r="I6" s="7">
        <f>$B6 * IFERROR(VLOOKUP("transport|SO2|Asthma symptoms cough", US_national_yearly!$D:$AM, 17, FALSE) / VLOOKUP("transport|SO2|Asthma symptoms cough", US_national_yearly!$D:$AM, 10, FALSE), 1)</f>
        <v>1.8328916955992118E-3</v>
      </c>
      <c r="J6" s="7">
        <f>$B6 * IFERROR(VLOOKUP("transport|SO2|Asthma symptoms cough", US_national_yearly!$D:$AM, 18, FALSE) / VLOOKUP("transport|SO2|Asthma symptoms cough", US_national_yearly!$D:$AM, 10, FALSE), 1)</f>
        <v>1.8328916955992118E-3</v>
      </c>
      <c r="K6" s="7">
        <f>$B6 * IFERROR(VLOOKUP("transport|SO2|Asthma symptoms cough", US_national_yearly!$D:$AM, 19, FALSE) / VLOOKUP("transport|SO2|Asthma symptoms cough", US_national_yearly!$D:$AM, 10, FALSE), 1)</f>
        <v>1.8328916955992118E-3</v>
      </c>
      <c r="L6" s="7">
        <f>$B6 * IFERROR(VLOOKUP("transport|SO2|Asthma symptoms cough", US_national_yearly!$D:$AM, 20, FALSE) / VLOOKUP("transport|SO2|Asthma symptoms cough", US_national_yearly!$D:$AM, 10, FALSE), 1)</f>
        <v>1.8328916955992118E-3</v>
      </c>
      <c r="M6" s="7">
        <f>$B6 * IFERROR(VLOOKUP("transport|SO2|Asthma symptoms cough", US_national_yearly!$D:$AM, 21, FALSE) / VLOOKUP("transport|SO2|Asthma symptoms cough", US_national_yearly!$D:$AM, 10, FALSE), 1)</f>
        <v>1.8328916955992118E-3</v>
      </c>
      <c r="N6" s="7">
        <f>$B6 * IFERROR(VLOOKUP("transport|SO2|Asthma symptoms cough", US_national_yearly!$D:$AM, 22, FALSE) / VLOOKUP("transport|SO2|Asthma symptoms cough", US_national_yearly!$D:$AM, 10, FALSE), 1)</f>
        <v>1.8328916955992118E-3</v>
      </c>
      <c r="O6" s="7">
        <f>$B6 * IFERROR(VLOOKUP("transport|SO2|Asthma symptoms cough", US_national_yearly!$D:$AM, 23, FALSE) / VLOOKUP("transport|SO2|Asthma symptoms cough", US_national_yearly!$D:$AM, 10, FALSE), 1)</f>
        <v>1.8328916955992118E-3</v>
      </c>
      <c r="P6" s="7">
        <f>$B6 * IFERROR(VLOOKUP("transport|SO2|Asthma symptoms cough", US_national_yearly!$D:$AM, 24, FALSE) / VLOOKUP("transport|SO2|Asthma symptoms cough", US_national_yearly!$D:$AM, 10, FALSE), 1)</f>
        <v>1.8328916955992118E-3</v>
      </c>
      <c r="Q6" s="7">
        <f>$B6 * IFERROR(VLOOKUP("transport|SO2|Asthma symptoms cough", US_national_yearly!$D:$AM, 25, FALSE) / VLOOKUP("transport|SO2|Asthma symptoms cough", US_national_yearly!$D:$AM, 10, FALSE), 1)</f>
        <v>1.8328916955992118E-3</v>
      </c>
      <c r="R6" s="7">
        <f>$B6 * IFERROR(VLOOKUP("transport|SO2|Asthma symptoms cough", US_national_yearly!$D:$AM, 26, FALSE) / VLOOKUP("transport|SO2|Asthma symptoms cough", US_national_yearly!$D:$AM, 10, FALSE), 1)</f>
        <v>1.8328916955992118E-3</v>
      </c>
      <c r="S6" s="7">
        <f>$B6 * IFERROR(VLOOKUP("transport|SO2|Asthma symptoms cough", US_national_yearly!$D:$AM, 27, FALSE) / VLOOKUP("transport|SO2|Asthma symptoms cough", US_national_yearly!$D:$AM, 10, FALSE), 1)</f>
        <v>1.8328916955992118E-3</v>
      </c>
      <c r="T6" s="7">
        <f>$B6 * IFERROR(VLOOKUP("transport|SO2|Asthma symptoms cough", US_national_yearly!$D:$AM, 28, FALSE) / VLOOKUP("transport|SO2|Asthma symptoms cough", US_national_yearly!$D:$AM, 10, FALSE), 1)</f>
        <v>1.8328916955992118E-3</v>
      </c>
      <c r="U6" s="7">
        <f>$B6 * IFERROR(VLOOKUP("transport|SO2|Asthma symptoms cough", US_national_yearly!$D:$AM, 29, FALSE) / VLOOKUP("transport|SO2|Asthma symptoms cough", US_national_yearly!$D:$AM, 10, FALSE), 1)</f>
        <v>1.8328916955992118E-3</v>
      </c>
      <c r="V6" s="7">
        <f>$B6 * IFERROR(VLOOKUP("transport|SO2|Asthma symptoms cough", US_national_yearly!$D:$AM, 30, FALSE) / VLOOKUP("transport|SO2|Asthma symptoms cough", US_national_yearly!$D:$AM, 10, FALSE), 1)</f>
        <v>1.8328916955992118E-3</v>
      </c>
      <c r="W6" s="7">
        <f>$B6 * IFERROR(VLOOKUP("transport|SO2|Asthma symptoms cough", US_national_yearly!$D:$AM, 31, FALSE) / VLOOKUP("transport|SO2|Asthma symptoms cough", US_national_yearly!$D:$AM, 10, FALSE), 1)</f>
        <v>1.8328916955992118E-3</v>
      </c>
      <c r="X6" s="7">
        <f>$B6 * IFERROR(VLOOKUP("transport|SO2|Asthma symptoms cough", US_national_yearly!$D:$AM, 32, FALSE) / VLOOKUP("transport|SO2|Asthma symptoms cough", US_national_yearly!$D:$AM, 10, FALSE), 1)</f>
        <v>1.8328916955992118E-3</v>
      </c>
      <c r="Y6" s="7">
        <f>$B6 * IFERROR(VLOOKUP("transport|SO2|Asthma symptoms cough", US_national_yearly!$D:$AM, 33, FALSE) / VLOOKUP("transport|SO2|Asthma symptoms cough", US_national_yearly!$D:$AM, 10, FALSE), 1)</f>
        <v>1.8328916955992118E-3</v>
      </c>
      <c r="Z6" s="7">
        <f>$B6 * IFERROR(VLOOKUP("transport|SO2|Asthma symptoms cough", US_national_yearly!$D:$AM, 34, FALSE) / VLOOKUP("transport|SO2|Asthma symptoms cough", US_national_yearly!$D:$AM, 10, FALSE), 1)</f>
        <v>1.8328916955992118E-3</v>
      </c>
      <c r="AA6" s="7">
        <f>$B6 * IFERROR(VLOOKUP("transport|SO2|Asthma symptoms cough", US_national_yearly!$D:$AM, 35, FALSE) / VLOOKUP("transport|SO2|Asthma symptoms cough", US_national_yearly!$D:$AM, 10, FALSE), 1)</f>
        <v>1.8328916955992118E-3</v>
      </c>
      <c r="AB6" s="7">
        <f>$B6 * IFERROR(VLOOKUP("transport|SO2|Asthma symptoms cough", US_national_yearly!$D:$AM, 36, FALSE) / VLOOKUP("transport|SO2|Asthma symptoms cough", US_national_yearly!$D:$AM, 10, FALSE), 1)</f>
        <v>1.8328916955992118E-3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2.4682573482959157E-3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2.4682573482959157E-3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2.4682573482959157E-3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2.4682573482959157E-3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2.4682573482959157E-3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2.4682573482959157E-3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2.4682573482959157E-3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2.4682573482959157E-3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2.4682573482959157E-3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2.4682573482959157E-3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2.4682573482959157E-3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2.4682573482959157E-3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2.4682573482959157E-3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2.4682573482959157E-3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2.4682573482959157E-3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2.4682573482959157E-3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2.4682573482959157E-3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2.4682573482959157E-3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2.4682573482959157E-3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2.4682573482959157E-3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2.4682573482959157E-3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2.4682573482959157E-3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2.4682573482959157E-3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2.4682573482959157E-3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2.4682573482959157E-3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2.4682573482959157E-3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2.4682573482959157E-3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3.7710692314955573E-3</v>
      </c>
      <c r="C8" s="7">
        <f>$B8 * IFERROR(VLOOKUP("transport|SO2|Asthma symptoms wheeze", US_national_yearly!$D:$AM, 11, FALSE) / VLOOKUP("transport|SO2|Asthma symptoms wheeze", US_national_yearly!$D:$AM, 10, FALSE), 1)</f>
        <v>3.7710692314955573E-3</v>
      </c>
      <c r="D8" s="7">
        <f>$B8 * IFERROR(VLOOKUP("transport|SO2|Asthma symptoms wheeze", US_national_yearly!$D:$AM, 12, FALSE) / VLOOKUP("transport|SO2|Asthma symptoms wheeze", US_national_yearly!$D:$AM, 10, FALSE), 1)</f>
        <v>3.7710692314955573E-3</v>
      </c>
      <c r="E8" s="7">
        <f>$B8 * IFERROR(VLOOKUP("transport|SO2|Asthma symptoms wheeze", US_national_yearly!$D:$AM, 13, FALSE) / VLOOKUP("transport|SO2|Asthma symptoms wheeze", US_national_yearly!$D:$AM, 10, FALSE), 1)</f>
        <v>3.7710692314955573E-3</v>
      </c>
      <c r="F8" s="7">
        <f>$B8 * IFERROR(VLOOKUP("transport|SO2|Asthma symptoms wheeze", US_national_yearly!$D:$AM, 14, FALSE) / VLOOKUP("transport|SO2|Asthma symptoms wheeze", US_national_yearly!$D:$AM, 10, FALSE), 1)</f>
        <v>3.7710692314955573E-3</v>
      </c>
      <c r="G8" s="7">
        <f>$B8 * IFERROR(VLOOKUP("transport|SO2|Asthma symptoms wheeze", US_national_yearly!$D:$AM, 15, FALSE) / VLOOKUP("transport|SO2|Asthma symptoms wheeze", US_national_yearly!$D:$AM, 10, FALSE), 1)</f>
        <v>3.7710692314955573E-3</v>
      </c>
      <c r="H8" s="7">
        <f>$B8 * IFERROR(VLOOKUP("transport|SO2|Asthma symptoms wheeze", US_national_yearly!$D:$AM, 16, FALSE) / VLOOKUP("transport|SO2|Asthma symptoms wheeze", US_national_yearly!$D:$AM, 10, FALSE), 1)</f>
        <v>3.7710692314955573E-3</v>
      </c>
      <c r="I8" s="7">
        <f>$B8 * IFERROR(VLOOKUP("transport|SO2|Asthma symptoms wheeze", US_national_yearly!$D:$AM, 17, FALSE) / VLOOKUP("transport|SO2|Asthma symptoms wheeze", US_national_yearly!$D:$AM, 10, FALSE), 1)</f>
        <v>3.7710692314955573E-3</v>
      </c>
      <c r="J8" s="7">
        <f>$B8 * IFERROR(VLOOKUP("transport|SO2|Asthma symptoms wheeze", US_national_yearly!$D:$AM, 18, FALSE) / VLOOKUP("transport|SO2|Asthma symptoms wheeze", US_national_yearly!$D:$AM, 10, FALSE), 1)</f>
        <v>3.7710692314955573E-3</v>
      </c>
      <c r="K8" s="7">
        <f>$B8 * IFERROR(VLOOKUP("transport|SO2|Asthma symptoms wheeze", US_national_yearly!$D:$AM, 19, FALSE) / VLOOKUP("transport|SO2|Asthma symptoms wheeze", US_national_yearly!$D:$AM, 10, FALSE), 1)</f>
        <v>3.7710692314955573E-3</v>
      </c>
      <c r="L8" s="7">
        <f>$B8 * IFERROR(VLOOKUP("transport|SO2|Asthma symptoms wheeze", US_national_yearly!$D:$AM, 20, FALSE) / VLOOKUP("transport|SO2|Asthma symptoms wheeze", US_national_yearly!$D:$AM, 10, FALSE), 1)</f>
        <v>3.7710692314955573E-3</v>
      </c>
      <c r="M8" s="7">
        <f>$B8 * IFERROR(VLOOKUP("transport|SO2|Asthma symptoms wheeze", US_national_yearly!$D:$AM, 21, FALSE) / VLOOKUP("transport|SO2|Asthma symptoms wheeze", US_national_yearly!$D:$AM, 10, FALSE), 1)</f>
        <v>3.7710692314955573E-3</v>
      </c>
      <c r="N8" s="7">
        <f>$B8 * IFERROR(VLOOKUP("transport|SO2|Asthma symptoms wheeze", US_national_yearly!$D:$AM, 22, FALSE) / VLOOKUP("transport|SO2|Asthma symptoms wheeze", US_national_yearly!$D:$AM, 10, FALSE), 1)</f>
        <v>3.7710692314955573E-3</v>
      </c>
      <c r="O8" s="7">
        <f>$B8 * IFERROR(VLOOKUP("transport|SO2|Asthma symptoms wheeze", US_national_yearly!$D:$AM, 23, FALSE) / VLOOKUP("transport|SO2|Asthma symptoms wheeze", US_national_yearly!$D:$AM, 10, FALSE), 1)</f>
        <v>3.7710692314955573E-3</v>
      </c>
      <c r="P8" s="7">
        <f>$B8 * IFERROR(VLOOKUP("transport|SO2|Asthma symptoms wheeze", US_national_yearly!$D:$AM, 24, FALSE) / VLOOKUP("transport|SO2|Asthma symptoms wheeze", US_national_yearly!$D:$AM, 10, FALSE), 1)</f>
        <v>3.7710692314955573E-3</v>
      </c>
      <c r="Q8" s="7">
        <f>$B8 * IFERROR(VLOOKUP("transport|SO2|Asthma symptoms wheeze", US_national_yearly!$D:$AM, 25, FALSE) / VLOOKUP("transport|SO2|Asthma symptoms wheeze", US_national_yearly!$D:$AM, 10, FALSE), 1)</f>
        <v>3.7710692314955573E-3</v>
      </c>
      <c r="R8" s="7">
        <f>$B8 * IFERROR(VLOOKUP("transport|SO2|Asthma symptoms wheeze", US_national_yearly!$D:$AM, 26, FALSE) / VLOOKUP("transport|SO2|Asthma symptoms wheeze", US_national_yearly!$D:$AM, 10, FALSE), 1)</f>
        <v>3.7710692314955573E-3</v>
      </c>
      <c r="S8" s="7">
        <f>$B8 * IFERROR(VLOOKUP("transport|SO2|Asthma symptoms wheeze", US_national_yearly!$D:$AM, 27, FALSE) / VLOOKUP("transport|SO2|Asthma symptoms wheeze", US_national_yearly!$D:$AM, 10, FALSE), 1)</f>
        <v>3.7710692314955573E-3</v>
      </c>
      <c r="T8" s="7">
        <f>$B8 * IFERROR(VLOOKUP("transport|SO2|Asthma symptoms wheeze", US_national_yearly!$D:$AM, 28, FALSE) / VLOOKUP("transport|SO2|Asthma symptoms wheeze", US_national_yearly!$D:$AM, 10, FALSE), 1)</f>
        <v>3.7710692314955573E-3</v>
      </c>
      <c r="U8" s="7">
        <f>$B8 * IFERROR(VLOOKUP("transport|SO2|Asthma symptoms wheeze", US_national_yearly!$D:$AM, 29, FALSE) / VLOOKUP("transport|SO2|Asthma symptoms wheeze", US_national_yearly!$D:$AM, 10, FALSE), 1)</f>
        <v>3.7710692314955573E-3</v>
      </c>
      <c r="V8" s="7">
        <f>$B8 * IFERROR(VLOOKUP("transport|SO2|Asthma symptoms wheeze", US_national_yearly!$D:$AM, 30, FALSE) / VLOOKUP("transport|SO2|Asthma symptoms wheeze", US_national_yearly!$D:$AM, 10, FALSE), 1)</f>
        <v>3.7710692314955573E-3</v>
      </c>
      <c r="W8" s="7">
        <f>$B8 * IFERROR(VLOOKUP("transport|SO2|Asthma symptoms wheeze", US_national_yearly!$D:$AM, 31, FALSE) / VLOOKUP("transport|SO2|Asthma symptoms wheeze", US_national_yearly!$D:$AM, 10, FALSE), 1)</f>
        <v>3.7710692314955573E-3</v>
      </c>
      <c r="X8" s="7">
        <f>$B8 * IFERROR(VLOOKUP("transport|SO2|Asthma symptoms wheeze", US_national_yearly!$D:$AM, 32, FALSE) / VLOOKUP("transport|SO2|Asthma symptoms wheeze", US_national_yearly!$D:$AM, 10, FALSE), 1)</f>
        <v>3.7710692314955573E-3</v>
      </c>
      <c r="Y8" s="7">
        <f>$B8 * IFERROR(VLOOKUP("transport|SO2|Asthma symptoms wheeze", US_national_yearly!$D:$AM, 33, FALSE) / VLOOKUP("transport|SO2|Asthma symptoms wheeze", US_national_yearly!$D:$AM, 10, FALSE), 1)</f>
        <v>3.7710692314955573E-3</v>
      </c>
      <c r="Z8" s="7">
        <f>$B8 * IFERROR(VLOOKUP("transport|SO2|Asthma symptoms wheeze", US_national_yearly!$D:$AM, 34, FALSE) / VLOOKUP("transport|SO2|Asthma symptoms wheeze", US_national_yearly!$D:$AM, 10, FALSE), 1)</f>
        <v>3.7710692314955573E-3</v>
      </c>
      <c r="AA8" s="7">
        <f>$B8 * IFERROR(VLOOKUP("transport|SO2|Asthma symptoms wheeze", US_national_yearly!$D:$AM, 35, FALSE) / VLOOKUP("transport|SO2|Asthma symptoms wheeze", US_national_yearly!$D:$AM, 10, FALSE), 1)</f>
        <v>3.7710692314955573E-3</v>
      </c>
      <c r="AB8" s="7">
        <f>$B8 * IFERROR(VLOOKUP("transport|SO2|Asthma symptoms wheeze", US_national_yearly!$D:$AM, 36, FALSE) / VLOOKUP("transport|SO2|Asthma symptoms wheeze", US_national_yearly!$D:$AM, 10, FALSE), 1)</f>
        <v>3.7710692314955573E-3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4.3222818418436619E-5</v>
      </c>
      <c r="C12" s="7">
        <f>$B12 * IFERROR(VLOOKUP("transport|SO2|Respiratory hospital admissions", US_national_yearly!$D:$AM, 11, FALSE) / VLOOKUP("transport|SO2|Respiratory hospital admissions", US_national_yearly!$D:$AM, 10, FALSE), 1)</f>
        <v>4.3477748749422175E-5</v>
      </c>
      <c r="D12" s="7">
        <f>$B12 * IFERROR(VLOOKUP("transport|SO2|Respiratory hospital admissions", US_national_yearly!$D:$AM, 12, FALSE) / VLOOKUP("transport|SO2|Respiratory hospital admissions", US_national_yearly!$D:$AM, 10, FALSE), 1)</f>
        <v>4.3732679080407731E-5</v>
      </c>
      <c r="E12" s="7">
        <f>$B12 * IFERROR(VLOOKUP("transport|SO2|Respiratory hospital admissions", US_national_yearly!$D:$AM, 13, FALSE) / VLOOKUP("transport|SO2|Respiratory hospital admissions", US_national_yearly!$D:$AM, 10, FALSE), 1)</f>
        <v>4.3987609411393288E-5</v>
      </c>
      <c r="F12" s="7">
        <f>$B12 * IFERROR(VLOOKUP("transport|SO2|Respiratory hospital admissions", US_national_yearly!$D:$AM, 14, FALSE) / VLOOKUP("transport|SO2|Respiratory hospital admissions", US_national_yearly!$D:$AM, 10, FALSE), 1)</f>
        <v>4.4242539742378844E-5</v>
      </c>
      <c r="G12" s="7">
        <f>$B12 * IFERROR(VLOOKUP("transport|SO2|Respiratory hospital admissions", US_national_yearly!$D:$AM, 15, FALSE) / VLOOKUP("transport|SO2|Respiratory hospital admissions", US_national_yearly!$D:$AM, 10, FALSE), 1)</f>
        <v>4.4520456802505612E-5</v>
      </c>
      <c r="H12" s="7">
        <f>$B12 * IFERROR(VLOOKUP("transport|SO2|Respiratory hospital admissions", US_national_yearly!$D:$AM, 16, FALSE) / VLOOKUP("transport|SO2|Respiratory hospital admissions", US_national_yearly!$D:$AM, 10, FALSE), 1)</f>
        <v>4.4798373862632381E-5</v>
      </c>
      <c r="I12" s="7">
        <f>$B12 * IFERROR(VLOOKUP("transport|SO2|Respiratory hospital admissions", US_national_yearly!$D:$AM, 17, FALSE) / VLOOKUP("transport|SO2|Respiratory hospital admissions", US_national_yearly!$D:$AM, 10, FALSE), 1)</f>
        <v>4.507243317387049E-5</v>
      </c>
      <c r="J12" s="7">
        <f>$B12 * IFERROR(VLOOKUP("transport|SO2|Respiratory hospital admissions", US_national_yearly!$D:$AM, 18, FALSE) / VLOOKUP("transport|SO2|Respiratory hospital admissions", US_national_yearly!$D:$AM, 10, FALSE), 1)</f>
        <v>4.5346492485108605E-5</v>
      </c>
      <c r="K12" s="7">
        <f>$B12 * IFERROR(VLOOKUP("transport|SO2|Respiratory hospital admissions", US_national_yearly!$D:$AM, 19, FALSE) / VLOOKUP("transport|SO2|Respiratory hospital admissions", US_national_yearly!$D:$AM, 10, FALSE), 1)</f>
        <v>4.56205517963467E-5</v>
      </c>
      <c r="L12" s="7">
        <f>$B12 * IFERROR(VLOOKUP("transport|SO2|Respiratory hospital admissions", US_national_yearly!$D:$AM, 20, FALSE) / VLOOKUP("transport|SO2|Respiratory hospital admissions", US_national_yearly!$D:$AM, 10, FALSE), 1)</f>
        <v>4.5894611107584822E-5</v>
      </c>
      <c r="M12" s="7">
        <f>$B12 * IFERROR(VLOOKUP("transport|SO2|Respiratory hospital admissions", US_national_yearly!$D:$AM, 21, FALSE) / VLOOKUP("transport|SO2|Respiratory hospital admissions", US_national_yearly!$D:$AM, 10, FALSE), 1)</f>
        <v>4.6168670418822917E-5</v>
      </c>
      <c r="N12" s="7">
        <f>$B12 * IFERROR(VLOOKUP("transport|SO2|Respiratory hospital admissions", US_national_yearly!$D:$AM, 22, FALSE) / VLOOKUP("transport|SO2|Respiratory hospital admissions", US_national_yearly!$D:$AM, 10, FALSE), 1)</f>
        <v>4.6368725256200121E-5</v>
      </c>
      <c r="O12" s="7">
        <f>$B12 * IFERROR(VLOOKUP("transport|SO2|Respiratory hospital admissions", US_national_yearly!$D:$AM, 23, FALSE) / VLOOKUP("transport|SO2|Respiratory hospital admissions", US_national_yearly!$D:$AM, 10, FALSE), 1)</f>
        <v>4.6568780093577319E-5</v>
      </c>
      <c r="P12" s="7">
        <f>$B12 * IFERROR(VLOOKUP("transport|SO2|Respiratory hospital admissions", US_national_yearly!$D:$AM, 24, FALSE) / VLOOKUP("transport|SO2|Respiratory hospital admissions", US_national_yearly!$D:$AM, 10, FALSE), 1)</f>
        <v>4.6768834930954517E-5</v>
      </c>
      <c r="Q12" s="7">
        <f>$B12 * IFERROR(VLOOKUP("transport|SO2|Respiratory hospital admissions", US_national_yearly!$D:$AM, 25, FALSE) / VLOOKUP("transport|SO2|Respiratory hospital admissions", US_national_yearly!$D:$AM, 10, FALSE), 1)</f>
        <v>4.6968889768331721E-5</v>
      </c>
      <c r="R12" s="7">
        <f>$B12 * IFERROR(VLOOKUP("transport|SO2|Respiratory hospital admissions", US_national_yearly!$D:$AM, 26, FALSE) / VLOOKUP("transport|SO2|Respiratory hospital admissions", US_national_yearly!$D:$AM, 10, FALSE), 1)</f>
        <v>4.7168944605708919E-5</v>
      </c>
      <c r="S12" s="7">
        <f>$B12 * IFERROR(VLOOKUP("transport|SO2|Respiratory hospital admissions", US_national_yearly!$D:$AM, 27, FALSE) / VLOOKUP("transport|SO2|Respiratory hospital admissions", US_national_yearly!$D:$AM, 10, FALSE), 1)</f>
        <v>4.7359781655951945E-5</v>
      </c>
      <c r="T12" s="7">
        <f>$B12 * IFERROR(VLOOKUP("transport|SO2|Respiratory hospital admissions", US_national_yearly!$D:$AM, 28, FALSE) / VLOOKUP("transport|SO2|Respiratory hospital admissions", US_national_yearly!$D:$AM, 10, FALSE), 1)</f>
        <v>4.7550618706194957E-5</v>
      </c>
      <c r="U12" s="7">
        <f>$B12 * IFERROR(VLOOKUP("transport|SO2|Respiratory hospital admissions", US_national_yearly!$D:$AM, 29, FALSE) / VLOOKUP("transport|SO2|Respiratory hospital admissions", US_national_yearly!$D:$AM, 10, FALSE), 1)</f>
        <v>4.7741455756437983E-5</v>
      </c>
      <c r="V12" s="7">
        <f>$B12 * IFERROR(VLOOKUP("transport|SO2|Respiratory hospital admissions", US_national_yearly!$D:$AM, 30, FALSE) / VLOOKUP("transport|SO2|Respiratory hospital admissions", US_national_yearly!$D:$AM, 10, FALSE), 1)</f>
        <v>4.7932292806681009E-5</v>
      </c>
      <c r="W12" s="7">
        <f>$B12 * IFERROR(VLOOKUP("transport|SO2|Respiratory hospital admissions", US_national_yearly!$D:$AM, 31, FALSE) / VLOOKUP("transport|SO2|Respiratory hospital admissions", US_national_yearly!$D:$AM, 10, FALSE), 1)</f>
        <v>4.8123129856924035E-5</v>
      </c>
      <c r="X12" s="7">
        <f>$B12 * IFERROR(VLOOKUP("transport|SO2|Respiratory hospital admissions", US_national_yearly!$D:$AM, 32, FALSE) / VLOOKUP("transport|SO2|Respiratory hospital admissions", US_national_yearly!$D:$AM, 10, FALSE), 1)</f>
        <v>4.8304202885884454E-5</v>
      </c>
      <c r="Y12" s="7">
        <f>$B12 * IFERROR(VLOOKUP("transport|SO2|Respiratory hospital admissions", US_national_yearly!$D:$AM, 33, FALSE) / VLOOKUP("transport|SO2|Respiratory hospital admissions", US_national_yearly!$D:$AM, 10, FALSE), 1)</f>
        <v>4.848527591484488E-5</v>
      </c>
      <c r="Z12" s="7">
        <f>$B12 * IFERROR(VLOOKUP("transport|SO2|Respiratory hospital admissions", US_national_yearly!$D:$AM, 34, FALSE) / VLOOKUP("transport|SO2|Respiratory hospital admissions", US_national_yearly!$D:$AM, 10, FALSE), 1)</f>
        <v>4.8666348943805306E-5</v>
      </c>
      <c r="AA12" s="7">
        <f>$B12 * IFERROR(VLOOKUP("transport|SO2|Respiratory hospital admissions", US_national_yearly!$D:$AM, 35, FALSE) / VLOOKUP("transport|SO2|Respiratory hospital admissions", US_national_yearly!$D:$AM, 10, FALSE), 1)</f>
        <v>4.8847421972765732E-5</v>
      </c>
      <c r="AB12" s="7">
        <f>$B12 * IFERROR(VLOOKUP("transport|SO2|Respiratory hospital admissions", US_national_yearly!$D:$AM, 36, FALSE) / VLOOKUP("transport|SO2|Respiratory hospital admissions", US_national_yearly!$D:$AM, 10, FALSE), 1)</f>
        <v>4.9028495001726165E-5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2.4468641662922654E-4</v>
      </c>
      <c r="C13" s="7">
        <f>$B13 * IFERROR(VLOOKUP("transport|SO2|Non-fatal heart attacks", US_national_yearly!$D:$AM, 11, FALSE) / VLOOKUP("transport|SO2|Non-fatal heart attacks", US_national_yearly!$D:$AM, 10, FALSE), 1)</f>
        <v>2.518695210716646E-4</v>
      </c>
      <c r="D13" s="7">
        <f>$B13 * IFERROR(VLOOKUP("transport|SO2|Non-fatal heart attacks", US_national_yearly!$D:$AM, 12, FALSE) / VLOOKUP("transport|SO2|Non-fatal heart attacks", US_national_yearly!$D:$AM, 10, FALSE), 1)</f>
        <v>2.5905262551410266E-4</v>
      </c>
      <c r="E13" s="7">
        <f>$B13 * IFERROR(VLOOKUP("transport|SO2|Non-fatal heart attacks", US_national_yearly!$D:$AM, 13, FALSE) / VLOOKUP("transport|SO2|Non-fatal heart attacks", US_national_yearly!$D:$AM, 10, FALSE), 1)</f>
        <v>2.6623572995654072E-4</v>
      </c>
      <c r="F13" s="7">
        <f>$B13 * IFERROR(VLOOKUP("transport|SO2|Non-fatal heart attacks", US_national_yearly!$D:$AM, 14, FALSE) / VLOOKUP("transport|SO2|Non-fatal heart attacks", US_national_yearly!$D:$AM, 10, FALSE), 1)</f>
        <v>2.7341883439897872E-4</v>
      </c>
      <c r="G13" s="7">
        <f>$B13 * IFERROR(VLOOKUP("transport|SO2|Non-fatal heart attacks", US_national_yearly!$D:$AM, 15, FALSE) / VLOOKUP("transport|SO2|Non-fatal heart attacks", US_national_yearly!$D:$AM, 10, FALSE), 1)</f>
        <v>2.8019316816183741E-4</v>
      </c>
      <c r="H13" s="7">
        <f>$B13 * IFERROR(VLOOKUP("transport|SO2|Non-fatal heart attacks", US_national_yearly!$D:$AM, 16, FALSE) / VLOOKUP("transport|SO2|Non-fatal heart attacks", US_national_yearly!$D:$AM, 10, FALSE), 1)</f>
        <v>2.8696750192469609E-4</v>
      </c>
      <c r="I13" s="7">
        <f>$B13 * IFERROR(VLOOKUP("transport|SO2|Non-fatal heart attacks", US_national_yearly!$D:$AM, 17, FALSE) / VLOOKUP("transport|SO2|Non-fatal heart attacks", US_national_yearly!$D:$AM, 10, FALSE), 1)</f>
        <v>2.924187169483797E-4</v>
      </c>
      <c r="J13" s="7">
        <f>$B13 * IFERROR(VLOOKUP("transport|SO2|Non-fatal heart attacks", US_national_yearly!$D:$AM, 18, FALSE) / VLOOKUP("transport|SO2|Non-fatal heart attacks", US_national_yearly!$D:$AM, 10, FALSE), 1)</f>
        <v>2.9786993197206336E-4</v>
      </c>
      <c r="K13" s="7">
        <f>$B13 * IFERROR(VLOOKUP("transport|SO2|Non-fatal heart attacks", US_national_yearly!$D:$AM, 19, FALSE) / VLOOKUP("transport|SO2|Non-fatal heart attacks", US_national_yearly!$D:$AM, 10, FALSE), 1)</f>
        <v>3.0332114699574696E-4</v>
      </c>
      <c r="L13" s="7">
        <f>$B13 * IFERROR(VLOOKUP("transport|SO2|Non-fatal heart attacks", US_national_yearly!$D:$AM, 20, FALSE) / VLOOKUP("transport|SO2|Non-fatal heart attacks", US_national_yearly!$D:$AM, 10, FALSE), 1)</f>
        <v>3.0877236201943062E-4</v>
      </c>
      <c r="M13" s="7">
        <f>$B13 * IFERROR(VLOOKUP("transport|SO2|Non-fatal heart attacks", US_national_yearly!$D:$AM, 21, FALSE) / VLOOKUP("transport|SO2|Non-fatal heart attacks", US_national_yearly!$D:$AM, 10, FALSE), 1)</f>
        <v>3.1422357704311428E-4</v>
      </c>
      <c r="N13" s="7">
        <f>$B13 * IFERROR(VLOOKUP("transport|SO2|Non-fatal heart attacks", US_national_yearly!$D:$AM, 22, FALSE) / VLOOKUP("transport|SO2|Non-fatal heart attacks", US_national_yearly!$D:$AM, 10, FALSE), 1)</f>
        <v>3.177631168174074E-4</v>
      </c>
      <c r="O13" s="7">
        <f>$B13 * IFERROR(VLOOKUP("transport|SO2|Non-fatal heart attacks", US_national_yearly!$D:$AM, 23, FALSE) / VLOOKUP("transport|SO2|Non-fatal heart attacks", US_national_yearly!$D:$AM, 10, FALSE), 1)</f>
        <v>3.2130265659170064E-4</v>
      </c>
      <c r="P13" s="7">
        <f>$B13 * IFERROR(VLOOKUP("transport|SO2|Non-fatal heart attacks", US_national_yearly!$D:$AM, 24, FALSE) / VLOOKUP("transport|SO2|Non-fatal heart attacks", US_national_yearly!$D:$AM, 10, FALSE), 1)</f>
        <v>3.2484219636599388E-4</v>
      </c>
      <c r="Q13" s="7">
        <f>$B13 * IFERROR(VLOOKUP("transport|SO2|Non-fatal heart attacks", US_national_yearly!$D:$AM, 25, FALSE) / VLOOKUP("transport|SO2|Non-fatal heart attacks", US_national_yearly!$D:$AM, 10, FALSE), 1)</f>
        <v>3.2838173614028701E-4</v>
      </c>
      <c r="R13" s="7">
        <f>$B13 * IFERROR(VLOOKUP("transport|SO2|Non-fatal heart attacks", US_national_yearly!$D:$AM, 26, FALSE) / VLOOKUP("transport|SO2|Non-fatal heart attacks", US_national_yearly!$D:$AM, 10, FALSE), 1)</f>
        <v>3.3192127591458019E-4</v>
      </c>
      <c r="S13" s="7">
        <f>$B13 * IFERROR(VLOOKUP("transport|SO2|Non-fatal heart attacks", US_national_yearly!$D:$AM, 27, FALSE) / VLOOKUP("transport|SO2|Non-fatal heart attacks", US_national_yearly!$D:$AM, 10, FALSE), 1)</f>
        <v>3.3376924972157413E-4</v>
      </c>
      <c r="T13" s="7">
        <f>$B13 * IFERROR(VLOOKUP("transport|SO2|Non-fatal heart attacks", US_national_yearly!$D:$AM, 28, FALSE) / VLOOKUP("transport|SO2|Non-fatal heart attacks", US_national_yearly!$D:$AM, 10, FALSE), 1)</f>
        <v>3.3561722352856807E-4</v>
      </c>
      <c r="U13" s="7">
        <f>$B13 * IFERROR(VLOOKUP("transport|SO2|Non-fatal heart attacks", US_national_yearly!$D:$AM, 29, FALSE) / VLOOKUP("transport|SO2|Non-fatal heart attacks", US_national_yearly!$D:$AM, 10, FALSE), 1)</f>
        <v>3.3746519733556196E-4</v>
      </c>
      <c r="V13" s="7">
        <f>$B13 * IFERROR(VLOOKUP("transport|SO2|Non-fatal heart attacks", US_national_yearly!$D:$AM, 30, FALSE) / VLOOKUP("transport|SO2|Non-fatal heart attacks", US_national_yearly!$D:$AM, 10, FALSE), 1)</f>
        <v>3.3931317114255585E-4</v>
      </c>
      <c r="W13" s="7">
        <f>$B13 * IFERROR(VLOOKUP("transport|SO2|Non-fatal heart attacks", US_national_yearly!$D:$AM, 31, FALSE) / VLOOKUP("transport|SO2|Non-fatal heart attacks", US_national_yearly!$D:$AM, 10, FALSE), 1)</f>
        <v>3.4116114494954979E-4</v>
      </c>
      <c r="X13" s="7">
        <f>$B13 * IFERROR(VLOOKUP("transport|SO2|Non-fatal heart attacks", US_national_yearly!$D:$AM, 32, FALSE) / VLOOKUP("transport|SO2|Non-fatal heart attacks", US_national_yearly!$D:$AM, 10, FALSE), 1)</f>
        <v>3.4255620352444441E-4</v>
      </c>
      <c r="Y13" s="7">
        <f>$B13 * IFERROR(VLOOKUP("transport|SO2|Non-fatal heart attacks", US_national_yearly!$D:$AM, 33, FALSE) / VLOOKUP("transport|SO2|Non-fatal heart attacks", US_national_yearly!$D:$AM, 10, FALSE), 1)</f>
        <v>3.4395126209933903E-4</v>
      </c>
      <c r="Z13" s="7">
        <f>$B13 * IFERROR(VLOOKUP("transport|SO2|Non-fatal heart attacks", US_national_yearly!$D:$AM, 34, FALSE) / VLOOKUP("transport|SO2|Non-fatal heart attacks", US_national_yearly!$D:$AM, 10, FALSE), 1)</f>
        <v>3.453463206742337E-4</v>
      </c>
      <c r="AA13" s="7">
        <f>$B13 * IFERROR(VLOOKUP("transport|SO2|Non-fatal heart attacks", US_national_yearly!$D:$AM, 35, FALSE) / VLOOKUP("transport|SO2|Non-fatal heart attacks", US_national_yearly!$D:$AM, 10, FALSE), 1)</f>
        <v>3.4674137924912832E-4</v>
      </c>
      <c r="AB13" s="7">
        <f>$B13 * IFERROR(VLOOKUP("transport|SO2|Non-fatal heart attacks", US_national_yearly!$D:$AM, 36, FALSE) / VLOOKUP("transport|SO2|Non-fatal heart attacks", US_national_yearly!$D:$AM, 10, FALSE), 1)</f>
        <v>3.4813643782402294E-4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0.2206113477469199</v>
      </c>
      <c r="C14" s="7">
        <f>$B14 * IFERROR(VLOOKUP("transport|SO2|Minor restricted activity days", US_national_yearly!$D:$AM, 11, FALSE) / VLOOKUP("transport|SO2|Minor restricted activity days", US_national_yearly!$D:$AM, 10, FALSE), 1)</f>
        <v>0.22116743544858258</v>
      </c>
      <c r="D14" s="7">
        <f>$B14 * IFERROR(VLOOKUP("transport|SO2|Minor restricted activity days", US_national_yearly!$D:$AM, 12, FALSE) / VLOOKUP("transport|SO2|Minor restricted activity days", US_national_yearly!$D:$AM, 10, FALSE), 1)</f>
        <v>0.22172352315024521</v>
      </c>
      <c r="E14" s="7">
        <f>$B14 * IFERROR(VLOOKUP("transport|SO2|Minor restricted activity days", US_national_yearly!$D:$AM, 13, FALSE) / VLOOKUP("transport|SO2|Minor restricted activity days", US_national_yearly!$D:$AM, 10, FALSE), 1)</f>
        <v>0.22227961085190789</v>
      </c>
      <c r="F14" s="7">
        <f>$B14 * IFERROR(VLOOKUP("transport|SO2|Minor restricted activity days", US_national_yearly!$D:$AM, 14, FALSE) / VLOOKUP("transport|SO2|Minor restricted activity days", US_national_yearly!$D:$AM, 10, FALSE), 1)</f>
        <v>0.22283569855357052</v>
      </c>
      <c r="G14" s="7">
        <f>$B14 * IFERROR(VLOOKUP("transport|SO2|Minor restricted activity days", US_national_yearly!$D:$AM, 15, FALSE) / VLOOKUP("transport|SO2|Minor restricted activity days", US_national_yearly!$D:$AM, 10, FALSE), 1)</f>
        <v>0.22365420502005709</v>
      </c>
      <c r="H14" s="7">
        <f>$B14 * IFERROR(VLOOKUP("transport|SO2|Minor restricted activity days", US_national_yearly!$D:$AM, 16, FALSE) / VLOOKUP("transport|SO2|Minor restricted activity days", US_national_yearly!$D:$AM, 10, FALSE), 1)</f>
        <v>0.22447271148654369</v>
      </c>
      <c r="I14" s="7">
        <f>$B14 * IFERROR(VLOOKUP("transport|SO2|Minor restricted activity days", US_national_yearly!$D:$AM, 17, FALSE) / VLOOKUP("transport|SO2|Minor restricted activity days", US_national_yearly!$D:$AM, 10, FALSE), 1)</f>
        <v>0.22586859797139502</v>
      </c>
      <c r="J14" s="7">
        <f>$B14 * IFERROR(VLOOKUP("transport|SO2|Minor restricted activity days", US_national_yearly!$D:$AM, 18, FALSE) / VLOOKUP("transport|SO2|Minor restricted activity days", US_national_yearly!$D:$AM, 10, FALSE), 1)</f>
        <v>0.22726448445624636</v>
      </c>
      <c r="K14" s="7">
        <f>$B14 * IFERROR(VLOOKUP("transport|SO2|Minor restricted activity days", US_national_yearly!$D:$AM, 19, FALSE) / VLOOKUP("transport|SO2|Minor restricted activity days", US_national_yearly!$D:$AM, 10, FALSE), 1)</f>
        <v>0.22866037094109773</v>
      </c>
      <c r="L14" s="7">
        <f>$B14 * IFERROR(VLOOKUP("transport|SO2|Minor restricted activity days", US_national_yearly!$D:$AM, 20, FALSE) / VLOOKUP("transport|SO2|Minor restricted activity days", US_national_yearly!$D:$AM, 10, FALSE), 1)</f>
        <v>0.23005625742594907</v>
      </c>
      <c r="M14" s="7">
        <f>$B14 * IFERROR(VLOOKUP("transport|SO2|Minor restricted activity days", US_national_yearly!$D:$AM, 21, FALSE) / VLOOKUP("transport|SO2|Minor restricted activity days", US_national_yearly!$D:$AM, 10, FALSE), 1)</f>
        <v>0.23145214391080041</v>
      </c>
      <c r="N14" s="7">
        <f>$B14 * IFERROR(VLOOKUP("transport|SO2|Minor restricted activity days", US_national_yearly!$D:$AM, 22, FALSE) / VLOOKUP("transport|SO2|Minor restricted activity days", US_national_yearly!$D:$AM, 10, FALSE), 1)</f>
        <v>0.23336149263955774</v>
      </c>
      <c r="O14" s="7">
        <f>$B14 * IFERROR(VLOOKUP("transport|SO2|Minor restricted activity days", US_national_yearly!$D:$AM, 23, FALSE) / VLOOKUP("transport|SO2|Minor restricted activity days", US_national_yearly!$D:$AM, 10, FALSE), 1)</f>
        <v>0.23527084136831505</v>
      </c>
      <c r="P14" s="7">
        <f>$B14 * IFERROR(VLOOKUP("transport|SO2|Minor restricted activity days", US_national_yearly!$D:$AM, 24, FALSE) / VLOOKUP("transport|SO2|Minor restricted activity days", US_national_yearly!$D:$AM, 10, FALSE), 1)</f>
        <v>0.23718019009707236</v>
      </c>
      <c r="Q14" s="7">
        <f>$B14 * IFERROR(VLOOKUP("transport|SO2|Minor restricted activity days", US_national_yearly!$D:$AM, 25, FALSE) / VLOOKUP("transport|SO2|Minor restricted activity days", US_national_yearly!$D:$AM, 10, FALSE), 1)</f>
        <v>0.23908953882582967</v>
      </c>
      <c r="R14" s="7">
        <f>$B14 * IFERROR(VLOOKUP("transport|SO2|Minor restricted activity days", US_national_yearly!$D:$AM, 26, FALSE) / VLOOKUP("transport|SO2|Minor restricted activity days", US_national_yearly!$D:$AM, 10, FALSE), 1)</f>
        <v>0.24099888755458701</v>
      </c>
      <c r="S14" s="7">
        <f>$B14 * IFERROR(VLOOKUP("transport|SO2|Minor restricted activity days", US_national_yearly!$D:$AM, 27, FALSE) / VLOOKUP("transport|SO2|Minor restricted activity days", US_national_yearly!$D:$AM, 10, FALSE), 1)</f>
        <v>0.24294565545900915</v>
      </c>
      <c r="T14" s="7">
        <f>$B14 * IFERROR(VLOOKUP("transport|SO2|Minor restricted activity days", US_national_yearly!$D:$AM, 28, FALSE) / VLOOKUP("transport|SO2|Minor restricted activity days", US_national_yearly!$D:$AM, 10, FALSE), 1)</f>
        <v>0.24489242336343126</v>
      </c>
      <c r="U14" s="7">
        <f>$B14 * IFERROR(VLOOKUP("transport|SO2|Minor restricted activity days", US_national_yearly!$D:$AM, 29, FALSE) / VLOOKUP("transport|SO2|Minor restricted activity days", US_national_yearly!$D:$AM, 10, FALSE), 1)</f>
        <v>0.24683919126785339</v>
      </c>
      <c r="V14" s="7">
        <f>$B14 * IFERROR(VLOOKUP("transport|SO2|Minor restricted activity days", US_national_yearly!$D:$AM, 30, FALSE) / VLOOKUP("transport|SO2|Minor restricted activity days", US_national_yearly!$D:$AM, 10, FALSE), 1)</f>
        <v>0.24878595917227553</v>
      </c>
      <c r="W14" s="7">
        <f>$B14 * IFERROR(VLOOKUP("transport|SO2|Minor restricted activity days", US_national_yearly!$D:$AM, 31, FALSE) / VLOOKUP("transport|SO2|Minor restricted activity days", US_national_yearly!$D:$AM, 10, FALSE), 1)</f>
        <v>0.25073272707669769</v>
      </c>
      <c r="X14" s="7">
        <f>$B14 * IFERROR(VLOOKUP("transport|SO2|Minor restricted activity days", US_national_yearly!$D:$AM, 32, FALSE) / VLOOKUP("transport|SO2|Minor restricted activity days", US_national_yearly!$D:$AM, 10, FALSE), 1)</f>
        <v>0.25244475431300684</v>
      </c>
      <c r="Y14" s="7">
        <f>$B14 * IFERROR(VLOOKUP("transport|SO2|Minor restricted activity days", US_national_yearly!$D:$AM, 33, FALSE) / VLOOKUP("transport|SO2|Minor restricted activity days", US_national_yearly!$D:$AM, 10, FALSE), 1)</f>
        <v>0.25415678154931598</v>
      </c>
      <c r="Z14" s="7">
        <f>$B14 * IFERROR(VLOOKUP("transport|SO2|Minor restricted activity days", US_national_yearly!$D:$AM, 34, FALSE) / VLOOKUP("transport|SO2|Minor restricted activity days", US_national_yearly!$D:$AM, 10, FALSE), 1)</f>
        <v>0.25586880878562518</v>
      </c>
      <c r="AA14" s="7">
        <f>$B14 * IFERROR(VLOOKUP("transport|SO2|Minor restricted activity days", US_national_yearly!$D:$AM, 35, FALSE) / VLOOKUP("transport|SO2|Minor restricted activity days", US_national_yearly!$D:$AM, 10, FALSE), 1)</f>
        <v>0.25758083602193432</v>
      </c>
      <c r="AB14" s="7">
        <f>$B14 * IFERROR(VLOOKUP("transport|SO2|Minor restricted activity days", US_national_yearly!$D:$AM, 36, FALSE) / VLOOKUP("transport|SO2|Minor restricted activity days", US_national_yearly!$D:$AM, 10, FALSE), 1)</f>
        <v>0.25929286325824347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3.748013177042199E-2</v>
      </c>
      <c r="C15" s="7">
        <f>$B15 * IFERROR(VLOOKUP("transport|SO2|Work loss days", US_national_yearly!$D:$AM, 11, FALSE) / VLOOKUP("transport|SO2|Work loss days", US_national_yearly!$D:$AM, 10, FALSE), 1)</f>
        <v>3.7601561440418131E-2</v>
      </c>
      <c r="D15" s="7">
        <f>$B15 * IFERROR(VLOOKUP("transport|SO2|Work loss days", US_national_yearly!$D:$AM, 12, FALSE) / VLOOKUP("transport|SO2|Work loss days", US_national_yearly!$D:$AM, 10, FALSE), 1)</f>
        <v>3.7722991110414272E-2</v>
      </c>
      <c r="E15" s="7">
        <f>$B15 * IFERROR(VLOOKUP("transport|SO2|Work loss days", US_national_yearly!$D:$AM, 13, FALSE) / VLOOKUP("transport|SO2|Work loss days", US_national_yearly!$D:$AM, 10, FALSE), 1)</f>
        <v>3.7844420780410414E-2</v>
      </c>
      <c r="F15" s="7">
        <f>$B15 * IFERROR(VLOOKUP("transport|SO2|Work loss days", US_national_yearly!$D:$AM, 14, FALSE) / VLOOKUP("transport|SO2|Work loss days", US_national_yearly!$D:$AM, 10, FALSE), 1)</f>
        <v>3.7965850450406555E-2</v>
      </c>
      <c r="G15" s="7">
        <f>$B15 * IFERROR(VLOOKUP("transport|SO2|Work loss days", US_national_yearly!$D:$AM, 15, FALSE) / VLOOKUP("transport|SO2|Work loss days", US_national_yearly!$D:$AM, 10, FALSE), 1)</f>
        <v>3.8124513172126291E-2</v>
      </c>
      <c r="H15" s="7">
        <f>$B15 * IFERROR(VLOOKUP("transport|SO2|Work loss days", US_national_yearly!$D:$AM, 16, FALSE) / VLOOKUP("transport|SO2|Work loss days", US_national_yearly!$D:$AM, 10, FALSE), 1)</f>
        <v>3.8283175893846014E-2</v>
      </c>
      <c r="I15" s="7">
        <f>$B15 * IFERROR(VLOOKUP("transport|SO2|Work loss days", US_national_yearly!$D:$AM, 17, FALSE) / VLOOKUP("transport|SO2|Work loss days", US_national_yearly!$D:$AM, 10, FALSE), 1)</f>
        <v>3.8515278156788187E-2</v>
      </c>
      <c r="J15" s="7">
        <f>$B15 * IFERROR(VLOOKUP("transport|SO2|Work loss days", US_national_yearly!$D:$AM, 18, FALSE) / VLOOKUP("transport|SO2|Work loss days", US_national_yearly!$D:$AM, 10, FALSE), 1)</f>
        <v>3.874738041973036E-2</v>
      </c>
      <c r="K15" s="7">
        <f>$B15 * IFERROR(VLOOKUP("transport|SO2|Work loss days", US_national_yearly!$D:$AM, 19, FALSE) / VLOOKUP("transport|SO2|Work loss days", US_national_yearly!$D:$AM, 10, FALSE), 1)</f>
        <v>3.8979482682672532E-2</v>
      </c>
      <c r="L15" s="7">
        <f>$B15 * IFERROR(VLOOKUP("transport|SO2|Work loss days", US_national_yearly!$D:$AM, 20, FALSE) / VLOOKUP("transport|SO2|Work loss days", US_national_yearly!$D:$AM, 10, FALSE), 1)</f>
        <v>3.9211584945614705E-2</v>
      </c>
      <c r="M15" s="7">
        <f>$B15 * IFERROR(VLOOKUP("transport|SO2|Work loss days", US_national_yearly!$D:$AM, 21, FALSE) / VLOOKUP("transport|SO2|Work loss days", US_national_yearly!$D:$AM, 10, FALSE), 1)</f>
        <v>3.9443687208556885E-2</v>
      </c>
      <c r="N15" s="7">
        <f>$B15 * IFERROR(VLOOKUP("transport|SO2|Work loss days", US_national_yearly!$D:$AM, 22, FALSE) / VLOOKUP("transport|SO2|Work loss days", US_national_yearly!$D:$AM, 10, FALSE), 1)</f>
        <v>3.973470583398047E-2</v>
      </c>
      <c r="O15" s="7">
        <f>$B15 * IFERROR(VLOOKUP("transport|SO2|Work loss days", US_national_yearly!$D:$AM, 23, FALSE) / VLOOKUP("transport|SO2|Work loss days", US_national_yearly!$D:$AM, 10, FALSE), 1)</f>
        <v>4.0025724459404055E-2</v>
      </c>
      <c r="P15" s="7">
        <f>$B15 * IFERROR(VLOOKUP("transport|SO2|Work loss days", US_national_yearly!$D:$AM, 24, FALSE) / VLOOKUP("transport|SO2|Work loss days", US_national_yearly!$D:$AM, 10, FALSE), 1)</f>
        <v>4.0316743084827633E-2</v>
      </c>
      <c r="Q15" s="7">
        <f>$B15 * IFERROR(VLOOKUP("transport|SO2|Work loss days", US_national_yearly!$D:$AM, 25, FALSE) / VLOOKUP("transport|SO2|Work loss days", US_national_yearly!$D:$AM, 10, FALSE), 1)</f>
        <v>4.0607761710251225E-2</v>
      </c>
      <c r="R15" s="7">
        <f>$B15 * IFERROR(VLOOKUP("transport|SO2|Work loss days", US_national_yearly!$D:$AM, 26, FALSE) / VLOOKUP("transport|SO2|Work loss days", US_national_yearly!$D:$AM, 10, FALSE), 1)</f>
        <v>4.089878033567481E-2</v>
      </c>
      <c r="S15" s="7">
        <f>$B15 * IFERROR(VLOOKUP("transport|SO2|Work loss days", US_national_yearly!$D:$AM, 27, FALSE) / VLOOKUP("transport|SO2|Work loss days", US_national_yearly!$D:$AM, 10, FALSE), 1)</f>
        <v>4.1223992690109512E-2</v>
      </c>
      <c r="T15" s="7">
        <f>$B15 * IFERROR(VLOOKUP("transport|SO2|Work loss days", US_national_yearly!$D:$AM, 28, FALSE) / VLOOKUP("transport|SO2|Work loss days", US_national_yearly!$D:$AM, 10, FALSE), 1)</f>
        <v>4.1549205044544228E-2</v>
      </c>
      <c r="U15" s="7">
        <f>$B15 * IFERROR(VLOOKUP("transport|SO2|Work loss days", US_national_yearly!$D:$AM, 29, FALSE) / VLOOKUP("transport|SO2|Work loss days", US_national_yearly!$D:$AM, 10, FALSE), 1)</f>
        <v>4.187441739897893E-2</v>
      </c>
      <c r="V15" s="7">
        <f>$B15 * IFERROR(VLOOKUP("transport|SO2|Work loss days", US_national_yearly!$D:$AM, 30, FALSE) / VLOOKUP("transport|SO2|Work loss days", US_national_yearly!$D:$AM, 10, FALSE), 1)</f>
        <v>4.2199629753413632E-2</v>
      </c>
      <c r="W15" s="7">
        <f>$B15 * IFERROR(VLOOKUP("transport|SO2|Work loss days", US_national_yearly!$D:$AM, 31, FALSE) / VLOOKUP("transport|SO2|Work loss days", US_national_yearly!$D:$AM, 10, FALSE), 1)</f>
        <v>4.2524842107848349E-2</v>
      </c>
      <c r="X15" s="7">
        <f>$B15 * IFERROR(VLOOKUP("transport|SO2|Work loss days", US_national_yearly!$D:$AM, 32, FALSE) / VLOOKUP("transport|SO2|Work loss days", US_national_yearly!$D:$AM, 10, FALSE), 1)</f>
        <v>4.2816837975960496E-2</v>
      </c>
      <c r="Y15" s="7">
        <f>$B15 * IFERROR(VLOOKUP("transport|SO2|Work loss days", US_national_yearly!$D:$AM, 33, FALSE) / VLOOKUP("transport|SO2|Work loss days", US_national_yearly!$D:$AM, 10, FALSE), 1)</f>
        <v>4.3108833844072658E-2</v>
      </c>
      <c r="Z15" s="7">
        <f>$B15 * IFERROR(VLOOKUP("transport|SO2|Work loss days", US_national_yearly!$D:$AM, 34, FALSE) / VLOOKUP("transport|SO2|Work loss days", US_national_yearly!$D:$AM, 10, FALSE), 1)</f>
        <v>4.3400829712184813E-2</v>
      </c>
      <c r="AA15" s="7">
        <f>$B15 * IFERROR(VLOOKUP("transport|SO2|Work loss days", US_national_yearly!$D:$AM, 35, FALSE) / VLOOKUP("transport|SO2|Work loss days", US_national_yearly!$D:$AM, 10, FALSE), 1)</f>
        <v>4.3692825580296975E-2</v>
      </c>
      <c r="AB15" s="7">
        <f>$B15 * IFERROR(VLOOKUP("transport|SO2|Work loss days", US_national_yearly!$D:$AM, 36, FALSE) / VLOOKUP("transport|SO2|Work loss days", US_national_yearly!$D:$AM, 10, FALSE), 1)</f>
        <v>4.398482144840913E-2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7.1917836085665121E-5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7.4092906852622883E-5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7.6267977619580646E-5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7.8443048386538409E-5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8.0618119153496185E-5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8.2701630131338337E-5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8.4785141109180515E-5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8.6570303423573301E-5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8.8355465737966101E-5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9.0140628052358886E-5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9.1925790366751686E-5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9.3710952681144458E-5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9.4910175114700678E-5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9.6109397548256871E-5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9.7308619981813064E-5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9.8507842415369271E-5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9.9707064848925477E-5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1.0033777046425901E-4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1.0096847607959256E-4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1.015991816949261E-4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1.0222988731025965E-4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1.0286059292559319E-4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1.0328400645470131E-4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1.0370741998380944E-4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1.0413083351291756E-4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1.045542470420257E-4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1.049776605711338E-4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1.5182706265761451E-3</v>
      </c>
      <c r="C2" s="7">
        <f>$B2 * IFERROR(VLOOKUP("electricity|PM25|Premature mortality", US_national_yearly!$D:$AM, 11, FALSE) / VLOOKUP("electricity|PM25|Premature mortality", US_national_yearly!$D:$AM, 10, FALSE), 1)</f>
        <v>1.5370762875072006E-3</v>
      </c>
      <c r="D2" s="7">
        <f>$B2 * IFERROR(VLOOKUP("electricity|PM25|Premature mortality", US_national_yearly!$D:$AM, 12, FALSE) / VLOOKUP("electricity|PM25|Premature mortality", US_national_yearly!$D:$AM, 10, FALSE), 1)</f>
        <v>1.5558819484382562E-3</v>
      </c>
      <c r="E2" s="7">
        <f>$B2 * IFERROR(VLOOKUP("electricity|PM25|Premature mortality", US_national_yearly!$D:$AM, 13, FALSE) / VLOOKUP("electricity|PM25|Premature mortality", US_national_yearly!$D:$AM, 10, FALSE), 1)</f>
        <v>1.5746876093693115E-3</v>
      </c>
      <c r="F2" s="7">
        <f>$B2 * IFERROR(VLOOKUP("electricity|PM25|Premature mortality", US_national_yearly!$D:$AM, 14, FALSE) / VLOOKUP("electricity|PM25|Premature mortality", US_national_yearly!$D:$AM, 10, FALSE), 1)</f>
        <v>1.5934932703003675E-3</v>
      </c>
      <c r="G2" s="7">
        <f>$B2 * IFERROR(VLOOKUP("electricity|PM25|Premature mortality", US_national_yearly!$D:$AM, 15, FALSE) / VLOOKUP("electricity|PM25|Premature mortality", US_national_yearly!$D:$AM, 10, FALSE), 1)</f>
        <v>1.630428588485509E-3</v>
      </c>
      <c r="H2" s="7">
        <f>$B2 * IFERROR(VLOOKUP("electricity|PM25|Premature mortality", US_national_yearly!$D:$AM, 16, FALSE) / VLOOKUP("electricity|PM25|Premature mortality", US_national_yearly!$D:$AM, 10, FALSE), 1)</f>
        <v>1.6673639066706509E-3</v>
      </c>
      <c r="I2" s="7">
        <f>$B2 * IFERROR(VLOOKUP("electricity|PM25|Premature mortality", US_national_yearly!$D:$AM, 17, FALSE) / VLOOKUP("electricity|PM25|Premature mortality", US_national_yearly!$D:$AM, 10, FALSE), 1)</f>
        <v>1.6921810607016085E-3</v>
      </c>
      <c r="J2" s="7">
        <f>$B2 * IFERROR(VLOOKUP("electricity|PM25|Premature mortality", US_national_yearly!$D:$AM, 18, FALSE) / VLOOKUP("electricity|PM25|Premature mortality", US_national_yearly!$D:$AM, 10, FALSE), 1)</f>
        <v>1.7169982147325665E-3</v>
      </c>
      <c r="K2" s="7">
        <f>$B2 * IFERROR(VLOOKUP("electricity|PM25|Premature mortality", US_national_yearly!$D:$AM, 19, FALSE) / VLOOKUP("electricity|PM25|Premature mortality", US_national_yearly!$D:$AM, 10, FALSE), 1)</f>
        <v>1.7418153687635241E-3</v>
      </c>
      <c r="L2" s="7">
        <f>$B2 * IFERROR(VLOOKUP("electricity|PM25|Premature mortality", US_national_yearly!$D:$AM, 20, FALSE) / VLOOKUP("electricity|PM25|Premature mortality", US_national_yearly!$D:$AM, 10, FALSE), 1)</f>
        <v>1.7666325227944819E-3</v>
      </c>
      <c r="M2" s="7">
        <f>$B2 * IFERROR(VLOOKUP("electricity|PM25|Premature mortality", US_national_yearly!$D:$AM, 21, FALSE) / VLOOKUP("electricity|PM25|Premature mortality", US_national_yearly!$D:$AM, 10, FALSE), 1)</f>
        <v>1.7914496768254395E-3</v>
      </c>
      <c r="N2" s="7">
        <f>$B2 * IFERROR(VLOOKUP("electricity|PM25|Premature mortality", US_national_yearly!$D:$AM, 22, FALSE) / VLOOKUP("electricity|PM25|Premature mortality", US_national_yearly!$D:$AM, 10, FALSE), 1)</f>
        <v>1.8112317582994484E-3</v>
      </c>
      <c r="O2" s="7">
        <f>$B2 * IFERROR(VLOOKUP("electricity|PM25|Premature mortality", US_national_yearly!$D:$AM, 23, FALSE) / VLOOKUP("electricity|PM25|Premature mortality", US_national_yearly!$D:$AM, 10, FALSE), 1)</f>
        <v>1.831013839773457E-3</v>
      </c>
      <c r="P2" s="7">
        <f>$B2 * IFERROR(VLOOKUP("electricity|PM25|Premature mortality", US_national_yearly!$D:$AM, 24, FALSE) / VLOOKUP("electricity|PM25|Premature mortality", US_national_yearly!$D:$AM, 10, FALSE), 1)</f>
        <v>1.8507959212474658E-3</v>
      </c>
      <c r="Q2" s="7">
        <f>$B2 * IFERROR(VLOOKUP("electricity|PM25|Premature mortality", US_national_yearly!$D:$AM, 25, FALSE) / VLOOKUP("electricity|PM25|Premature mortality", US_national_yearly!$D:$AM, 10, FALSE), 1)</f>
        <v>1.8705780027214742E-3</v>
      </c>
      <c r="R2" s="7">
        <f>$B2 * IFERROR(VLOOKUP("electricity|PM25|Premature mortality", US_national_yearly!$D:$AM, 26, FALSE) / VLOOKUP("electricity|PM25|Premature mortality", US_national_yearly!$D:$AM, 10, FALSE), 1)</f>
        <v>1.8903600841954831E-3</v>
      </c>
      <c r="S2" s="7">
        <f>$B2 * IFERROR(VLOOKUP("electricity|PM25|Premature mortality", US_national_yearly!$D:$AM, 27, FALSE) / VLOOKUP("electricity|PM25|Premature mortality", US_national_yearly!$D:$AM, 10, FALSE), 1)</f>
        <v>1.9016794972418856E-3</v>
      </c>
      <c r="T2" s="7">
        <f>$B2 * IFERROR(VLOOKUP("electricity|PM25|Premature mortality", US_national_yearly!$D:$AM, 28, FALSE) / VLOOKUP("electricity|PM25|Premature mortality", US_national_yearly!$D:$AM, 10, FALSE), 1)</f>
        <v>1.9129989102882876E-3</v>
      </c>
      <c r="U2" s="7">
        <f>$B2 * IFERROR(VLOOKUP("electricity|PM25|Premature mortality", US_national_yearly!$D:$AM, 29, FALSE) / VLOOKUP("electricity|PM25|Premature mortality", US_national_yearly!$D:$AM, 10, FALSE), 1)</f>
        <v>1.9243183233346906E-3</v>
      </c>
      <c r="V2" s="7">
        <f>$B2 * IFERROR(VLOOKUP("electricity|PM25|Premature mortality", US_national_yearly!$D:$AM, 30, FALSE) / VLOOKUP("electricity|PM25|Premature mortality", US_national_yearly!$D:$AM, 10, FALSE), 1)</f>
        <v>1.9356377363810926E-3</v>
      </c>
      <c r="W2" s="7">
        <f>$B2 * IFERROR(VLOOKUP("electricity|PM25|Premature mortality", US_national_yearly!$D:$AM, 31, FALSE) / VLOOKUP("electricity|PM25|Premature mortality", US_national_yearly!$D:$AM, 10, FALSE), 1)</f>
        <v>1.9469571494274951E-3</v>
      </c>
      <c r="X2" s="7">
        <f>$B2 * IFERROR(VLOOKUP("electricity|PM25|Premature mortality", US_national_yearly!$D:$AM, 32, FALSE) / VLOOKUP("electricity|PM25|Premature mortality", US_national_yearly!$D:$AM, 10, FALSE), 1)</f>
        <v>1.950101609185071E-3</v>
      </c>
      <c r="Y2" s="7">
        <f>$B2 * IFERROR(VLOOKUP("electricity|PM25|Premature mortality", US_national_yearly!$D:$AM, 33, FALSE) / VLOOKUP("electricity|PM25|Premature mortality", US_national_yearly!$D:$AM, 10, FALSE), 1)</f>
        <v>1.9532460689426468E-3</v>
      </c>
      <c r="Z2" s="7">
        <f>$B2 * IFERROR(VLOOKUP("electricity|PM25|Premature mortality", US_national_yearly!$D:$AM, 34, FALSE) / VLOOKUP("electricity|PM25|Premature mortality", US_national_yearly!$D:$AM, 10, FALSE), 1)</f>
        <v>1.9563905287002226E-3</v>
      </c>
      <c r="AA2" s="7">
        <f>$B2 * IFERROR(VLOOKUP("electricity|PM25|Premature mortality", US_national_yearly!$D:$AM, 35, FALSE) / VLOOKUP("electricity|PM25|Premature mortality", US_national_yearly!$D:$AM, 10, FALSE), 1)</f>
        <v>1.9595349884577989E-3</v>
      </c>
      <c r="AB2" s="7">
        <f>$B2 * IFERROR(VLOOKUP("electricity|PM25|Premature mortality", US_national_yearly!$D:$AM, 36, FALSE) / VLOOKUP("electricity|PM25|Premature mortality", US_national_yearly!$D:$AM, 10, FALSE), 1)</f>
        <v>1.9626794482153747E-3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4.0369394737271979E-6</v>
      </c>
      <c r="C3" s="7">
        <f>$B3 * IFERROR(VLOOKUP("electricity|PM25|Infant mortality", US_national_yearly!$D:$AM, 11, FALSE) / VLOOKUP("electricity|PM25|Infant mortality", US_national_yearly!$D:$AM, 10, FALSE), 1)</f>
        <v>4.0017656302612237E-6</v>
      </c>
      <c r="D3" s="7">
        <f>$B3 * IFERROR(VLOOKUP("electricity|PM25|Infant mortality", US_national_yearly!$D:$AM, 12, FALSE) / VLOOKUP("electricity|PM25|Infant mortality", US_national_yearly!$D:$AM, 10, FALSE), 1)</f>
        <v>3.9665917867952503E-6</v>
      </c>
      <c r="E3" s="7">
        <f>$B3 * IFERROR(VLOOKUP("electricity|PM25|Infant mortality", US_national_yearly!$D:$AM, 13, FALSE) / VLOOKUP("electricity|PM25|Infant mortality", US_national_yearly!$D:$AM, 10, FALSE), 1)</f>
        <v>3.931417943329277E-6</v>
      </c>
      <c r="F3" s="7">
        <f>$B3 * IFERROR(VLOOKUP("electricity|PM25|Infant mortality", US_national_yearly!$D:$AM, 14, FALSE) / VLOOKUP("electricity|PM25|Infant mortality", US_national_yearly!$D:$AM, 10, FALSE), 1)</f>
        <v>3.8962440998633028E-6</v>
      </c>
      <c r="G3" s="7">
        <f>$B3 * IFERROR(VLOOKUP("electricity|PM25|Infant mortality", US_national_yearly!$D:$AM, 15, FALSE) / VLOOKUP("electricity|PM25|Infant mortality", US_national_yearly!$D:$AM, 10, FALSE), 1)</f>
        <v>2.5838676472736251E-6</v>
      </c>
      <c r="H3" s="7">
        <f>$B3 * IFERROR(VLOOKUP("electricity|PM25|Infant mortality", US_national_yearly!$D:$AM, 16, FALSE) / VLOOKUP("electricity|PM25|Infant mortality", US_national_yearly!$D:$AM, 10, FALSE), 1)</f>
        <v>1.2714911946839476E-6</v>
      </c>
      <c r="I3" s="7">
        <f>$B3 * IFERROR(VLOOKUP("electricity|PM25|Infant mortality", US_national_yearly!$D:$AM, 17, FALSE) / VLOOKUP("electricity|PM25|Infant mortality", US_national_yearly!$D:$AM, 10, FALSE), 1)</f>
        <v>1.2625138842212706E-6</v>
      </c>
      <c r="J3" s="7">
        <f>$B3 * IFERROR(VLOOKUP("electricity|PM25|Infant mortality", US_national_yearly!$D:$AM, 18, FALSE) / VLOOKUP("electricity|PM25|Infant mortality", US_national_yearly!$D:$AM, 10, FALSE), 1)</f>
        <v>1.2535365737585938E-6</v>
      </c>
      <c r="K3" s="7">
        <f>$B3 * IFERROR(VLOOKUP("electricity|PM25|Infant mortality", US_national_yearly!$D:$AM, 19, FALSE) / VLOOKUP("electricity|PM25|Infant mortality", US_national_yearly!$D:$AM, 10, FALSE), 1)</f>
        <v>1.2445592632959167E-6</v>
      </c>
      <c r="L3" s="7">
        <f>$B3 * IFERROR(VLOOKUP("electricity|PM25|Infant mortality", US_national_yearly!$D:$AM, 20, FALSE) / VLOOKUP("electricity|PM25|Infant mortality", US_national_yearly!$D:$AM, 10, FALSE), 1)</f>
        <v>1.2355819528332397E-6</v>
      </c>
      <c r="M3" s="7">
        <f>$B3 * IFERROR(VLOOKUP("electricity|PM25|Infant mortality", US_national_yearly!$D:$AM, 21, FALSE) / VLOOKUP("electricity|PM25|Infant mortality", US_national_yearly!$D:$AM, 10, FALSE), 1)</f>
        <v>1.2266046423705627E-6</v>
      </c>
      <c r="N3" s="7">
        <f>$B3 * IFERROR(VLOOKUP("electricity|PM25|Infant mortality", US_national_yearly!$D:$AM, 22, FALSE) / VLOOKUP("electricity|PM25|Infant mortality", US_national_yearly!$D:$AM, 10, FALSE), 1)</f>
        <v>1.2208310398462531E-6</v>
      </c>
      <c r="O3" s="7">
        <f>$B3 * IFERROR(VLOOKUP("electricity|PM25|Infant mortality", US_national_yearly!$D:$AM, 23, FALSE) / VLOOKUP("electricity|PM25|Infant mortality", US_national_yearly!$D:$AM, 10, FALSE), 1)</f>
        <v>1.2150574373219433E-6</v>
      </c>
      <c r="P3" s="7">
        <f>$B3 * IFERROR(VLOOKUP("electricity|PM25|Infant mortality", US_national_yearly!$D:$AM, 24, FALSE) / VLOOKUP("electricity|PM25|Infant mortality", US_national_yearly!$D:$AM, 10, FALSE), 1)</f>
        <v>1.2092838347976334E-6</v>
      </c>
      <c r="Q3" s="7">
        <f>$B3 * IFERROR(VLOOKUP("electricity|PM25|Infant mortality", US_national_yearly!$D:$AM, 25, FALSE) / VLOOKUP("electricity|PM25|Infant mortality", US_national_yearly!$D:$AM, 10, FALSE), 1)</f>
        <v>1.2035102322733236E-6</v>
      </c>
      <c r="R3" s="7">
        <f>$B3 * IFERROR(VLOOKUP("electricity|PM25|Infant mortality", US_national_yearly!$D:$AM, 26, FALSE) / VLOOKUP("electricity|PM25|Infant mortality", US_national_yearly!$D:$AM, 10, FALSE), 1)</f>
        <v>1.1977366297490138E-6</v>
      </c>
      <c r="S3" s="7">
        <f>$B3 * IFERROR(VLOOKUP("electricity|PM25|Infant mortality", US_national_yearly!$D:$AM, 27, FALSE) / VLOOKUP("electricity|PM25|Infant mortality", US_national_yearly!$D:$AM, 10, FALSE), 1)</f>
        <v>1.190819724904983E-6</v>
      </c>
      <c r="T3" s="7">
        <f>$B3 * IFERROR(VLOOKUP("electricity|PM25|Infant mortality", US_national_yearly!$D:$AM, 28, FALSE) / VLOOKUP("electricity|PM25|Infant mortality", US_national_yearly!$D:$AM, 10, FALSE), 1)</f>
        <v>1.1839028200609521E-6</v>
      </c>
      <c r="U3" s="7">
        <f>$B3 * IFERROR(VLOOKUP("electricity|PM25|Infant mortality", US_national_yearly!$D:$AM, 29, FALSE) / VLOOKUP("electricity|PM25|Infant mortality", US_national_yearly!$D:$AM, 10, FALSE), 1)</f>
        <v>1.1769859152169215E-6</v>
      </c>
      <c r="V3" s="7">
        <f>$B3 * IFERROR(VLOOKUP("electricity|PM25|Infant mortality", US_national_yearly!$D:$AM, 30, FALSE) / VLOOKUP("electricity|PM25|Infant mortality", US_national_yearly!$D:$AM, 10, FALSE), 1)</f>
        <v>1.1700690103728906E-6</v>
      </c>
      <c r="W3" s="7">
        <f>$B3 * IFERROR(VLOOKUP("electricity|PM25|Infant mortality", US_national_yearly!$D:$AM, 31, FALSE) / VLOOKUP("electricity|PM25|Infant mortality", US_national_yearly!$D:$AM, 10, FALSE), 1)</f>
        <v>1.1631521055288598E-6</v>
      </c>
      <c r="X3" s="7">
        <f>$B3 * IFERROR(VLOOKUP("electricity|PM25|Infant mortality", US_national_yearly!$D:$AM, 32, FALSE) / VLOOKUP("electricity|PM25|Infant mortality", US_national_yearly!$D:$AM, 10, FALSE), 1)</f>
        <v>1.1560043479875983E-6</v>
      </c>
      <c r="Y3" s="7">
        <f>$B3 * IFERROR(VLOOKUP("electricity|PM25|Infant mortality", US_national_yearly!$D:$AM, 33, FALSE) / VLOOKUP("electricity|PM25|Infant mortality", US_national_yearly!$D:$AM, 10, FALSE), 1)</f>
        <v>1.1488565904463366E-6</v>
      </c>
      <c r="Z3" s="7">
        <f>$B3 * IFERROR(VLOOKUP("electricity|PM25|Infant mortality", US_national_yearly!$D:$AM, 34, FALSE) / VLOOKUP("electricity|PM25|Infant mortality", US_national_yearly!$D:$AM, 10, FALSE), 1)</f>
        <v>1.1417088329050751E-6</v>
      </c>
      <c r="AA3" s="7">
        <f>$B3 * IFERROR(VLOOKUP("electricity|PM25|Infant mortality", US_national_yearly!$D:$AM, 35, FALSE) / VLOOKUP("electricity|PM25|Infant mortality", US_national_yearly!$D:$AM, 10, FALSE), 1)</f>
        <v>1.1345610753638136E-6</v>
      </c>
      <c r="AB3" s="7">
        <f>$B3 * IFERROR(VLOOKUP("electricity|PM25|Infant mortality", US_national_yearly!$D:$AM, 36, FALSE) / VLOOKUP("electricity|PM25|Infant mortality", US_national_yearly!$D:$AM, 10, FALSE), 1)</f>
        <v>1.1274133178225521E-6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4.2773163809370707E-3</v>
      </c>
      <c r="C6" s="7">
        <f>$B6 * IFERROR(VLOOKUP("electricity|PM25|Asthma symptoms cough", US_national_yearly!$D:$AM, 11, FALSE) / VLOOKUP("electricity|PM25|Asthma symptoms cough", US_national_yearly!$D:$AM, 10, FALSE), 1)</f>
        <v>4.2773163809370707E-3</v>
      </c>
      <c r="D6" s="7">
        <f>$B6 * IFERROR(VLOOKUP("electricity|PM25|Asthma symptoms cough", US_national_yearly!$D:$AM, 12, FALSE) / VLOOKUP("electricity|PM25|Asthma symptoms cough", US_national_yearly!$D:$AM, 10, FALSE), 1)</f>
        <v>4.2773163809370707E-3</v>
      </c>
      <c r="E6" s="7">
        <f>$B6 * IFERROR(VLOOKUP("electricity|PM25|Asthma symptoms cough", US_national_yearly!$D:$AM, 13, FALSE) / VLOOKUP("electricity|PM25|Asthma symptoms cough", US_national_yearly!$D:$AM, 10, FALSE), 1)</f>
        <v>4.2773163809370707E-3</v>
      </c>
      <c r="F6" s="7">
        <f>$B6 * IFERROR(VLOOKUP("electricity|PM25|Asthma symptoms cough", US_national_yearly!$D:$AM, 14, FALSE) / VLOOKUP("electricity|PM25|Asthma symptoms cough", US_national_yearly!$D:$AM, 10, FALSE), 1)</f>
        <v>4.2773163809370707E-3</v>
      </c>
      <c r="G6" s="7">
        <f>$B6 * IFERROR(VLOOKUP("electricity|PM25|Asthma symptoms cough", US_national_yearly!$D:$AM, 15, FALSE) / VLOOKUP("electricity|PM25|Asthma symptoms cough", US_national_yearly!$D:$AM, 10, FALSE), 1)</f>
        <v>4.2773163809370707E-3</v>
      </c>
      <c r="H6" s="7">
        <f>$B6 * IFERROR(VLOOKUP("electricity|PM25|Asthma symptoms cough", US_national_yearly!$D:$AM, 16, FALSE) / VLOOKUP("electricity|PM25|Asthma symptoms cough", US_national_yearly!$D:$AM, 10, FALSE), 1)</f>
        <v>4.2773163809370707E-3</v>
      </c>
      <c r="I6" s="7">
        <f>$B6 * IFERROR(VLOOKUP("electricity|PM25|Asthma symptoms cough", US_national_yearly!$D:$AM, 17, FALSE) / VLOOKUP("electricity|PM25|Asthma symptoms cough", US_national_yearly!$D:$AM, 10, FALSE), 1)</f>
        <v>4.2773163809370707E-3</v>
      </c>
      <c r="J6" s="7">
        <f>$B6 * IFERROR(VLOOKUP("electricity|PM25|Asthma symptoms cough", US_national_yearly!$D:$AM, 18, FALSE) / VLOOKUP("electricity|PM25|Asthma symptoms cough", US_national_yearly!$D:$AM, 10, FALSE), 1)</f>
        <v>4.2773163809370707E-3</v>
      </c>
      <c r="K6" s="7">
        <f>$B6 * IFERROR(VLOOKUP("electricity|PM25|Asthma symptoms cough", US_national_yearly!$D:$AM, 19, FALSE) / VLOOKUP("electricity|PM25|Asthma symptoms cough", US_national_yearly!$D:$AM, 10, FALSE), 1)</f>
        <v>4.2773163809370707E-3</v>
      </c>
      <c r="L6" s="7">
        <f>$B6 * IFERROR(VLOOKUP("electricity|PM25|Asthma symptoms cough", US_national_yearly!$D:$AM, 20, FALSE) / VLOOKUP("electricity|PM25|Asthma symptoms cough", US_national_yearly!$D:$AM, 10, FALSE), 1)</f>
        <v>4.2773163809370707E-3</v>
      </c>
      <c r="M6" s="7">
        <f>$B6 * IFERROR(VLOOKUP("electricity|PM25|Asthma symptoms cough", US_national_yearly!$D:$AM, 21, FALSE) / VLOOKUP("electricity|PM25|Asthma symptoms cough", US_national_yearly!$D:$AM, 10, FALSE), 1)</f>
        <v>4.2773163809370707E-3</v>
      </c>
      <c r="N6" s="7">
        <f>$B6 * IFERROR(VLOOKUP("electricity|PM25|Asthma symptoms cough", US_national_yearly!$D:$AM, 22, FALSE) / VLOOKUP("electricity|PM25|Asthma symptoms cough", US_national_yearly!$D:$AM, 10, FALSE), 1)</f>
        <v>4.2773163809370707E-3</v>
      </c>
      <c r="O6" s="7">
        <f>$B6 * IFERROR(VLOOKUP("electricity|PM25|Asthma symptoms cough", US_national_yearly!$D:$AM, 23, FALSE) / VLOOKUP("electricity|PM25|Asthma symptoms cough", US_national_yearly!$D:$AM, 10, FALSE), 1)</f>
        <v>4.2773163809370707E-3</v>
      </c>
      <c r="P6" s="7">
        <f>$B6 * IFERROR(VLOOKUP("electricity|PM25|Asthma symptoms cough", US_national_yearly!$D:$AM, 24, FALSE) / VLOOKUP("electricity|PM25|Asthma symptoms cough", US_national_yearly!$D:$AM, 10, FALSE), 1)</f>
        <v>4.2773163809370707E-3</v>
      </c>
      <c r="Q6" s="7">
        <f>$B6 * IFERROR(VLOOKUP("electricity|PM25|Asthma symptoms cough", US_national_yearly!$D:$AM, 25, FALSE) / VLOOKUP("electricity|PM25|Asthma symptoms cough", US_national_yearly!$D:$AM, 10, FALSE), 1)</f>
        <v>4.2773163809370707E-3</v>
      </c>
      <c r="R6" s="7">
        <f>$B6 * IFERROR(VLOOKUP("electricity|PM25|Asthma symptoms cough", US_national_yearly!$D:$AM, 26, FALSE) / VLOOKUP("electricity|PM25|Asthma symptoms cough", US_national_yearly!$D:$AM, 10, FALSE), 1)</f>
        <v>4.2773163809370707E-3</v>
      </c>
      <c r="S6" s="7">
        <f>$B6 * IFERROR(VLOOKUP("electricity|PM25|Asthma symptoms cough", US_national_yearly!$D:$AM, 27, FALSE) / VLOOKUP("electricity|PM25|Asthma symptoms cough", US_national_yearly!$D:$AM, 10, FALSE), 1)</f>
        <v>4.2773163809370707E-3</v>
      </c>
      <c r="T6" s="7">
        <f>$B6 * IFERROR(VLOOKUP("electricity|PM25|Asthma symptoms cough", US_national_yearly!$D:$AM, 28, FALSE) / VLOOKUP("electricity|PM25|Asthma symptoms cough", US_national_yearly!$D:$AM, 10, FALSE), 1)</f>
        <v>4.2773163809370707E-3</v>
      </c>
      <c r="U6" s="7">
        <f>$B6 * IFERROR(VLOOKUP("electricity|PM25|Asthma symptoms cough", US_national_yearly!$D:$AM, 29, FALSE) / VLOOKUP("electricity|PM25|Asthma symptoms cough", US_national_yearly!$D:$AM, 10, FALSE), 1)</f>
        <v>4.2773163809370707E-3</v>
      </c>
      <c r="V6" s="7">
        <f>$B6 * IFERROR(VLOOKUP("electricity|PM25|Asthma symptoms cough", US_national_yearly!$D:$AM, 30, FALSE) / VLOOKUP("electricity|PM25|Asthma symptoms cough", US_national_yearly!$D:$AM, 10, FALSE), 1)</f>
        <v>4.2773163809370707E-3</v>
      </c>
      <c r="W6" s="7">
        <f>$B6 * IFERROR(VLOOKUP("electricity|PM25|Asthma symptoms cough", US_national_yearly!$D:$AM, 31, FALSE) / VLOOKUP("electricity|PM25|Asthma symptoms cough", US_national_yearly!$D:$AM, 10, FALSE), 1)</f>
        <v>4.2773163809370707E-3</v>
      </c>
      <c r="X6" s="7">
        <f>$B6 * IFERROR(VLOOKUP("electricity|PM25|Asthma symptoms cough", US_national_yearly!$D:$AM, 32, FALSE) / VLOOKUP("electricity|PM25|Asthma symptoms cough", US_national_yearly!$D:$AM, 10, FALSE), 1)</f>
        <v>4.2773163809370707E-3</v>
      </c>
      <c r="Y6" s="7">
        <f>$B6 * IFERROR(VLOOKUP("electricity|PM25|Asthma symptoms cough", US_national_yearly!$D:$AM, 33, FALSE) / VLOOKUP("electricity|PM25|Asthma symptoms cough", US_national_yearly!$D:$AM, 10, FALSE), 1)</f>
        <v>4.2773163809370707E-3</v>
      </c>
      <c r="Z6" s="7">
        <f>$B6 * IFERROR(VLOOKUP("electricity|PM25|Asthma symptoms cough", US_national_yearly!$D:$AM, 34, FALSE) / VLOOKUP("electricity|PM25|Asthma symptoms cough", US_national_yearly!$D:$AM, 10, FALSE), 1)</f>
        <v>4.2773163809370707E-3</v>
      </c>
      <c r="AA6" s="7">
        <f>$B6 * IFERROR(VLOOKUP("electricity|PM25|Asthma symptoms cough", US_national_yearly!$D:$AM, 35, FALSE) / VLOOKUP("electricity|PM25|Asthma symptoms cough", US_national_yearly!$D:$AM, 10, FALSE), 1)</f>
        <v>4.2773163809370707E-3</v>
      </c>
      <c r="AB6" s="7">
        <f>$B6 * IFERROR(VLOOKUP("electricity|PM25|Asthma symptoms cough", US_national_yearly!$D:$AM, 36, FALSE) / VLOOKUP("electricity|PM25|Asthma symptoms cough", US_national_yearly!$D:$AM, 10, FALSE), 1)</f>
        <v>4.2773163809370707E-3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5.7600322102896191E-3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5.7600322102896191E-3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5.7600322102896191E-3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5.7600322102896191E-3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5.7600322102896191E-3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5.7600322102896191E-3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5.7600322102896191E-3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5.7600322102896191E-3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5.7600322102896191E-3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5.7600322102896191E-3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5.7600322102896191E-3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5.7600322102896191E-3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5.7600322102896191E-3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5.7600322102896191E-3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5.7600322102896191E-3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5.7600322102896191E-3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5.7600322102896191E-3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5.7600322102896191E-3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5.7600322102896191E-3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5.7600322102896191E-3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5.7600322102896191E-3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5.7600322102896191E-3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5.7600322102896191E-3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5.7600322102896191E-3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5.7600322102896191E-3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5.7600322102896191E-3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5.7600322102896191E-3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8.8003349591976431E-3</v>
      </c>
      <c r="C8" s="7">
        <f>$B8 * IFERROR(VLOOKUP("electricity|PM25|Asthma symptoms wheeze", US_national_yearly!$D:$AM, 11, FALSE) / VLOOKUP("electricity|PM25|Asthma symptoms wheeze", US_national_yearly!$D:$AM, 10, FALSE), 1)</f>
        <v>8.8003349591976431E-3</v>
      </c>
      <c r="D8" s="7">
        <f>$B8 * IFERROR(VLOOKUP("electricity|PM25|Asthma symptoms wheeze", US_national_yearly!$D:$AM, 12, FALSE) / VLOOKUP("electricity|PM25|Asthma symptoms wheeze", US_national_yearly!$D:$AM, 10, FALSE), 1)</f>
        <v>8.8003349591976431E-3</v>
      </c>
      <c r="E8" s="7">
        <f>$B8 * IFERROR(VLOOKUP("electricity|PM25|Asthma symptoms wheeze", US_national_yearly!$D:$AM, 13, FALSE) / VLOOKUP("electricity|PM25|Asthma symptoms wheeze", US_national_yearly!$D:$AM, 10, FALSE), 1)</f>
        <v>8.8003349591976431E-3</v>
      </c>
      <c r="F8" s="7">
        <f>$B8 * IFERROR(VLOOKUP("electricity|PM25|Asthma symptoms wheeze", US_national_yearly!$D:$AM, 14, FALSE) / VLOOKUP("electricity|PM25|Asthma symptoms wheeze", US_national_yearly!$D:$AM, 10, FALSE), 1)</f>
        <v>8.8003349591976431E-3</v>
      </c>
      <c r="G8" s="7">
        <f>$B8 * IFERROR(VLOOKUP("electricity|PM25|Asthma symptoms wheeze", US_national_yearly!$D:$AM, 15, FALSE) / VLOOKUP("electricity|PM25|Asthma symptoms wheeze", US_national_yearly!$D:$AM, 10, FALSE), 1)</f>
        <v>8.8003349591976431E-3</v>
      </c>
      <c r="H8" s="7">
        <f>$B8 * IFERROR(VLOOKUP("electricity|PM25|Asthma symptoms wheeze", US_national_yearly!$D:$AM, 16, FALSE) / VLOOKUP("electricity|PM25|Asthma symptoms wheeze", US_national_yearly!$D:$AM, 10, FALSE), 1)</f>
        <v>8.8003349591976431E-3</v>
      </c>
      <c r="I8" s="7">
        <f>$B8 * IFERROR(VLOOKUP("electricity|PM25|Asthma symptoms wheeze", US_national_yearly!$D:$AM, 17, FALSE) / VLOOKUP("electricity|PM25|Asthma symptoms wheeze", US_national_yearly!$D:$AM, 10, FALSE), 1)</f>
        <v>8.8003349591976431E-3</v>
      </c>
      <c r="J8" s="7">
        <f>$B8 * IFERROR(VLOOKUP("electricity|PM25|Asthma symptoms wheeze", US_national_yearly!$D:$AM, 18, FALSE) / VLOOKUP("electricity|PM25|Asthma symptoms wheeze", US_national_yearly!$D:$AM, 10, FALSE), 1)</f>
        <v>8.8003349591976431E-3</v>
      </c>
      <c r="K8" s="7">
        <f>$B8 * IFERROR(VLOOKUP("electricity|PM25|Asthma symptoms wheeze", US_national_yearly!$D:$AM, 19, FALSE) / VLOOKUP("electricity|PM25|Asthma symptoms wheeze", US_national_yearly!$D:$AM, 10, FALSE), 1)</f>
        <v>8.8003349591976431E-3</v>
      </c>
      <c r="L8" s="7">
        <f>$B8 * IFERROR(VLOOKUP("electricity|PM25|Asthma symptoms wheeze", US_national_yearly!$D:$AM, 20, FALSE) / VLOOKUP("electricity|PM25|Asthma symptoms wheeze", US_national_yearly!$D:$AM, 10, FALSE), 1)</f>
        <v>8.8003349591976431E-3</v>
      </c>
      <c r="M8" s="7">
        <f>$B8 * IFERROR(VLOOKUP("electricity|PM25|Asthma symptoms wheeze", US_national_yearly!$D:$AM, 21, FALSE) / VLOOKUP("electricity|PM25|Asthma symptoms wheeze", US_national_yearly!$D:$AM, 10, FALSE), 1)</f>
        <v>8.8003349591976431E-3</v>
      </c>
      <c r="N8" s="7">
        <f>$B8 * IFERROR(VLOOKUP("electricity|PM25|Asthma symptoms wheeze", US_national_yearly!$D:$AM, 22, FALSE) / VLOOKUP("electricity|PM25|Asthma symptoms wheeze", US_national_yearly!$D:$AM, 10, FALSE), 1)</f>
        <v>8.8003349591976431E-3</v>
      </c>
      <c r="O8" s="7">
        <f>$B8 * IFERROR(VLOOKUP("electricity|PM25|Asthma symptoms wheeze", US_national_yearly!$D:$AM, 23, FALSE) / VLOOKUP("electricity|PM25|Asthma symptoms wheeze", US_national_yearly!$D:$AM, 10, FALSE), 1)</f>
        <v>8.8003349591976431E-3</v>
      </c>
      <c r="P8" s="7">
        <f>$B8 * IFERROR(VLOOKUP("electricity|PM25|Asthma symptoms wheeze", US_national_yearly!$D:$AM, 24, FALSE) / VLOOKUP("electricity|PM25|Asthma symptoms wheeze", US_national_yearly!$D:$AM, 10, FALSE), 1)</f>
        <v>8.8003349591976431E-3</v>
      </c>
      <c r="Q8" s="7">
        <f>$B8 * IFERROR(VLOOKUP("electricity|PM25|Asthma symptoms wheeze", US_national_yearly!$D:$AM, 25, FALSE) / VLOOKUP("electricity|PM25|Asthma symptoms wheeze", US_national_yearly!$D:$AM, 10, FALSE), 1)</f>
        <v>8.8003349591976431E-3</v>
      </c>
      <c r="R8" s="7">
        <f>$B8 * IFERROR(VLOOKUP("electricity|PM25|Asthma symptoms wheeze", US_national_yearly!$D:$AM, 26, FALSE) / VLOOKUP("electricity|PM25|Asthma symptoms wheeze", US_national_yearly!$D:$AM, 10, FALSE), 1)</f>
        <v>8.8003349591976431E-3</v>
      </c>
      <c r="S8" s="7">
        <f>$B8 * IFERROR(VLOOKUP("electricity|PM25|Asthma symptoms wheeze", US_national_yearly!$D:$AM, 27, FALSE) / VLOOKUP("electricity|PM25|Asthma symptoms wheeze", US_national_yearly!$D:$AM, 10, FALSE), 1)</f>
        <v>8.8003349591976431E-3</v>
      </c>
      <c r="T8" s="7">
        <f>$B8 * IFERROR(VLOOKUP("electricity|PM25|Asthma symptoms wheeze", US_national_yearly!$D:$AM, 28, FALSE) / VLOOKUP("electricity|PM25|Asthma symptoms wheeze", US_national_yearly!$D:$AM, 10, FALSE), 1)</f>
        <v>8.8003349591976431E-3</v>
      </c>
      <c r="U8" s="7">
        <f>$B8 * IFERROR(VLOOKUP("electricity|PM25|Asthma symptoms wheeze", US_national_yearly!$D:$AM, 29, FALSE) / VLOOKUP("electricity|PM25|Asthma symptoms wheeze", US_national_yearly!$D:$AM, 10, FALSE), 1)</f>
        <v>8.8003349591976431E-3</v>
      </c>
      <c r="V8" s="7">
        <f>$B8 * IFERROR(VLOOKUP("electricity|PM25|Asthma symptoms wheeze", US_national_yearly!$D:$AM, 30, FALSE) / VLOOKUP("electricity|PM25|Asthma symptoms wheeze", US_national_yearly!$D:$AM, 10, FALSE), 1)</f>
        <v>8.8003349591976431E-3</v>
      </c>
      <c r="W8" s="7">
        <f>$B8 * IFERROR(VLOOKUP("electricity|PM25|Asthma symptoms wheeze", US_national_yearly!$D:$AM, 31, FALSE) / VLOOKUP("electricity|PM25|Asthma symptoms wheeze", US_national_yearly!$D:$AM, 10, FALSE), 1)</f>
        <v>8.8003349591976431E-3</v>
      </c>
      <c r="X8" s="7">
        <f>$B8 * IFERROR(VLOOKUP("electricity|PM25|Asthma symptoms wheeze", US_national_yearly!$D:$AM, 32, FALSE) / VLOOKUP("electricity|PM25|Asthma symptoms wheeze", US_national_yearly!$D:$AM, 10, FALSE), 1)</f>
        <v>8.8003349591976431E-3</v>
      </c>
      <c r="Y8" s="7">
        <f>$B8 * IFERROR(VLOOKUP("electricity|PM25|Asthma symptoms wheeze", US_national_yearly!$D:$AM, 33, FALSE) / VLOOKUP("electricity|PM25|Asthma symptoms wheeze", US_national_yearly!$D:$AM, 10, FALSE), 1)</f>
        <v>8.8003349591976431E-3</v>
      </c>
      <c r="Z8" s="7">
        <f>$B8 * IFERROR(VLOOKUP("electricity|PM25|Asthma symptoms wheeze", US_national_yearly!$D:$AM, 34, FALSE) / VLOOKUP("electricity|PM25|Asthma symptoms wheeze", US_national_yearly!$D:$AM, 10, FALSE), 1)</f>
        <v>8.8003349591976431E-3</v>
      </c>
      <c r="AA8" s="7">
        <f>$B8 * IFERROR(VLOOKUP("electricity|PM25|Asthma symptoms wheeze", US_national_yearly!$D:$AM, 35, FALSE) / VLOOKUP("electricity|PM25|Asthma symptoms wheeze", US_national_yearly!$D:$AM, 10, FALSE), 1)</f>
        <v>8.8003349591976431E-3</v>
      </c>
      <c r="AB8" s="7">
        <f>$B8 * IFERROR(VLOOKUP("electricity|PM25|Asthma symptoms wheeze", US_national_yearly!$D:$AM, 36, FALSE) / VLOOKUP("electricity|PM25|Asthma symptoms wheeze", US_national_yearly!$D:$AM, 10, FALSE), 1)</f>
        <v>8.8003349591976431E-3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8.9430720865453595E-5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8.9922221219895833E-5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9.0413721574338044E-5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9.0905221928780296E-5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9.1396722283222507E-5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9.1923598581751908E-5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9.2450474880281295E-5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9.2921185027903264E-5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9.3391895175525206E-5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9.3862605323147147E-5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9.4333315470769089E-5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9.4804025618391058E-5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9.5121536327563957E-5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9.5439047036736856E-5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9.5756557745909769E-5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9.6074068455082669E-5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9.6391579164255568E-5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9.6687454740746324E-5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9.698333031723704E-5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9.7279205893727769E-5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9.7575081470218497E-5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9.7870957046709213E-5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9.8163521646644976E-5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9.8456086246580713E-5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9.8748650846516462E-5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9.9041215446452199E-5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9.9333780046387962E-5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4.6362725628152122E-4</v>
      </c>
      <c r="C13" s="7">
        <f>$B13 * IFERROR(VLOOKUP("electricity|PM25|Non-fatal heart attacks", US_national_yearly!$D:$AM, 11, FALSE) / VLOOKUP("electricity|PM25|Non-fatal heart attacks", US_national_yearly!$D:$AM, 10, FALSE), 1)</f>
        <v>4.7705613715173968E-4</v>
      </c>
      <c r="D13" s="7">
        <f>$B13 * IFERROR(VLOOKUP("electricity|PM25|Non-fatal heart attacks", US_national_yearly!$D:$AM, 12, FALSE) / VLOOKUP("electricity|PM25|Non-fatal heart attacks", US_national_yearly!$D:$AM, 10, FALSE), 1)</f>
        <v>4.9048501802195809E-4</v>
      </c>
      <c r="E13" s="7">
        <f>$B13 * IFERROR(VLOOKUP("electricity|PM25|Non-fatal heart attacks", US_national_yearly!$D:$AM, 13, FALSE) / VLOOKUP("electricity|PM25|Non-fatal heart attacks", US_national_yearly!$D:$AM, 10, FALSE), 1)</f>
        <v>5.0391389889217644E-4</v>
      </c>
      <c r="F13" s="7">
        <f>$B13 * IFERROR(VLOOKUP("electricity|PM25|Non-fatal heart attacks", US_national_yearly!$D:$AM, 14, FALSE) / VLOOKUP("electricity|PM25|Non-fatal heart attacks", US_national_yearly!$D:$AM, 10, FALSE), 1)</f>
        <v>5.1734277976239491E-4</v>
      </c>
      <c r="G13" s="7">
        <f>$B13 * IFERROR(VLOOKUP("electricity|PM25|Non-fatal heart attacks", US_national_yearly!$D:$AM, 15, FALSE) / VLOOKUP("electricity|PM25|Non-fatal heart attacks", US_national_yearly!$D:$AM, 10, FALSE), 1)</f>
        <v>5.3008903027528312E-4</v>
      </c>
      <c r="H13" s="7">
        <f>$B13 * IFERROR(VLOOKUP("electricity|PM25|Non-fatal heart attacks", US_national_yearly!$D:$AM, 16, FALSE) / VLOOKUP("electricity|PM25|Non-fatal heart attacks", US_national_yearly!$D:$AM, 10, FALSE), 1)</f>
        <v>5.4283528078817112E-4</v>
      </c>
      <c r="I13" s="7">
        <f>$B13 * IFERROR(VLOOKUP("electricity|PM25|Non-fatal heart attacks", US_national_yearly!$D:$AM, 17, FALSE) / VLOOKUP("electricity|PM25|Non-fatal heart attacks", US_national_yearly!$D:$AM, 10, FALSE), 1)</f>
        <v>5.5323471644055033E-4</v>
      </c>
      <c r="J13" s="7">
        <f>$B13 * IFERROR(VLOOKUP("electricity|PM25|Non-fatal heart attacks", US_national_yearly!$D:$AM, 18, FALSE) / VLOOKUP("electricity|PM25|Non-fatal heart attacks", US_national_yearly!$D:$AM, 10, FALSE), 1)</f>
        <v>5.6363415209292954E-4</v>
      </c>
      <c r="K13" s="7">
        <f>$B13 * IFERROR(VLOOKUP("electricity|PM25|Non-fatal heart attacks", US_national_yearly!$D:$AM, 19, FALSE) / VLOOKUP("electricity|PM25|Non-fatal heart attacks", US_national_yearly!$D:$AM, 10, FALSE), 1)</f>
        <v>5.7403358774530864E-4</v>
      </c>
      <c r="L13" s="7">
        <f>$B13 * IFERROR(VLOOKUP("electricity|PM25|Non-fatal heart attacks", US_national_yearly!$D:$AM, 20, FALSE) / VLOOKUP("electricity|PM25|Non-fatal heart attacks", US_national_yearly!$D:$AM, 10, FALSE), 1)</f>
        <v>5.8443302339768774E-4</v>
      </c>
      <c r="M13" s="7">
        <f>$B13 * IFERROR(VLOOKUP("electricity|PM25|Non-fatal heart attacks", US_national_yearly!$D:$AM, 21, FALSE) / VLOOKUP("electricity|PM25|Non-fatal heart attacks", US_national_yearly!$D:$AM, 10, FALSE), 1)</f>
        <v>5.9483245905006706E-4</v>
      </c>
      <c r="N13" s="7">
        <f>$B13 * IFERROR(VLOOKUP("electricity|PM25|Non-fatal heart attacks", US_national_yearly!$D:$AM, 22, FALSE) / VLOOKUP("electricity|PM25|Non-fatal heart attacks", US_national_yearly!$D:$AM, 10, FALSE), 1)</f>
        <v>6.0158035029584268E-4</v>
      </c>
      <c r="O13" s="7">
        <f>$B13 * IFERROR(VLOOKUP("electricity|PM25|Non-fatal heart attacks", US_national_yearly!$D:$AM, 23, FALSE) / VLOOKUP("electricity|PM25|Non-fatal heart attacks", US_national_yearly!$D:$AM, 10, FALSE), 1)</f>
        <v>6.0832824154161819E-4</v>
      </c>
      <c r="P13" s="7">
        <f>$B13 * IFERROR(VLOOKUP("electricity|PM25|Non-fatal heart attacks", US_national_yearly!$D:$AM, 24, FALSE) / VLOOKUP("electricity|PM25|Non-fatal heart attacks", US_national_yearly!$D:$AM, 10, FALSE), 1)</f>
        <v>6.150761327873937E-4</v>
      </c>
      <c r="Q13" s="7">
        <f>$B13 * IFERROR(VLOOKUP("electricity|PM25|Non-fatal heart attacks", US_national_yearly!$D:$AM, 25, FALSE) / VLOOKUP("electricity|PM25|Non-fatal heart attacks", US_national_yearly!$D:$AM, 10, FALSE), 1)</f>
        <v>6.2182402403316932E-4</v>
      </c>
      <c r="R13" s="7">
        <f>$B13 * IFERROR(VLOOKUP("electricity|PM25|Non-fatal heart attacks", US_national_yearly!$D:$AM, 26, FALSE) / VLOOKUP("electricity|PM25|Non-fatal heart attacks", US_national_yearly!$D:$AM, 10, FALSE), 1)</f>
        <v>6.2857191527894494E-4</v>
      </c>
      <c r="S13" s="7">
        <f>$B13 * IFERROR(VLOOKUP("electricity|PM25|Non-fatal heart attacks", US_national_yearly!$D:$AM, 27, FALSE) / VLOOKUP("electricity|PM25|Non-fatal heart attacks", US_national_yearly!$D:$AM, 10, FALSE), 1)</f>
        <v>6.322868027644257E-4</v>
      </c>
      <c r="T13" s="7">
        <f>$B13 * IFERROR(VLOOKUP("electricity|PM25|Non-fatal heart attacks", US_national_yearly!$D:$AM, 28, FALSE) / VLOOKUP("electricity|PM25|Non-fatal heart attacks", US_national_yearly!$D:$AM, 10, FALSE), 1)</f>
        <v>6.3600169024990657E-4</v>
      </c>
      <c r="U13" s="7">
        <f>$B13 * IFERROR(VLOOKUP("electricity|PM25|Non-fatal heart attacks", US_national_yearly!$D:$AM, 29, FALSE) / VLOOKUP("electricity|PM25|Non-fatal heart attacks", US_national_yearly!$D:$AM, 10, FALSE), 1)</f>
        <v>6.3971657773538723E-4</v>
      </c>
      <c r="V13" s="7">
        <f>$B13 * IFERROR(VLOOKUP("electricity|PM25|Non-fatal heart attacks", US_national_yearly!$D:$AM, 30, FALSE) / VLOOKUP("electricity|PM25|Non-fatal heart attacks", US_national_yearly!$D:$AM, 10, FALSE), 1)</f>
        <v>6.4343146522086799E-4</v>
      </c>
      <c r="W13" s="7">
        <f>$B13 * IFERROR(VLOOKUP("electricity|PM25|Non-fatal heart attacks", US_national_yearly!$D:$AM, 31, FALSE) / VLOOKUP("electricity|PM25|Non-fatal heart attacks", US_national_yearly!$D:$AM, 10, FALSE), 1)</f>
        <v>6.4714635270634886E-4</v>
      </c>
      <c r="X13" s="7">
        <f>$B13 * IFERROR(VLOOKUP("electricity|PM25|Non-fatal heart attacks", US_national_yearly!$D:$AM, 32, FALSE) / VLOOKUP("electricity|PM25|Non-fatal heart attacks", US_national_yearly!$D:$AM, 10, FALSE), 1)</f>
        <v>6.5005256782788045E-4</v>
      </c>
      <c r="Y13" s="7">
        <f>$B13 * IFERROR(VLOOKUP("electricity|PM25|Non-fatal heart attacks", US_national_yearly!$D:$AM, 33, FALSE) / VLOOKUP("electricity|PM25|Non-fatal heart attacks", US_national_yearly!$D:$AM, 10, FALSE), 1)</f>
        <v>6.5295878294941204E-4</v>
      </c>
      <c r="Z13" s="7">
        <f>$B13 * IFERROR(VLOOKUP("electricity|PM25|Non-fatal heart attacks", US_national_yearly!$D:$AM, 34, FALSE) / VLOOKUP("electricity|PM25|Non-fatal heart attacks", US_national_yearly!$D:$AM, 10, FALSE), 1)</f>
        <v>6.5586499807094363E-4</v>
      </c>
      <c r="AA13" s="7">
        <f>$B13 * IFERROR(VLOOKUP("electricity|PM25|Non-fatal heart attacks", US_national_yearly!$D:$AM, 35, FALSE) / VLOOKUP("electricity|PM25|Non-fatal heart attacks", US_national_yearly!$D:$AM, 10, FALSE), 1)</f>
        <v>6.5877121319247544E-4</v>
      </c>
      <c r="AB13" s="7">
        <f>$B13 * IFERROR(VLOOKUP("electricity|PM25|Non-fatal heart attacks", US_national_yearly!$D:$AM, 36, FALSE) / VLOOKUP("electricity|PM25|Non-fatal heart attacks", US_national_yearly!$D:$AM, 10, FALSE), 1)</f>
        <v>6.6167742831400704E-4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0.46519966460445666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0.46623237659027211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0.46726508857608767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0.46829780056190312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0.46933051254771868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0.47086293747035923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0.47239536239299984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0.47510120752255858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0.47780705265211743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0.48051289778167622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0.48321874291123507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0.4859245880407938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0.4896783756118413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0.49343216318288885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0.49718595075393646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0.50093973832498406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0.50469352589603156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0.50847969178827535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0.51226585768051902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0.51605202357276281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0.51983818946500659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0.52362435535725027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0.52686988981337379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0.53011542426949732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0.53336095872562095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0.53660649318174425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0.53985202763786799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7.9075063918865499E-2</v>
      </c>
      <c r="C15" s="7">
        <f>$B15 * IFERROR(VLOOKUP("electricity|PM25|Work loss days", US_national_yearly!$D:$AM, 11, FALSE) / VLOOKUP("electricity|PM25|Work loss days", US_national_yearly!$D:$AM, 10, FALSE), 1)</f>
        <v>7.9301341785193796E-2</v>
      </c>
      <c r="D15" s="7">
        <f>$B15 * IFERROR(VLOOKUP("electricity|PM25|Work loss days", US_national_yearly!$D:$AM, 12, FALSE) / VLOOKUP("electricity|PM25|Work loss days", US_national_yearly!$D:$AM, 10, FALSE), 1)</f>
        <v>7.9527619651522108E-2</v>
      </c>
      <c r="E15" s="7">
        <f>$B15 * IFERROR(VLOOKUP("electricity|PM25|Work loss days", US_national_yearly!$D:$AM, 13, FALSE) / VLOOKUP("electricity|PM25|Work loss days", US_national_yearly!$D:$AM, 10, FALSE), 1)</f>
        <v>7.9753897517850406E-2</v>
      </c>
      <c r="F15" s="7">
        <f>$B15 * IFERROR(VLOOKUP("electricity|PM25|Work loss days", US_national_yearly!$D:$AM, 14, FALSE) / VLOOKUP("electricity|PM25|Work loss days", US_national_yearly!$D:$AM, 10, FALSE), 1)</f>
        <v>7.9980175384178703E-2</v>
      </c>
      <c r="G15" s="7">
        <f>$B15 * IFERROR(VLOOKUP("electricity|PM25|Work loss days", US_national_yearly!$D:$AM, 15, FALSE) / VLOOKUP("electricity|PM25|Work loss days", US_national_yearly!$D:$AM, 10, FALSE), 1)</f>
        <v>8.0273306744067588E-2</v>
      </c>
      <c r="H15" s="7">
        <f>$B15 * IFERROR(VLOOKUP("electricity|PM25|Work loss days", US_national_yearly!$D:$AM, 16, FALSE) / VLOOKUP("electricity|PM25|Work loss days", US_national_yearly!$D:$AM, 10, FALSE), 1)</f>
        <v>8.05664381039565E-2</v>
      </c>
      <c r="I15" s="7">
        <f>$B15 * IFERROR(VLOOKUP("electricity|PM25|Work loss days", US_national_yearly!$D:$AM, 17, FALSE) / VLOOKUP("electricity|PM25|Work loss days", US_national_yearly!$D:$AM, 10, FALSE), 1)</f>
        <v>8.100711104869554E-2</v>
      </c>
      <c r="J15" s="7">
        <f>$B15 * IFERROR(VLOOKUP("electricity|PM25|Work loss days", US_national_yearly!$D:$AM, 18, FALSE) / VLOOKUP("electricity|PM25|Work loss days", US_national_yearly!$D:$AM, 10, FALSE), 1)</f>
        <v>8.1447783993434567E-2</v>
      </c>
      <c r="K15" s="7">
        <f>$B15 * IFERROR(VLOOKUP("electricity|PM25|Work loss days", US_national_yearly!$D:$AM, 19, FALSE) / VLOOKUP("electricity|PM25|Work loss days", US_national_yearly!$D:$AM, 10, FALSE), 1)</f>
        <v>8.1888456938173607E-2</v>
      </c>
      <c r="L15" s="7">
        <f>$B15 * IFERROR(VLOOKUP("electricity|PM25|Work loss days", US_national_yearly!$D:$AM, 20, FALSE) / VLOOKUP("electricity|PM25|Work loss days", US_national_yearly!$D:$AM, 10, FALSE), 1)</f>
        <v>8.2329129882912647E-2</v>
      </c>
      <c r="M15" s="7">
        <f>$B15 * IFERROR(VLOOKUP("electricity|PM25|Work loss days", US_national_yearly!$D:$AM, 21, FALSE) / VLOOKUP("electricity|PM25|Work loss days", US_national_yearly!$D:$AM, 10, FALSE), 1)</f>
        <v>8.2769802827651687E-2</v>
      </c>
      <c r="N15" s="7">
        <f>$B15 * IFERROR(VLOOKUP("electricity|PM25|Work loss days", US_national_yearly!$D:$AM, 22, FALSE) / VLOOKUP("electricity|PM25|Work loss days", US_national_yearly!$D:$AM, 10, FALSE), 1)</f>
        <v>8.3338742191916615E-2</v>
      </c>
      <c r="O15" s="7">
        <f>$B15 * IFERROR(VLOOKUP("electricity|PM25|Work loss days", US_national_yearly!$D:$AM, 23, FALSE) / VLOOKUP("electricity|PM25|Work loss days", US_national_yearly!$D:$AM, 10, FALSE), 1)</f>
        <v>8.3907681556181543E-2</v>
      </c>
      <c r="P15" s="7">
        <f>$B15 * IFERROR(VLOOKUP("electricity|PM25|Work loss days", US_national_yearly!$D:$AM, 24, FALSE) / VLOOKUP("electricity|PM25|Work loss days", US_national_yearly!$D:$AM, 10, FALSE), 1)</f>
        <v>8.4476620920446457E-2</v>
      </c>
      <c r="Q15" s="7">
        <f>$B15 * IFERROR(VLOOKUP("electricity|PM25|Work loss days", US_national_yearly!$D:$AM, 25, FALSE) / VLOOKUP("electricity|PM25|Work loss days", US_national_yearly!$D:$AM, 10, FALSE), 1)</f>
        <v>8.5045560284711358E-2</v>
      </c>
      <c r="R15" s="7">
        <f>$B15 * IFERROR(VLOOKUP("electricity|PM25|Work loss days", US_national_yearly!$D:$AM, 26, FALSE) / VLOOKUP("electricity|PM25|Work loss days", US_national_yearly!$D:$AM, 10, FALSE), 1)</f>
        <v>8.5614499648976286E-2</v>
      </c>
      <c r="S15" s="7">
        <f>$B15 * IFERROR(VLOOKUP("electricity|PM25|Work loss days", US_national_yearly!$D:$AM, 27, FALSE) / VLOOKUP("electricity|PM25|Work loss days", US_national_yearly!$D:$AM, 10, FALSE), 1)</f>
        <v>8.6245821442261658E-2</v>
      </c>
      <c r="T15" s="7">
        <f>$B15 * IFERROR(VLOOKUP("electricity|PM25|Work loss days", US_national_yearly!$D:$AM, 28, FALSE) / VLOOKUP("electricity|PM25|Work loss days", US_national_yearly!$D:$AM, 10, FALSE), 1)</f>
        <v>8.6877143235547044E-2</v>
      </c>
      <c r="U15" s="7">
        <f>$B15 * IFERROR(VLOOKUP("electricity|PM25|Work loss days", US_national_yearly!$D:$AM, 29, FALSE) / VLOOKUP("electricity|PM25|Work loss days", US_national_yearly!$D:$AM, 10, FALSE), 1)</f>
        <v>8.750846502883243E-2</v>
      </c>
      <c r="V15" s="7">
        <f>$B15 * IFERROR(VLOOKUP("electricity|PM25|Work loss days", US_national_yearly!$D:$AM, 30, FALSE) / VLOOKUP("electricity|PM25|Work loss days", US_national_yearly!$D:$AM, 10, FALSE), 1)</f>
        <v>8.8139786822117816E-2</v>
      </c>
      <c r="W15" s="7">
        <f>$B15 * IFERROR(VLOOKUP("electricity|PM25|Work loss days", US_national_yearly!$D:$AM, 31, FALSE) / VLOOKUP("electricity|PM25|Work loss days", US_national_yearly!$D:$AM, 10, FALSE), 1)</f>
        <v>8.8771108615403174E-2</v>
      </c>
      <c r="X15" s="7">
        <f>$B15 * IFERROR(VLOOKUP("electricity|PM25|Work loss days", US_national_yearly!$D:$AM, 32, FALSE) / VLOOKUP("electricity|PM25|Work loss days", US_national_yearly!$D:$AM, 10, FALSE), 1)</f>
        <v>8.932803802781962E-2</v>
      </c>
      <c r="Y15" s="7">
        <f>$B15 * IFERROR(VLOOKUP("electricity|PM25|Work loss days", US_national_yearly!$D:$AM, 33, FALSE) / VLOOKUP("electricity|PM25|Work loss days", US_national_yearly!$D:$AM, 10, FALSE), 1)</f>
        <v>8.9884967440236024E-2</v>
      </c>
      <c r="Z15" s="7">
        <f>$B15 * IFERROR(VLOOKUP("electricity|PM25|Work loss days", US_national_yearly!$D:$AM, 34, FALSE) / VLOOKUP("electricity|PM25|Work loss days", US_national_yearly!$D:$AM, 10, FALSE), 1)</f>
        <v>9.0441896852652456E-2</v>
      </c>
      <c r="AA15" s="7">
        <f>$B15 * IFERROR(VLOOKUP("electricity|PM25|Work loss days", US_national_yearly!$D:$AM, 35, FALSE) / VLOOKUP("electricity|PM25|Work loss days", US_national_yearly!$D:$AM, 10, FALSE), 1)</f>
        <v>9.0998826265068902E-2</v>
      </c>
      <c r="AB15" s="7">
        <f>$B15 * IFERROR(VLOOKUP("electricity|PM25|Work loss days", US_national_yearly!$D:$AM, 36, FALSE) / VLOOKUP("electricity|PM25|Work loss days", US_national_yearly!$D:$AM, 10, FALSE), 1)</f>
        <v>9.155575567748532E-2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1.1379815134989605E-4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1.1717510115445728E-4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1.2055205095901851E-4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1.2392900076357974E-4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1.2730595056814097E-4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1.3056301341566676E-4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1.3382007626319255E-4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1.3664160295982192E-4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1.3946312965645125E-4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1.4228465635308059E-4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1.4510618304970995E-4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1.4792770974633929E-4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1.4982440466316166E-4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1.5172109957998402E-4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1.5361779449680636E-4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1.5551448941362875E-4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1.5741118433045109E-4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1.5845797278678654E-4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1.5950476124312193E-4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1.6055154969945738E-4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1.615983381557928E-4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1.6264512661212822E-4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1.6337542292852952E-4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1.6410571924493081E-4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1.6483601556133214E-4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1.6556631187773348E-4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1.6629660819413481E-4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3.1903041906020228E-5</v>
      </c>
      <c r="C2" s="7">
        <f>$B2 * IFERROR(VLOOKUP("electricity|NOx|Premature mortality", US_national_yearly!$D:$AM, 11, FALSE) / VLOOKUP("electricity|NOx|Premature mortality", US_national_yearly!$D:$AM, 10, FALSE), 1)</f>
        <v>3.2385755147255297E-5</v>
      </c>
      <c r="D2" s="7">
        <f>$B2 * IFERROR(VLOOKUP("electricity|NOx|Premature mortality", US_national_yearly!$D:$AM, 12, FALSE) / VLOOKUP("electricity|NOx|Premature mortality", US_national_yearly!$D:$AM, 10, FALSE), 1)</f>
        <v>3.2868468388490372E-5</v>
      </c>
      <c r="E2" s="7">
        <f>$B2 * IFERROR(VLOOKUP("electricity|NOx|Premature mortality", US_national_yearly!$D:$AM, 13, FALSE) / VLOOKUP("electricity|NOx|Premature mortality", US_national_yearly!$D:$AM, 10, FALSE), 1)</f>
        <v>3.335118162972544E-5</v>
      </c>
      <c r="F2" s="7">
        <f>$B2 * IFERROR(VLOOKUP("electricity|NOx|Premature mortality", US_national_yearly!$D:$AM, 14, FALSE) / VLOOKUP("electricity|NOx|Premature mortality", US_national_yearly!$D:$AM, 10, FALSE), 1)</f>
        <v>3.3833894870960508E-5</v>
      </c>
      <c r="G2" s="7">
        <f>$B2 * IFERROR(VLOOKUP("electricity|NOx|Premature mortality", US_national_yearly!$D:$AM, 15, FALSE) / VLOOKUP("electricity|NOx|Premature mortality", US_national_yearly!$D:$AM, 10, FALSE), 1)</f>
        <v>3.4696198498959289E-5</v>
      </c>
      <c r="H2" s="7">
        <f>$B2 * IFERROR(VLOOKUP("electricity|NOx|Premature mortality", US_national_yearly!$D:$AM, 16, FALSE) / VLOOKUP("electricity|NOx|Premature mortality", US_national_yearly!$D:$AM, 10, FALSE), 1)</f>
        <v>3.5558502126958056E-5</v>
      </c>
      <c r="I2" s="7">
        <f>$B2 * IFERROR(VLOOKUP("electricity|NOx|Premature mortality", US_national_yearly!$D:$AM, 17, FALSE) / VLOOKUP("electricity|NOx|Premature mortality", US_national_yearly!$D:$AM, 10, FALSE), 1)</f>
        <v>3.6131538306714393E-5</v>
      </c>
      <c r="J2" s="7">
        <f>$B2 * IFERROR(VLOOKUP("electricity|NOx|Premature mortality", US_national_yearly!$D:$AM, 18, FALSE) / VLOOKUP("electricity|NOx|Premature mortality", US_national_yearly!$D:$AM, 10, FALSE), 1)</f>
        <v>3.6704574486470737E-5</v>
      </c>
      <c r="K2" s="7">
        <f>$B2 * IFERROR(VLOOKUP("electricity|NOx|Premature mortality", US_national_yearly!$D:$AM, 19, FALSE) / VLOOKUP("electricity|NOx|Premature mortality", US_national_yearly!$D:$AM, 10, FALSE), 1)</f>
        <v>3.7277610666227067E-5</v>
      </c>
      <c r="L2" s="7">
        <f>$B2 * IFERROR(VLOOKUP("electricity|NOx|Premature mortality", US_national_yearly!$D:$AM, 20, FALSE) / VLOOKUP("electricity|NOx|Premature mortality", US_national_yearly!$D:$AM, 10, FALSE), 1)</f>
        <v>3.7850646845983405E-5</v>
      </c>
      <c r="M2" s="7">
        <f>$B2 * IFERROR(VLOOKUP("electricity|NOx|Premature mortality", US_national_yearly!$D:$AM, 21, FALSE) / VLOOKUP("electricity|NOx|Premature mortality", US_national_yearly!$D:$AM, 10, FALSE), 1)</f>
        <v>3.8423683025739735E-5</v>
      </c>
      <c r="N2" s="7">
        <f>$B2 * IFERROR(VLOOKUP("electricity|NOx|Premature mortality", US_national_yearly!$D:$AM, 22, FALSE) / VLOOKUP("electricity|NOx|Premature mortality", US_national_yearly!$D:$AM, 10, FALSE), 1)</f>
        <v>3.886584668420395E-5</v>
      </c>
      <c r="O2" s="7">
        <f>$B2 * IFERROR(VLOOKUP("electricity|NOx|Premature mortality", US_national_yearly!$D:$AM, 23, FALSE) / VLOOKUP("electricity|NOx|Premature mortality", US_national_yearly!$D:$AM, 10, FALSE), 1)</f>
        <v>3.9308010342668179E-5</v>
      </c>
      <c r="P2" s="7">
        <f>$B2 * IFERROR(VLOOKUP("electricity|NOx|Premature mortality", US_national_yearly!$D:$AM, 24, FALSE) / VLOOKUP("electricity|NOx|Premature mortality", US_national_yearly!$D:$AM, 10, FALSE), 1)</f>
        <v>3.9750174001132402E-5</v>
      </c>
      <c r="Q2" s="7">
        <f>$B2 * IFERROR(VLOOKUP("electricity|NOx|Premature mortality", US_national_yearly!$D:$AM, 25, FALSE) / VLOOKUP("electricity|NOx|Premature mortality", US_national_yearly!$D:$AM, 10, FALSE), 1)</f>
        <v>4.0192337659596624E-5</v>
      </c>
      <c r="R2" s="7">
        <f>$B2 * IFERROR(VLOOKUP("electricity|NOx|Premature mortality", US_national_yearly!$D:$AM, 26, FALSE) / VLOOKUP("electricity|NOx|Premature mortality", US_national_yearly!$D:$AM, 10, FALSE), 1)</f>
        <v>4.0634501318060839E-5</v>
      </c>
      <c r="S2" s="7">
        <f>$B2 * IFERROR(VLOOKUP("electricity|NOx|Premature mortality", US_national_yearly!$D:$AM, 27, FALSE) / VLOOKUP("electricity|NOx|Premature mortality", US_national_yearly!$D:$AM, 10, FALSE), 1)</f>
        <v>4.0862985794093561E-5</v>
      </c>
      <c r="T2" s="7">
        <f>$B2 * IFERROR(VLOOKUP("electricity|NOx|Premature mortality", US_national_yearly!$D:$AM, 28, FALSE) / VLOOKUP("electricity|NOx|Premature mortality", US_national_yearly!$D:$AM, 10, FALSE), 1)</f>
        <v>4.1091470270126284E-5</v>
      </c>
      <c r="U2" s="7">
        <f>$B2 * IFERROR(VLOOKUP("electricity|NOx|Premature mortality", US_national_yearly!$D:$AM, 29, FALSE) / VLOOKUP("electricity|NOx|Premature mortality", US_national_yearly!$D:$AM, 10, FALSE), 1)</f>
        <v>4.1319954746159019E-5</v>
      </c>
      <c r="V2" s="7">
        <f>$B2 * IFERROR(VLOOKUP("electricity|NOx|Premature mortality", US_national_yearly!$D:$AM, 30, FALSE) / VLOOKUP("electricity|NOx|Premature mortality", US_national_yearly!$D:$AM, 10, FALSE), 1)</f>
        <v>4.1548439222191742E-5</v>
      </c>
      <c r="W2" s="7">
        <f>$B2 * IFERROR(VLOOKUP("electricity|NOx|Premature mortality", US_national_yearly!$D:$AM, 31, FALSE) / VLOOKUP("electricity|NOx|Premature mortality", US_national_yearly!$D:$AM, 10, FALSE), 1)</f>
        <v>4.1776923698224464E-5</v>
      </c>
      <c r="X2" s="7">
        <f>$B2 * IFERROR(VLOOKUP("electricity|NOx|Premature mortality", US_national_yearly!$D:$AM, 32, FALSE) / VLOOKUP("electricity|NOx|Premature mortality", US_national_yearly!$D:$AM, 10, FALSE), 1)</f>
        <v>4.1828613984860702E-5</v>
      </c>
      <c r="Y2" s="7">
        <f>$B2 * IFERROR(VLOOKUP("electricity|NOx|Premature mortality", US_national_yearly!$D:$AM, 33, FALSE) / VLOOKUP("electricity|NOx|Premature mortality", US_national_yearly!$D:$AM, 10, FALSE), 1)</f>
        <v>4.1880304271496933E-5</v>
      </c>
      <c r="Z2" s="7">
        <f>$B2 * IFERROR(VLOOKUP("electricity|NOx|Premature mortality", US_national_yearly!$D:$AM, 34, FALSE) / VLOOKUP("electricity|NOx|Premature mortality", US_national_yearly!$D:$AM, 10, FALSE), 1)</f>
        <v>4.1931994558133172E-5</v>
      </c>
      <c r="AA2" s="7">
        <f>$B2 * IFERROR(VLOOKUP("electricity|NOx|Premature mortality", US_national_yearly!$D:$AM, 35, FALSE) / VLOOKUP("electricity|NOx|Premature mortality", US_national_yearly!$D:$AM, 10, FALSE), 1)</f>
        <v>4.1983684844769396E-5</v>
      </c>
      <c r="AB2" s="7">
        <f>$B2 * IFERROR(VLOOKUP("electricity|NOx|Premature mortality", US_national_yearly!$D:$AM, 36, FALSE) / VLOOKUP("electricity|NOx|Premature mortality", US_national_yearly!$D:$AM, 10, FALSE), 1)</f>
        <v>4.2035375131405634E-5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8.0356846727215353E-8</v>
      </c>
      <c r="C3" s="7">
        <f>$B3 * IFERROR(VLOOKUP("electricity|NOx|Infant mortality", US_national_yearly!$D:$AM, 11, FALSE) / VLOOKUP("electricity|NOx|Infant mortality", US_national_yearly!$D:$AM, 10, FALSE), 1)</f>
        <v>7.9605062514076992E-8</v>
      </c>
      <c r="D3" s="7">
        <f>$B3 * IFERROR(VLOOKUP("electricity|NOx|Infant mortality", US_national_yearly!$D:$AM, 12, FALSE) / VLOOKUP("electricity|NOx|Infant mortality", US_national_yearly!$D:$AM, 10, FALSE), 1)</f>
        <v>7.8853278300938618E-8</v>
      </c>
      <c r="E3" s="7">
        <f>$B3 * IFERROR(VLOOKUP("electricity|NOx|Infant mortality", US_national_yearly!$D:$AM, 13, FALSE) / VLOOKUP("electricity|NOx|Infant mortality", US_national_yearly!$D:$AM, 10, FALSE), 1)</f>
        <v>7.8101494087800257E-8</v>
      </c>
      <c r="F3" s="7">
        <f>$B3 * IFERROR(VLOOKUP("electricity|NOx|Infant mortality", US_national_yearly!$D:$AM, 14, FALSE) / VLOOKUP("electricity|NOx|Infant mortality", US_national_yearly!$D:$AM, 10, FALSE), 1)</f>
        <v>7.7349709874661869E-8</v>
      </c>
      <c r="G3" s="7">
        <f>$B3 * IFERROR(VLOOKUP("electricity|NOx|Infant mortality", US_national_yearly!$D:$AM, 15, FALSE) / VLOOKUP("electricity|NOx|Infant mortality", US_national_yearly!$D:$AM, 10, FALSE), 1)</f>
        <v>5.1248014976181326E-8</v>
      </c>
      <c r="H3" s="7">
        <f>$B3 * IFERROR(VLOOKUP("electricity|NOx|Infant mortality", US_national_yearly!$D:$AM, 16, FALSE) / VLOOKUP("electricity|NOx|Infant mortality", US_national_yearly!$D:$AM, 10, FALSE), 1)</f>
        <v>2.5146320077700779E-8</v>
      </c>
      <c r="I3" s="7">
        <f>$B3 * IFERROR(VLOOKUP("electricity|NOx|Infant mortality", US_national_yearly!$D:$AM, 17, FALSE) / VLOOKUP("electricity|NOx|Infant mortality", US_national_yearly!$D:$AM, 10, FALSE), 1)</f>
        <v>2.4963442296683208E-8</v>
      </c>
      <c r="J3" s="7">
        <f>$B3 * IFERROR(VLOOKUP("electricity|NOx|Infant mortality", US_national_yearly!$D:$AM, 18, FALSE) / VLOOKUP("electricity|NOx|Infant mortality", US_national_yearly!$D:$AM, 10, FALSE), 1)</f>
        <v>2.4780564515665633E-8</v>
      </c>
      <c r="K3" s="7">
        <f>$B3 * IFERROR(VLOOKUP("electricity|NOx|Infant mortality", US_national_yearly!$D:$AM, 19, FALSE) / VLOOKUP("electricity|NOx|Infant mortality", US_national_yearly!$D:$AM, 10, FALSE), 1)</f>
        <v>2.4597686734648062E-8</v>
      </c>
      <c r="L3" s="7">
        <f>$B3 * IFERROR(VLOOKUP("electricity|NOx|Infant mortality", US_national_yearly!$D:$AM, 20, FALSE) / VLOOKUP("electricity|NOx|Infant mortality", US_national_yearly!$D:$AM, 10, FALSE), 1)</f>
        <v>2.4414808953630487E-8</v>
      </c>
      <c r="M3" s="7">
        <f>$B3 * IFERROR(VLOOKUP("electricity|NOx|Infant mortality", US_national_yearly!$D:$AM, 21, FALSE) / VLOOKUP("electricity|NOx|Infant mortality", US_national_yearly!$D:$AM, 10, FALSE), 1)</f>
        <v>2.4231931172612913E-8</v>
      </c>
      <c r="N3" s="7">
        <f>$B3 * IFERROR(VLOOKUP("electricity|NOx|Infant mortality", US_national_yearly!$D:$AM, 22, FALSE) / VLOOKUP("electricity|NOx|Infant mortality", US_national_yearly!$D:$AM, 10, FALSE), 1)</f>
        <v>2.4109127428973611E-8</v>
      </c>
      <c r="O3" s="7">
        <f>$B3 * IFERROR(VLOOKUP("electricity|NOx|Infant mortality", US_national_yearly!$D:$AM, 23, FALSE) / VLOOKUP("electricity|NOx|Infant mortality", US_national_yearly!$D:$AM, 10, FALSE), 1)</f>
        <v>2.3986323685334306E-8</v>
      </c>
      <c r="P3" s="7">
        <f>$B3 * IFERROR(VLOOKUP("electricity|NOx|Infant mortality", US_national_yearly!$D:$AM, 24, FALSE) / VLOOKUP("electricity|NOx|Infant mortality", US_national_yearly!$D:$AM, 10, FALSE), 1)</f>
        <v>2.3863519941695E-8</v>
      </c>
      <c r="Q3" s="7">
        <f>$B3 * IFERROR(VLOOKUP("electricity|NOx|Infant mortality", US_national_yearly!$D:$AM, 25, FALSE) / VLOOKUP("electricity|NOx|Infant mortality", US_national_yearly!$D:$AM, 10, FALSE), 1)</f>
        <v>2.3740716198055695E-8</v>
      </c>
      <c r="R3" s="7">
        <f>$B3 * IFERROR(VLOOKUP("electricity|NOx|Infant mortality", US_national_yearly!$D:$AM, 26, FALSE) / VLOOKUP("electricity|NOx|Infant mortality", US_national_yearly!$D:$AM, 10, FALSE), 1)</f>
        <v>2.3617912454416393E-8</v>
      </c>
      <c r="S3" s="7">
        <f>$B3 * IFERROR(VLOOKUP("electricity|NOx|Infant mortality", US_national_yearly!$D:$AM, 27, FALSE) / VLOOKUP("electricity|NOx|Infant mortality", US_national_yearly!$D:$AM, 10, FALSE), 1)</f>
        <v>2.3472123025123437E-8</v>
      </c>
      <c r="T3" s="7">
        <f>$B3 * IFERROR(VLOOKUP("electricity|NOx|Infant mortality", US_national_yearly!$D:$AM, 28, FALSE) / VLOOKUP("electricity|NOx|Infant mortality", US_national_yearly!$D:$AM, 10, FALSE), 1)</f>
        <v>2.3326333595830481E-8</v>
      </c>
      <c r="U3" s="7">
        <f>$B3 * IFERROR(VLOOKUP("electricity|NOx|Infant mortality", US_national_yearly!$D:$AM, 29, FALSE) / VLOOKUP("electricity|NOx|Infant mortality", US_national_yearly!$D:$AM, 10, FALSE), 1)</f>
        <v>2.3180544166537528E-8</v>
      </c>
      <c r="V3" s="7">
        <f>$B3 * IFERROR(VLOOKUP("electricity|NOx|Infant mortality", US_national_yearly!$D:$AM, 30, FALSE) / VLOOKUP("electricity|NOx|Infant mortality", US_national_yearly!$D:$AM, 10, FALSE), 1)</f>
        <v>2.3034754737244578E-8</v>
      </c>
      <c r="W3" s="7">
        <f>$B3 * IFERROR(VLOOKUP("electricity|NOx|Infant mortality", US_national_yearly!$D:$AM, 31, FALSE) / VLOOKUP("electricity|NOx|Infant mortality", US_national_yearly!$D:$AM, 10, FALSE), 1)</f>
        <v>2.2888965307951622E-8</v>
      </c>
      <c r="X3" s="7">
        <f>$B3 * IFERROR(VLOOKUP("electricity|NOx|Infant mortality", US_national_yearly!$D:$AM, 32, FALSE) / VLOOKUP("electricity|NOx|Infant mortality", US_national_yearly!$D:$AM, 10, FALSE), 1)</f>
        <v>2.2738849668882682E-8</v>
      </c>
      <c r="Y3" s="7">
        <f>$B3 * IFERROR(VLOOKUP("electricity|NOx|Infant mortality", US_national_yearly!$D:$AM, 33, FALSE) / VLOOKUP("electricity|NOx|Infant mortality", US_national_yearly!$D:$AM, 10, FALSE), 1)</f>
        <v>2.2588734029813742E-8</v>
      </c>
      <c r="Z3" s="7">
        <f>$B3 * IFERROR(VLOOKUP("electricity|NOx|Infant mortality", US_national_yearly!$D:$AM, 34, FALSE) / VLOOKUP("electricity|NOx|Infant mortality", US_national_yearly!$D:$AM, 10, FALSE), 1)</f>
        <v>2.2438618390744806E-8</v>
      </c>
      <c r="AA3" s="7">
        <f>$B3 * IFERROR(VLOOKUP("electricity|NOx|Infant mortality", US_national_yearly!$D:$AM, 35, FALSE) / VLOOKUP("electricity|NOx|Infant mortality", US_national_yearly!$D:$AM, 10, FALSE), 1)</f>
        <v>2.2288502751675866E-8</v>
      </c>
      <c r="AB3" s="7">
        <f>$B3 * IFERROR(VLOOKUP("electricity|NOx|Infant mortality", US_national_yearly!$D:$AM, 36, FALSE) / VLOOKUP("electricity|NOx|Infant mortality", US_national_yearly!$D:$AM, 10, FALSE), 1)</f>
        <v>2.2138387112606923E-8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8.5019363157265267E-5</v>
      </c>
      <c r="C6" s="7">
        <f>$B6 * IFERROR(VLOOKUP("electricity|NOx|Asthma symptoms cough", US_national_yearly!$D:$AM, 11, FALSE) / VLOOKUP("electricity|NOx|Asthma symptoms cough", US_national_yearly!$D:$AM, 10, FALSE), 1)</f>
        <v>8.6186571119256316E-5</v>
      </c>
      <c r="D6" s="7">
        <f>$B6 * IFERROR(VLOOKUP("electricity|NOx|Asthma symptoms cough", US_national_yearly!$D:$AM, 12, FALSE) / VLOOKUP("electricity|NOx|Asthma symptoms cough", US_national_yearly!$D:$AM, 10, FALSE), 1)</f>
        <v>8.7353779081247393E-5</v>
      </c>
      <c r="E6" s="7">
        <f>$B6 * IFERROR(VLOOKUP("electricity|NOx|Asthma symptoms cough", US_national_yearly!$D:$AM, 13, FALSE) / VLOOKUP("electricity|NOx|Asthma symptoms cough", US_national_yearly!$D:$AM, 10, FALSE), 1)</f>
        <v>8.8520987043238443E-5</v>
      </c>
      <c r="F6" s="7">
        <f>$B6 * IFERROR(VLOOKUP("electricity|NOx|Asthma symptoms cough", US_national_yearly!$D:$AM, 14, FALSE) / VLOOKUP("electricity|NOx|Asthma symptoms cough", US_national_yearly!$D:$AM, 10, FALSE), 1)</f>
        <v>8.9688195005229493E-5</v>
      </c>
      <c r="G6" s="7">
        <f>$B6 * IFERROR(VLOOKUP("electricity|NOx|Asthma symptoms cough", US_national_yearly!$D:$AM, 15, FALSE) / VLOOKUP("electricity|NOx|Asthma symptoms cough", US_national_yearly!$D:$AM, 10, FALSE), 1)</f>
        <v>9.0637196966309575E-5</v>
      </c>
      <c r="H6" s="7">
        <f>$B6 * IFERROR(VLOOKUP("electricity|NOx|Asthma symptoms cough", US_national_yearly!$D:$AM, 16, FALSE) / VLOOKUP("electricity|NOx|Asthma symptoms cough", US_national_yearly!$D:$AM, 10, FALSE), 1)</f>
        <v>9.1586198927389657E-5</v>
      </c>
      <c r="I6" s="7">
        <f>$B6 * IFERROR(VLOOKUP("electricity|NOx|Asthma symptoms cough", US_national_yearly!$D:$AM, 17, FALSE) / VLOOKUP("electricity|NOx|Asthma symptoms cough", US_national_yearly!$D:$AM, 10, FALSE), 1)</f>
        <v>9.1938979058722468E-5</v>
      </c>
      <c r="J6" s="7">
        <f>$B6 * IFERROR(VLOOKUP("electricity|NOx|Asthma symptoms cough", US_national_yearly!$D:$AM, 18, FALSE) / VLOOKUP("electricity|NOx|Asthma symptoms cough", US_national_yearly!$D:$AM, 10, FALSE), 1)</f>
        <v>9.2291759190055292E-5</v>
      </c>
      <c r="K6" s="7">
        <f>$B6 * IFERROR(VLOOKUP("electricity|NOx|Asthma symptoms cough", US_national_yearly!$D:$AM, 19, FALSE) / VLOOKUP("electricity|NOx|Asthma symptoms cough", US_national_yearly!$D:$AM, 10, FALSE), 1)</f>
        <v>9.2644539321388143E-5</v>
      </c>
      <c r="L6" s="7">
        <f>$B6 * IFERROR(VLOOKUP("electricity|NOx|Asthma symptoms cough", US_national_yearly!$D:$AM, 20, FALSE) / VLOOKUP("electricity|NOx|Asthma symptoms cough", US_national_yearly!$D:$AM, 10, FALSE), 1)</f>
        <v>9.2997319452720967E-5</v>
      </c>
      <c r="M6" s="7">
        <f>$B6 * IFERROR(VLOOKUP("electricity|NOx|Asthma symptoms cough", US_national_yearly!$D:$AM, 21, FALSE) / VLOOKUP("electricity|NOx|Asthma symptoms cough", US_national_yearly!$D:$AM, 10, FALSE), 1)</f>
        <v>9.3350099584053805E-5</v>
      </c>
      <c r="N6" s="7">
        <f>$B6 * IFERROR(VLOOKUP("electricity|NOx|Asthma symptoms cough", US_national_yearly!$D:$AM, 22, FALSE) / VLOOKUP("electricity|NOx|Asthma symptoms cough", US_national_yearly!$D:$AM, 10, FALSE), 1)</f>
        <v>9.3740977031079095E-5</v>
      </c>
      <c r="O6" s="7">
        <f>$B6 * IFERROR(VLOOKUP("electricity|NOx|Asthma symptoms cough", US_national_yearly!$D:$AM, 23, FALSE) / VLOOKUP("electricity|NOx|Asthma symptoms cough", US_national_yearly!$D:$AM, 10, FALSE), 1)</f>
        <v>9.4131854478104413E-5</v>
      </c>
      <c r="P6" s="7">
        <f>$B6 * IFERROR(VLOOKUP("electricity|NOx|Asthma symptoms cough", US_national_yearly!$D:$AM, 24, FALSE) / VLOOKUP("electricity|NOx|Asthma symptoms cough", US_national_yearly!$D:$AM, 10, FALSE), 1)</f>
        <v>9.4522731925129717E-5</v>
      </c>
      <c r="Q6" s="7">
        <f>$B6 * IFERROR(VLOOKUP("electricity|NOx|Asthma symptoms cough", US_national_yearly!$D:$AM, 25, FALSE) / VLOOKUP("electricity|NOx|Asthma symptoms cough", US_national_yearly!$D:$AM, 10, FALSE), 1)</f>
        <v>9.4913609372155035E-5</v>
      </c>
      <c r="R6" s="7">
        <f>$B6 * IFERROR(VLOOKUP("electricity|NOx|Asthma symptoms cough", US_national_yearly!$D:$AM, 26, FALSE) / VLOOKUP("electricity|NOx|Asthma symptoms cough", US_national_yearly!$D:$AM, 10, FALSE), 1)</f>
        <v>9.5304486819180339E-5</v>
      </c>
      <c r="S6" s="7">
        <f>$B6 * IFERROR(VLOOKUP("electricity|NOx|Asthma symptoms cough", US_national_yearly!$D:$AM, 27, FALSE) / VLOOKUP("electricity|NOx|Asthma symptoms cough", US_national_yearly!$D:$AM, 10, FALSE), 1)</f>
        <v>9.5792142429427499E-5</v>
      </c>
      <c r="T6" s="7">
        <f>$B6 * IFERROR(VLOOKUP("electricity|NOx|Asthma symptoms cough", US_national_yearly!$D:$AM, 28, FALSE) / VLOOKUP("electricity|NOx|Asthma symptoms cough", US_national_yearly!$D:$AM, 10, FALSE), 1)</f>
        <v>9.6279798039674644E-5</v>
      </c>
      <c r="U6" s="7">
        <f>$B6 * IFERROR(VLOOKUP("electricity|NOx|Asthma symptoms cough", US_national_yearly!$D:$AM, 29, FALSE) / VLOOKUP("electricity|NOx|Asthma symptoms cough", US_national_yearly!$D:$AM, 10, FALSE), 1)</f>
        <v>9.6767453649921817E-5</v>
      </c>
      <c r="V6" s="7">
        <f>$B6 * IFERROR(VLOOKUP("electricity|NOx|Asthma symptoms cough", US_national_yearly!$D:$AM, 30, FALSE) / VLOOKUP("electricity|NOx|Asthma symptoms cough", US_national_yearly!$D:$AM, 10, FALSE), 1)</f>
        <v>9.7255109260168963E-5</v>
      </c>
      <c r="W6" s="7">
        <f>$B6 * IFERROR(VLOOKUP("electricity|NOx|Asthma symptoms cough", US_national_yearly!$D:$AM, 31, FALSE) / VLOOKUP("electricity|NOx|Asthma symptoms cough", US_national_yearly!$D:$AM, 10, FALSE), 1)</f>
        <v>9.7742764870416122E-5</v>
      </c>
      <c r="X6" s="7">
        <f>$B6 * IFERROR(VLOOKUP("electricity|NOx|Asthma symptoms cough", US_national_yearly!$D:$AM, 32, FALSE) / VLOOKUP("electricity|NOx|Asthma symptoms cough", US_national_yearly!$D:$AM, 10, FALSE), 1)</f>
        <v>9.8192045239323231E-5</v>
      </c>
      <c r="Y6" s="7">
        <f>$B6 * IFERROR(VLOOKUP("electricity|NOx|Asthma symptoms cough", US_national_yearly!$D:$AM, 33, FALSE) / VLOOKUP("electricity|NOx|Asthma symptoms cough", US_national_yearly!$D:$AM, 10, FALSE), 1)</f>
        <v>9.864132560823034E-5</v>
      </c>
      <c r="Z6" s="7">
        <f>$B6 * IFERROR(VLOOKUP("electricity|NOx|Asthma symptoms cough", US_national_yearly!$D:$AM, 34, FALSE) / VLOOKUP("electricity|NOx|Asthma symptoms cough", US_national_yearly!$D:$AM, 10, FALSE), 1)</f>
        <v>9.9090605977137462E-5</v>
      </c>
      <c r="AA6" s="7">
        <f>$B6 * IFERROR(VLOOKUP("electricity|NOx|Asthma symptoms cough", US_national_yearly!$D:$AM, 35, FALSE) / VLOOKUP("electricity|NOx|Asthma symptoms cough", US_national_yearly!$D:$AM, 10, FALSE), 1)</f>
        <v>9.9539886346044571E-5</v>
      </c>
      <c r="AB6" s="7">
        <f>$B6 * IFERROR(VLOOKUP("electricity|NOx|Asthma symptoms cough", US_national_yearly!$D:$AM, 36, FALSE) / VLOOKUP("electricity|NOx|Asthma symptoms cough", US_national_yearly!$D:$AM, 10, FALSE), 1)</f>
        <v>9.9989166714951693E-5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1.1449101595218343E-4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1.1606283230299942E-4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1.1763464865381543E-4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1.1920646500463141E-4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1.2077828135544738E-4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1.2205625138825786E-4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1.2333422142106831E-4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1.2380929149639316E-4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1.2428436157171796E-4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1.2475943164704276E-4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1.2523450172236756E-4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1.2570957179769239E-4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1.2623594548502676E-4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1.2676231917236114E-4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1.2728869285969551E-4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1.2781506654702989E-4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1.2834144023436426E-4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1.2899813988364797E-4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1.2965483953293166E-4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1.3031153918221538E-4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1.3096823883149906E-4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1.3162493848078278E-4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1.3222996025088828E-4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1.3283498202099382E-4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1.3344000379109935E-4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1.3404502556120485E-4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1.3465004733131039E-4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1.7492248754594919E-4</v>
      </c>
      <c r="C8" s="7">
        <f>$B8 * IFERROR(VLOOKUP("electricity|NOx|Asthma symptoms wheeze", US_national_yearly!$D:$AM, 11, FALSE) / VLOOKUP("electricity|NOx|Asthma symptoms wheeze", US_national_yearly!$D:$AM, 10, FALSE), 1)</f>
        <v>1.7732395131325894E-4</v>
      </c>
      <c r="D8" s="7">
        <f>$B8 * IFERROR(VLOOKUP("electricity|NOx|Asthma symptoms wheeze", US_national_yearly!$D:$AM, 12, FALSE) / VLOOKUP("electricity|NOx|Asthma symptoms wheeze", US_national_yearly!$D:$AM, 10, FALSE), 1)</f>
        <v>1.797254150805687E-4</v>
      </c>
      <c r="E8" s="7">
        <f>$B8 * IFERROR(VLOOKUP("electricity|NOx|Asthma symptoms wheeze", US_national_yearly!$D:$AM, 13, FALSE) / VLOOKUP("electricity|NOx|Asthma symptoms wheeze", US_national_yearly!$D:$AM, 10, FALSE), 1)</f>
        <v>1.8212687884787843E-4</v>
      </c>
      <c r="F8" s="7">
        <f>$B8 * IFERROR(VLOOKUP("electricity|NOx|Asthma symptoms wheeze", US_national_yearly!$D:$AM, 14, FALSE) / VLOOKUP("electricity|NOx|Asthma symptoms wheeze", US_national_yearly!$D:$AM, 10, FALSE), 1)</f>
        <v>1.8452834261518825E-4</v>
      </c>
      <c r="G8" s="7">
        <f>$B8 * IFERROR(VLOOKUP("electricity|NOx|Asthma symptoms wheeze", US_national_yearly!$D:$AM, 15, FALSE) / VLOOKUP("electricity|NOx|Asthma symptoms wheeze", US_national_yearly!$D:$AM, 10, FALSE), 1)</f>
        <v>1.8648085998856714E-4</v>
      </c>
      <c r="H8" s="7">
        <f>$B8 * IFERROR(VLOOKUP("electricity|NOx|Asthma symptoms wheeze", US_national_yearly!$D:$AM, 16, FALSE) / VLOOKUP("electricity|NOx|Asthma symptoms wheeze", US_national_yearly!$D:$AM, 10, FALSE), 1)</f>
        <v>1.8843337736194611E-4</v>
      </c>
      <c r="I8" s="7">
        <f>$B8 * IFERROR(VLOOKUP("electricity|NOx|Asthma symptoms wheeze", US_national_yearly!$D:$AM, 17, FALSE) / VLOOKUP("electricity|NOx|Asthma symptoms wheeze", US_national_yearly!$D:$AM, 10, FALSE), 1)</f>
        <v>1.8915920234726153E-4</v>
      </c>
      <c r="J8" s="7">
        <f>$B8 * IFERROR(VLOOKUP("electricity|NOx|Asthma symptoms wheeze", US_national_yearly!$D:$AM, 18, FALSE) / VLOOKUP("electricity|NOx|Asthma symptoms wheeze", US_national_yearly!$D:$AM, 10, FALSE), 1)</f>
        <v>1.8988502733257695E-4</v>
      </c>
      <c r="K8" s="7">
        <f>$B8 * IFERROR(VLOOKUP("electricity|NOx|Asthma symptoms wheeze", US_national_yearly!$D:$AM, 19, FALSE) / VLOOKUP("electricity|NOx|Asthma symptoms wheeze", US_national_yearly!$D:$AM, 10, FALSE), 1)</f>
        <v>1.9061085231789244E-4</v>
      </c>
      <c r="L8" s="7">
        <f>$B8 * IFERROR(VLOOKUP("electricity|NOx|Asthma symptoms wheeze", US_national_yearly!$D:$AM, 20, FALSE) / VLOOKUP("electricity|NOx|Asthma symptoms wheeze", US_national_yearly!$D:$AM, 10, FALSE), 1)</f>
        <v>1.9133667730320789E-4</v>
      </c>
      <c r="M8" s="7">
        <f>$B8 * IFERROR(VLOOKUP("electricity|NOx|Asthma symptoms wheeze", US_national_yearly!$D:$AM, 21, FALSE) / VLOOKUP("electricity|NOx|Asthma symptoms wheeze", US_national_yearly!$D:$AM, 10, FALSE), 1)</f>
        <v>1.9206250228852331E-4</v>
      </c>
      <c r="N8" s="7">
        <f>$B8 * IFERROR(VLOOKUP("electricity|NOx|Asthma symptoms wheeze", US_national_yearly!$D:$AM, 22, FALSE) / VLOOKUP("electricity|NOx|Asthma symptoms wheeze", US_national_yearly!$D:$AM, 10, FALSE), 1)</f>
        <v>1.928667103265651E-4</v>
      </c>
      <c r="O8" s="7">
        <f>$B8 * IFERROR(VLOOKUP("electricity|NOx|Asthma symptoms wheeze", US_national_yearly!$D:$AM, 23, FALSE) / VLOOKUP("electricity|NOx|Asthma symptoms wheeze", US_national_yearly!$D:$AM, 10, FALSE), 1)</f>
        <v>1.9367091836460694E-4</v>
      </c>
      <c r="P8" s="7">
        <f>$B8 * IFERROR(VLOOKUP("electricity|NOx|Asthma symptoms wheeze", US_national_yearly!$D:$AM, 24, FALSE) / VLOOKUP("electricity|NOx|Asthma symptoms wheeze", US_national_yearly!$D:$AM, 10, FALSE), 1)</f>
        <v>1.9447512640264876E-4</v>
      </c>
      <c r="Q8" s="7">
        <f>$B8 * IFERROR(VLOOKUP("electricity|NOx|Asthma symptoms wheeze", US_national_yearly!$D:$AM, 25, FALSE) / VLOOKUP("electricity|NOx|Asthma symptoms wheeze", US_national_yearly!$D:$AM, 10, FALSE), 1)</f>
        <v>1.9527933444069055E-4</v>
      </c>
      <c r="R8" s="7">
        <f>$B8 * IFERROR(VLOOKUP("electricity|NOx|Asthma symptoms wheeze", US_national_yearly!$D:$AM, 26, FALSE) / VLOOKUP("electricity|NOx|Asthma symptoms wheeze", US_national_yearly!$D:$AM, 10, FALSE), 1)</f>
        <v>1.9608354247873234E-4</v>
      </c>
      <c r="S8" s="7">
        <f>$B8 * IFERROR(VLOOKUP("electricity|NOx|Asthma symptoms wheeze", US_national_yearly!$D:$AM, 27, FALSE) / VLOOKUP("electricity|NOx|Asthma symptoms wheeze", US_national_yearly!$D:$AM, 10, FALSE), 1)</f>
        <v>1.9708686606431493E-4</v>
      </c>
      <c r="T8" s="7">
        <f>$B8 * IFERROR(VLOOKUP("electricity|NOx|Asthma symptoms wheeze", US_national_yearly!$D:$AM, 28, FALSE) / VLOOKUP("electricity|NOx|Asthma symptoms wheeze", US_national_yearly!$D:$AM, 10, FALSE), 1)</f>
        <v>1.9809018964989748E-4</v>
      </c>
      <c r="U8" s="7">
        <f>$B8 * IFERROR(VLOOKUP("electricity|NOx|Asthma symptoms wheeze", US_national_yearly!$D:$AM, 29, FALSE) / VLOOKUP("electricity|NOx|Asthma symptoms wheeze", US_national_yearly!$D:$AM, 10, FALSE), 1)</f>
        <v>1.9909351323548001E-4</v>
      </c>
      <c r="V8" s="7">
        <f>$B8 * IFERROR(VLOOKUP("electricity|NOx|Asthma symptoms wheeze", US_national_yearly!$D:$AM, 30, FALSE) / VLOOKUP("electricity|NOx|Asthma symptoms wheeze", US_national_yearly!$D:$AM, 10, FALSE), 1)</f>
        <v>2.0009683682106259E-4</v>
      </c>
      <c r="W8" s="7">
        <f>$B8 * IFERROR(VLOOKUP("electricity|NOx|Asthma symptoms wheeze", US_national_yearly!$D:$AM, 31, FALSE) / VLOOKUP("electricity|NOx|Asthma symptoms wheeze", US_national_yearly!$D:$AM, 10, FALSE), 1)</f>
        <v>2.0110016040664514E-4</v>
      </c>
      <c r="X8" s="7">
        <f>$B8 * IFERROR(VLOOKUP("electricity|NOx|Asthma symptoms wheeze", US_national_yearly!$D:$AM, 32, FALSE) / VLOOKUP("electricity|NOx|Asthma symptoms wheeze", US_national_yearly!$D:$AM, 10, FALSE), 1)</f>
        <v>2.0202452912324931E-4</v>
      </c>
      <c r="Y8" s="7">
        <f>$B8 * IFERROR(VLOOKUP("electricity|NOx|Asthma symptoms wheeze", US_national_yearly!$D:$AM, 33, FALSE) / VLOOKUP("electricity|NOx|Asthma symptoms wheeze", US_national_yearly!$D:$AM, 10, FALSE), 1)</f>
        <v>2.0294889783985354E-4</v>
      </c>
      <c r="Z8" s="7">
        <f>$B8 * IFERROR(VLOOKUP("electricity|NOx|Asthma symptoms wheeze", US_national_yearly!$D:$AM, 34, FALSE) / VLOOKUP("electricity|NOx|Asthma symptoms wheeze", US_national_yearly!$D:$AM, 10, FALSE), 1)</f>
        <v>2.0387326655645766E-4</v>
      </c>
      <c r="AA8" s="7">
        <f>$B8 * IFERROR(VLOOKUP("electricity|NOx|Asthma symptoms wheeze", US_national_yearly!$D:$AM, 35, FALSE) / VLOOKUP("electricity|NOx|Asthma symptoms wheeze", US_national_yearly!$D:$AM, 10, FALSE), 1)</f>
        <v>2.0479763527306188E-4</v>
      </c>
      <c r="AB8" s="7">
        <f>$B8 * IFERROR(VLOOKUP("electricity|NOx|Asthma symptoms wheeze", US_national_yearly!$D:$AM, 36, FALSE) / VLOOKUP("electricity|NOx|Asthma symptoms wheeze", US_national_yearly!$D:$AM, 10, FALSE), 1)</f>
        <v>2.0572200398966605E-4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1.9531879739396366E-6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2.0032123802393852E-6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2.0532367865391343E-6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2.1032611928388829E-6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2.1532855991386311E-6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2.201441808212121E-6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2.2495980172856114E-6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2.2910083953555275E-6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2.3324187734254432E-6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2.3738291514953597E-6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2.4152395295652758E-6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2.4566499076351919E-6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2.4850289597204185E-6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2.5134080118056447E-6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2.5417870638908713E-6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2.5701661159760979E-6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2.5985451680613241E-6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2.6147079436061709E-6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2.6308707191510182E-6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2.6470334946958646E-6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2.6631962702407115E-6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2.6793590457855588E-6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2.6911149693426226E-6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2.7028708928996861E-6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2.7146268164567503E-6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2.7263827400138142E-6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2.7381386635708776E-6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1.052159342164425E-5</v>
      </c>
      <c r="C13" s="7">
        <f>$B13 * IFERROR(VLOOKUP("electricity|NOx|Non-fatal heart attacks", US_national_yearly!$D:$AM, 11, FALSE) / VLOOKUP("electricity|NOx|Non-fatal heart attacks", US_national_yearly!$D:$AM, 10, FALSE), 1)</f>
        <v>1.0823534166387292E-5</v>
      </c>
      <c r="D13" s="7">
        <f>$B13 * IFERROR(VLOOKUP("electricity|NOx|Non-fatal heart attacks", US_national_yearly!$D:$AM, 12, FALSE) / VLOOKUP("electricity|NOx|Non-fatal heart attacks", US_national_yearly!$D:$AM, 10, FALSE), 1)</f>
        <v>1.1125474911130335E-5</v>
      </c>
      <c r="E13" s="7">
        <f>$B13 * IFERROR(VLOOKUP("electricity|NOx|Non-fatal heart attacks", US_national_yearly!$D:$AM, 13, FALSE) / VLOOKUP("electricity|NOx|Non-fatal heart attacks", US_national_yearly!$D:$AM, 10, FALSE), 1)</f>
        <v>1.1427415655873377E-5</v>
      </c>
      <c r="F13" s="7">
        <f>$B13 * IFERROR(VLOOKUP("electricity|NOx|Non-fatal heart attacks", US_national_yearly!$D:$AM, 14, FALSE) / VLOOKUP("electricity|NOx|Non-fatal heart attacks", US_national_yearly!$D:$AM, 10, FALSE), 1)</f>
        <v>1.1729356400616422E-5</v>
      </c>
      <c r="G13" s="7">
        <f>$B13 * IFERROR(VLOOKUP("electricity|NOx|Non-fatal heart attacks", US_national_yearly!$D:$AM, 15, FALSE) / VLOOKUP("electricity|NOx|Non-fatal heart attacks", US_national_yearly!$D:$AM, 10, FALSE), 1)</f>
        <v>1.2013796167131253E-5</v>
      </c>
      <c r="H13" s="7">
        <f>$B13 * IFERROR(VLOOKUP("electricity|NOx|Non-fatal heart attacks", US_national_yearly!$D:$AM, 16, FALSE) / VLOOKUP("electricity|NOx|Non-fatal heart attacks", US_national_yearly!$D:$AM, 10, FALSE), 1)</f>
        <v>1.2298235933646084E-5</v>
      </c>
      <c r="I13" s="7">
        <f>$B13 * IFERROR(VLOOKUP("electricity|NOx|Non-fatal heart attacks", US_national_yearly!$D:$AM, 17, FALSE) / VLOOKUP("electricity|NOx|Non-fatal heart attacks", US_national_yearly!$D:$AM, 10, FALSE), 1)</f>
        <v>1.2526327849814628E-5</v>
      </c>
      <c r="J13" s="7">
        <f>$B13 * IFERROR(VLOOKUP("electricity|NOx|Non-fatal heart attacks", US_national_yearly!$D:$AM, 18, FALSE) / VLOOKUP("electricity|NOx|Non-fatal heart attacks", US_national_yearly!$D:$AM, 10, FALSE), 1)</f>
        <v>1.2754419765983173E-5</v>
      </c>
      <c r="K13" s="7">
        <f>$B13 * IFERROR(VLOOKUP("electricity|NOx|Non-fatal heart attacks", US_national_yearly!$D:$AM, 19, FALSE) / VLOOKUP("electricity|NOx|Non-fatal heart attacks", US_national_yearly!$D:$AM, 10, FALSE), 1)</f>
        <v>1.2982511682151706E-5</v>
      </c>
      <c r="L13" s="7">
        <f>$B13 * IFERROR(VLOOKUP("electricity|NOx|Non-fatal heart attacks", US_national_yearly!$D:$AM, 20, FALSE) / VLOOKUP("electricity|NOx|Non-fatal heart attacks", US_national_yearly!$D:$AM, 10, FALSE), 1)</f>
        <v>1.321060359832025E-5</v>
      </c>
      <c r="M13" s="7">
        <f>$B13 * IFERROR(VLOOKUP("electricity|NOx|Non-fatal heart attacks", US_national_yearly!$D:$AM, 21, FALSE) / VLOOKUP("electricity|NOx|Non-fatal heart attacks", US_national_yearly!$D:$AM, 10, FALSE), 1)</f>
        <v>1.3438695514488797E-5</v>
      </c>
      <c r="N13" s="7">
        <f>$B13 * IFERROR(VLOOKUP("electricity|NOx|Non-fatal heart attacks", US_national_yearly!$D:$AM, 22, FALSE) / VLOOKUP("electricity|NOx|Non-fatal heart attacks", US_national_yearly!$D:$AM, 10, FALSE), 1)</f>
        <v>1.3579364538358008E-5</v>
      </c>
      <c r="O13" s="7">
        <f>$B13 * IFERROR(VLOOKUP("electricity|NOx|Non-fatal heart attacks", US_national_yearly!$D:$AM, 23, FALSE) / VLOOKUP("electricity|NOx|Non-fatal heart attacks", US_national_yearly!$D:$AM, 10, FALSE), 1)</f>
        <v>1.3720033562227222E-5</v>
      </c>
      <c r="P13" s="7">
        <f>$B13 * IFERROR(VLOOKUP("electricity|NOx|Non-fatal heart attacks", US_national_yearly!$D:$AM, 24, FALSE) / VLOOKUP("electricity|NOx|Non-fatal heart attacks", US_national_yearly!$D:$AM, 10, FALSE), 1)</f>
        <v>1.3860702586096435E-5</v>
      </c>
      <c r="Q13" s="7">
        <f>$B13 * IFERROR(VLOOKUP("electricity|NOx|Non-fatal heart attacks", US_national_yearly!$D:$AM, 25, FALSE) / VLOOKUP("electricity|NOx|Non-fatal heart attacks", US_national_yearly!$D:$AM, 10, FALSE), 1)</f>
        <v>1.4001371609965647E-5</v>
      </c>
      <c r="R13" s="7">
        <f>$B13 * IFERROR(VLOOKUP("electricity|NOx|Non-fatal heart attacks", US_national_yearly!$D:$AM, 26, FALSE) / VLOOKUP("electricity|NOx|Non-fatal heart attacks", US_national_yearly!$D:$AM, 10, FALSE), 1)</f>
        <v>1.4142040633834862E-5</v>
      </c>
      <c r="S13" s="7">
        <f>$B13 * IFERROR(VLOOKUP("electricity|NOx|Non-fatal heart attacks", US_national_yearly!$D:$AM, 27, FALSE) / VLOOKUP("electricity|NOx|Non-fatal heart attacks", US_national_yearly!$D:$AM, 10, FALSE), 1)</f>
        <v>1.4210771050256101E-5</v>
      </c>
      <c r="T13" s="7">
        <f>$B13 * IFERROR(VLOOKUP("electricity|NOx|Non-fatal heart attacks", US_national_yearly!$D:$AM, 28, FALSE) / VLOOKUP("electricity|NOx|Non-fatal heart attacks", US_national_yearly!$D:$AM, 10, FALSE), 1)</f>
        <v>1.4279501466677339E-5</v>
      </c>
      <c r="U13" s="7">
        <f>$B13 * IFERROR(VLOOKUP("electricity|NOx|Non-fatal heart attacks", US_national_yearly!$D:$AM, 29, FALSE) / VLOOKUP("electricity|NOx|Non-fatal heart attacks", US_national_yearly!$D:$AM, 10, FALSE), 1)</f>
        <v>1.4348231883098581E-5</v>
      </c>
      <c r="V13" s="7">
        <f>$B13 * IFERROR(VLOOKUP("electricity|NOx|Non-fatal heart attacks", US_national_yearly!$D:$AM, 30, FALSE) / VLOOKUP("electricity|NOx|Non-fatal heart attacks", US_national_yearly!$D:$AM, 10, FALSE), 1)</f>
        <v>1.4416962299519819E-5</v>
      </c>
      <c r="W13" s="7">
        <f>$B13 * IFERROR(VLOOKUP("electricity|NOx|Non-fatal heart attacks", US_national_yearly!$D:$AM, 31, FALSE) / VLOOKUP("electricity|NOx|Non-fatal heart attacks", US_national_yearly!$D:$AM, 10, FALSE), 1)</f>
        <v>1.4485692715941062E-5</v>
      </c>
      <c r="X13" s="7">
        <f>$B13 * IFERROR(VLOOKUP("electricity|NOx|Non-fatal heart attacks", US_national_yearly!$D:$AM, 32, FALSE) / VLOOKUP("electricity|NOx|Non-fatal heart attacks", US_national_yearly!$D:$AM, 10, FALSE), 1)</f>
        <v>1.4533664720083552E-5</v>
      </c>
      <c r="Y13" s="7">
        <f>$B13 * IFERROR(VLOOKUP("electricity|NOx|Non-fatal heart attacks", US_national_yearly!$D:$AM, 33, FALSE) / VLOOKUP("electricity|NOx|Non-fatal heart attacks", US_national_yearly!$D:$AM, 10, FALSE), 1)</f>
        <v>1.4581636724226044E-5</v>
      </c>
      <c r="Z13" s="7">
        <f>$B13 * IFERROR(VLOOKUP("electricity|NOx|Non-fatal heart attacks", US_national_yearly!$D:$AM, 34, FALSE) / VLOOKUP("electricity|NOx|Non-fatal heart attacks", US_national_yearly!$D:$AM, 10, FALSE), 1)</f>
        <v>1.4629608728368534E-5</v>
      </c>
      <c r="AA13" s="7">
        <f>$B13 * IFERROR(VLOOKUP("electricity|NOx|Non-fatal heart attacks", US_national_yearly!$D:$AM, 35, FALSE) / VLOOKUP("electricity|NOx|Non-fatal heart attacks", US_national_yearly!$D:$AM, 10, FALSE), 1)</f>
        <v>1.4677580732511023E-5</v>
      </c>
      <c r="AB13" s="7">
        <f>$B13 * IFERROR(VLOOKUP("electricity|NOx|Non-fatal heart attacks", US_national_yearly!$D:$AM, 36, FALSE) / VLOOKUP("electricity|NOx|Non-fatal heart attacks", US_national_yearly!$D:$AM, 10, FALSE), 1)</f>
        <v>1.4725552736653518E-5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9.5807362220491094E-3</v>
      </c>
      <c r="C14" s="7">
        <f>$B14 * IFERROR(VLOOKUP("electricity|NOx|Minor restricted activity days", US_national_yearly!$D:$AM, 11, FALSE) / VLOOKUP("electricity|NOx|Minor restricted activity days", US_national_yearly!$D:$AM, 10, FALSE), 1)</f>
        <v>9.5954255825388707E-3</v>
      </c>
      <c r="D14" s="7">
        <f>$B14 * IFERROR(VLOOKUP("electricity|NOx|Minor restricted activity days", US_national_yearly!$D:$AM, 12, FALSE) / VLOOKUP("electricity|NOx|Minor restricted activity days", US_national_yearly!$D:$AM, 10, FALSE), 1)</f>
        <v>9.6101149430286321E-3</v>
      </c>
      <c r="E14" s="7">
        <f>$B14 * IFERROR(VLOOKUP("electricity|NOx|Minor restricted activity days", US_national_yearly!$D:$AM, 13, FALSE) / VLOOKUP("electricity|NOx|Minor restricted activity days", US_national_yearly!$D:$AM, 10, FALSE), 1)</f>
        <v>9.6248043035183934E-3</v>
      </c>
      <c r="F14" s="7">
        <f>$B14 * IFERROR(VLOOKUP("electricity|NOx|Minor restricted activity days", US_national_yearly!$D:$AM, 14, FALSE) / VLOOKUP("electricity|NOx|Minor restricted activity days", US_national_yearly!$D:$AM, 10, FALSE), 1)</f>
        <v>9.6394936640081565E-3</v>
      </c>
      <c r="G14" s="7">
        <f>$B14 * IFERROR(VLOOKUP("electricity|NOx|Minor restricted activity days", US_national_yearly!$D:$AM, 15, FALSE) / VLOOKUP("electricity|NOx|Minor restricted activity days", US_national_yearly!$D:$AM, 10, FALSE), 1)</f>
        <v>9.6651170420117907E-3</v>
      </c>
      <c r="H14" s="7">
        <f>$B14 * IFERROR(VLOOKUP("electricity|NOx|Minor restricted activity days", US_national_yearly!$D:$AM, 16, FALSE) / VLOOKUP("electricity|NOx|Minor restricted activity days", US_national_yearly!$D:$AM, 10, FALSE), 1)</f>
        <v>9.690740420015425E-3</v>
      </c>
      <c r="I14" s="7">
        <f>$B14 * IFERROR(VLOOKUP("electricity|NOx|Minor restricted activity days", US_national_yearly!$D:$AM, 17, FALSE) / VLOOKUP("electricity|NOx|Minor restricted activity days", US_national_yearly!$D:$AM, 10, FALSE), 1)</f>
        <v>9.7414360998702796E-3</v>
      </c>
      <c r="J14" s="7">
        <f>$B14 * IFERROR(VLOOKUP("electricity|NOx|Minor restricted activity days", US_national_yearly!$D:$AM, 18, FALSE) / VLOOKUP("electricity|NOx|Minor restricted activity days", US_national_yearly!$D:$AM, 10, FALSE), 1)</f>
        <v>9.7921317797251325E-3</v>
      </c>
      <c r="K14" s="7">
        <f>$B14 * IFERROR(VLOOKUP("electricity|NOx|Minor restricted activity days", US_national_yearly!$D:$AM, 19, FALSE) / VLOOKUP("electricity|NOx|Minor restricted activity days", US_national_yearly!$D:$AM, 10, FALSE), 1)</f>
        <v>9.8428274595799888E-3</v>
      </c>
      <c r="L14" s="7">
        <f>$B14 * IFERROR(VLOOKUP("electricity|NOx|Minor restricted activity days", US_national_yearly!$D:$AM, 20, FALSE) / VLOOKUP("electricity|NOx|Minor restricted activity days", US_national_yearly!$D:$AM, 10, FALSE), 1)</f>
        <v>9.89352313943484E-3</v>
      </c>
      <c r="M14" s="7">
        <f>$B14 * IFERROR(VLOOKUP("electricity|NOx|Minor restricted activity days", US_national_yearly!$D:$AM, 21, FALSE) / VLOOKUP("electricity|NOx|Minor restricted activity days", US_national_yearly!$D:$AM, 10, FALSE), 1)</f>
        <v>9.9442188192896963E-3</v>
      </c>
      <c r="N14" s="7">
        <f>$B14 * IFERROR(VLOOKUP("electricity|NOx|Minor restricted activity days", US_national_yearly!$D:$AM, 22, FALSE) / VLOOKUP("electricity|NOx|Minor restricted activity days", US_national_yearly!$D:$AM, 10, FALSE), 1)</f>
        <v>1.0017529031828747E-2</v>
      </c>
      <c r="O14" s="7">
        <f>$B14 * IFERROR(VLOOKUP("electricity|NOx|Minor restricted activity days", US_national_yearly!$D:$AM, 23, FALSE) / VLOOKUP("electricity|NOx|Minor restricted activity days", US_national_yearly!$D:$AM, 10, FALSE), 1)</f>
        <v>1.0090839244367796E-2</v>
      </c>
      <c r="P14" s="7">
        <f>$B14 * IFERROR(VLOOKUP("electricity|NOx|Minor restricted activity days", US_national_yearly!$D:$AM, 24, FALSE) / VLOOKUP("electricity|NOx|Minor restricted activity days", US_national_yearly!$D:$AM, 10, FALSE), 1)</f>
        <v>1.0164149456906846E-2</v>
      </c>
      <c r="Q14" s="7">
        <f>$B14 * IFERROR(VLOOKUP("electricity|NOx|Minor restricted activity days", US_national_yearly!$D:$AM, 25, FALSE) / VLOOKUP("electricity|NOx|Minor restricted activity days", US_national_yearly!$D:$AM, 10, FALSE), 1)</f>
        <v>1.0237459669445897E-2</v>
      </c>
      <c r="R14" s="7">
        <f>$B14 * IFERROR(VLOOKUP("electricity|NOx|Minor restricted activity days", US_national_yearly!$D:$AM, 26, FALSE) / VLOOKUP("electricity|NOx|Minor restricted activity days", US_national_yearly!$D:$AM, 10, FALSE), 1)</f>
        <v>1.0310769881984948E-2</v>
      </c>
      <c r="S14" s="7">
        <f>$B14 * IFERROR(VLOOKUP("electricity|NOx|Minor restricted activity days", US_national_yearly!$D:$AM, 27, FALSE) / VLOOKUP("electricity|NOx|Minor restricted activity days", US_national_yearly!$D:$AM, 10, FALSE), 1)</f>
        <v>1.0384634489987244E-2</v>
      </c>
      <c r="T14" s="7">
        <f>$B14 * IFERROR(VLOOKUP("electricity|NOx|Minor restricted activity days", US_national_yearly!$D:$AM, 28, FALSE) / VLOOKUP("electricity|NOx|Minor restricted activity days", US_national_yearly!$D:$AM, 10, FALSE), 1)</f>
        <v>1.045849909798954E-2</v>
      </c>
      <c r="U14" s="7">
        <f>$B14 * IFERROR(VLOOKUP("electricity|NOx|Minor restricted activity days", US_national_yearly!$D:$AM, 29, FALSE) / VLOOKUP("electricity|NOx|Minor restricted activity days", US_national_yearly!$D:$AM, 10, FALSE), 1)</f>
        <v>1.0532363705991836E-2</v>
      </c>
      <c r="V14" s="7">
        <f>$B14 * IFERROR(VLOOKUP("electricity|NOx|Minor restricted activity days", US_national_yearly!$D:$AM, 30, FALSE) / VLOOKUP("electricity|NOx|Minor restricted activity days", US_national_yearly!$D:$AM, 10, FALSE), 1)</f>
        <v>1.0606228313994132E-2</v>
      </c>
      <c r="W14" s="7">
        <f>$B14 * IFERROR(VLOOKUP("electricity|NOx|Minor restricted activity days", US_national_yearly!$D:$AM, 31, FALSE) / VLOOKUP("electricity|NOx|Minor restricted activity days", US_national_yearly!$D:$AM, 10, FALSE), 1)</f>
        <v>1.0680092921996426E-2</v>
      </c>
      <c r="X14" s="7">
        <f>$B14 * IFERROR(VLOOKUP("electricity|NOx|Minor restricted activity days", US_national_yearly!$D:$AM, 32, FALSE) / VLOOKUP("electricity|NOx|Minor restricted activity days", US_national_yearly!$D:$AM, 10, FALSE), 1)</f>
        <v>1.0742560490433402E-2</v>
      </c>
      <c r="Y14" s="7">
        <f>$B14 * IFERROR(VLOOKUP("electricity|NOx|Minor restricted activity days", US_national_yearly!$D:$AM, 33, FALSE) / VLOOKUP("electricity|NOx|Minor restricted activity days", US_national_yearly!$D:$AM, 10, FALSE), 1)</f>
        <v>1.0805028058870372E-2</v>
      </c>
      <c r="Z14" s="7">
        <f>$B14 * IFERROR(VLOOKUP("electricity|NOx|Minor restricted activity days", US_national_yearly!$D:$AM, 34, FALSE) / VLOOKUP("electricity|NOx|Minor restricted activity days", US_national_yearly!$D:$AM, 10, FALSE), 1)</f>
        <v>1.0867495627307357E-2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1.092996319574433E-2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1.0992430764181304E-2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1.6246277943747767E-3</v>
      </c>
      <c r="C15" s="7">
        <f>$B15 * IFERROR(VLOOKUP("electricity|NOx|Work loss days", US_national_yearly!$D:$AM, 11, FALSE) / VLOOKUP("electricity|NOx|Work loss days", US_national_yearly!$D:$AM, 10, FALSE), 1)</f>
        <v>1.6282512949987945E-3</v>
      </c>
      <c r="D15" s="7">
        <f>$B15 * IFERROR(VLOOKUP("electricity|NOx|Work loss days", US_national_yearly!$D:$AM, 12, FALSE) / VLOOKUP("electricity|NOx|Work loss days", US_national_yearly!$D:$AM, 10, FALSE), 1)</f>
        <v>1.6318747956228124E-3</v>
      </c>
      <c r="E15" s="7">
        <f>$B15 * IFERROR(VLOOKUP("electricity|NOx|Work loss days", US_national_yearly!$D:$AM, 13, FALSE) / VLOOKUP("electricity|NOx|Work loss days", US_national_yearly!$D:$AM, 10, FALSE), 1)</f>
        <v>1.6354982962468302E-3</v>
      </c>
      <c r="F15" s="7">
        <f>$B15 * IFERROR(VLOOKUP("electricity|NOx|Work loss days", US_national_yearly!$D:$AM, 14, FALSE) / VLOOKUP("electricity|NOx|Work loss days", US_national_yearly!$D:$AM, 10, FALSE), 1)</f>
        <v>1.6391217968708481E-3</v>
      </c>
      <c r="G15" s="7">
        <f>$B15 * IFERROR(VLOOKUP("electricity|NOx|Work loss days", US_national_yearly!$D:$AM, 15, FALSE) / VLOOKUP("electricity|NOx|Work loss days", US_national_yearly!$D:$AM, 10, FALSE), 1)</f>
        <v>1.6442301020927975E-3</v>
      </c>
      <c r="H15" s="7">
        <f>$B15 * IFERROR(VLOOKUP("electricity|NOx|Work loss days", US_national_yearly!$D:$AM, 16, FALSE) / VLOOKUP("electricity|NOx|Work loss days", US_national_yearly!$D:$AM, 10, FALSE), 1)</f>
        <v>1.6493384073147466E-3</v>
      </c>
      <c r="I15" s="7">
        <f>$B15 * IFERROR(VLOOKUP("electricity|NOx|Work loss days", US_national_yearly!$D:$AM, 17, FALSE) / VLOOKUP("electricity|NOx|Work loss days", US_national_yearly!$D:$AM, 10, FALSE), 1)</f>
        <v>1.657632923683236E-3</v>
      </c>
      <c r="J15" s="7">
        <f>$B15 * IFERROR(VLOOKUP("electricity|NOx|Work loss days", US_national_yearly!$D:$AM, 18, FALSE) / VLOOKUP("electricity|NOx|Work loss days", US_national_yearly!$D:$AM, 10, FALSE), 1)</f>
        <v>1.6659274400517257E-3</v>
      </c>
      <c r="K15" s="7">
        <f>$B15 * IFERROR(VLOOKUP("electricity|NOx|Work loss days", US_national_yearly!$D:$AM, 19, FALSE) / VLOOKUP("electricity|NOx|Work loss days", US_national_yearly!$D:$AM, 10, FALSE), 1)</f>
        <v>1.6742219564202148E-3</v>
      </c>
      <c r="L15" s="7">
        <f>$B15 * IFERROR(VLOOKUP("electricity|NOx|Work loss days", US_national_yearly!$D:$AM, 20, FALSE) / VLOOKUP("electricity|NOx|Work loss days", US_national_yearly!$D:$AM, 10, FALSE), 1)</f>
        <v>1.682516472788704E-3</v>
      </c>
      <c r="M15" s="7">
        <f>$B15 * IFERROR(VLOOKUP("electricity|NOx|Work loss days", US_national_yearly!$D:$AM, 21, FALSE) / VLOOKUP("electricity|NOx|Work loss days", US_national_yearly!$D:$AM, 10, FALSE), 1)</f>
        <v>1.6908109891571933E-3</v>
      </c>
      <c r="N15" s="7">
        <f>$B15 * IFERROR(VLOOKUP("electricity|NOx|Work loss days", US_national_yearly!$D:$AM, 22, FALSE) / VLOOKUP("electricity|NOx|Work loss days", US_national_yearly!$D:$AM, 10, FALSE), 1)</f>
        <v>1.7017545174427991E-3</v>
      </c>
      <c r="O15" s="7">
        <f>$B15 * IFERROR(VLOOKUP("electricity|NOx|Work loss days", US_national_yearly!$D:$AM, 23, FALSE) / VLOOKUP("electricity|NOx|Work loss days", US_national_yearly!$D:$AM, 10, FALSE), 1)</f>
        <v>1.7126980457284049E-3</v>
      </c>
      <c r="P15" s="7">
        <f>$B15 * IFERROR(VLOOKUP("electricity|NOx|Work loss days", US_national_yearly!$D:$AM, 24, FALSE) / VLOOKUP("electricity|NOx|Work loss days", US_national_yearly!$D:$AM, 10, FALSE), 1)</f>
        <v>1.723641574014011E-3</v>
      </c>
      <c r="Q15" s="7">
        <f>$B15 * IFERROR(VLOOKUP("electricity|NOx|Work loss days", US_national_yearly!$D:$AM, 25, FALSE) / VLOOKUP("electricity|NOx|Work loss days", US_national_yearly!$D:$AM, 10, FALSE), 1)</f>
        <v>1.7345851022996168E-3</v>
      </c>
      <c r="R15" s="7">
        <f>$B15 * IFERROR(VLOOKUP("electricity|NOx|Work loss days", US_national_yearly!$D:$AM, 26, FALSE) / VLOOKUP("electricity|NOx|Work loss days", US_national_yearly!$D:$AM, 10, FALSE), 1)</f>
        <v>1.7455286305852222E-3</v>
      </c>
      <c r="S15" s="7">
        <f>$B15 * IFERROR(VLOOKUP("electricity|NOx|Work loss days", US_national_yearly!$D:$AM, 27, FALSE) / VLOOKUP("electricity|NOx|Work loss days", US_national_yearly!$D:$AM, 10, FALSE), 1)</f>
        <v>1.7577922475796707E-3</v>
      </c>
      <c r="T15" s="7">
        <f>$B15 * IFERROR(VLOOKUP("electricity|NOx|Work loss days", US_national_yearly!$D:$AM, 28, FALSE) / VLOOKUP("electricity|NOx|Work loss days", US_national_yearly!$D:$AM, 10, FALSE), 1)</f>
        <v>1.7700558645741191E-3</v>
      </c>
      <c r="U15" s="7">
        <f>$B15 * IFERROR(VLOOKUP("electricity|NOx|Work loss days", US_national_yearly!$D:$AM, 29, FALSE) / VLOOKUP("electricity|NOx|Work loss days", US_national_yearly!$D:$AM, 10, FALSE), 1)</f>
        <v>1.7823194815685672E-3</v>
      </c>
      <c r="V15" s="7">
        <f>$B15 * IFERROR(VLOOKUP("electricity|NOx|Work loss days", US_national_yearly!$D:$AM, 30, FALSE) / VLOOKUP("electricity|NOx|Work loss days", US_national_yearly!$D:$AM, 10, FALSE), 1)</f>
        <v>1.7945830985630156E-3</v>
      </c>
      <c r="W15" s="7">
        <f>$B15 * IFERROR(VLOOKUP("electricity|NOx|Work loss days", US_national_yearly!$D:$AM, 31, FALSE) / VLOOKUP("electricity|NOx|Work loss days", US_national_yearly!$D:$AM, 10, FALSE), 1)</f>
        <v>1.8068467155574642E-3</v>
      </c>
      <c r="X15" s="7">
        <f>$B15 * IFERROR(VLOOKUP("electricity|NOx|Work loss days", US_national_yearly!$D:$AM, 32, FALSE) / VLOOKUP("electricity|NOx|Work loss days", US_national_yearly!$D:$AM, 10, FALSE), 1)</f>
        <v>1.8175369635886837E-3</v>
      </c>
      <c r="Y15" s="7">
        <f>$B15 * IFERROR(VLOOKUP("electricity|NOx|Work loss days", US_national_yearly!$D:$AM, 33, FALSE) / VLOOKUP("electricity|NOx|Work loss days", US_national_yearly!$D:$AM, 10, FALSE), 1)</f>
        <v>1.8282272116199032E-3</v>
      </c>
      <c r="Z15" s="7">
        <f>$B15 * IFERROR(VLOOKUP("electricity|NOx|Work loss days", US_national_yearly!$D:$AM, 34, FALSE) / VLOOKUP("electricity|NOx|Work loss days", US_national_yearly!$D:$AM, 10, FALSE), 1)</f>
        <v>1.838917459651123E-3</v>
      </c>
      <c r="AA15" s="7">
        <f>$B15 * IFERROR(VLOOKUP("electricity|NOx|Work loss days", US_national_yearly!$D:$AM, 35, FALSE) / VLOOKUP("electricity|NOx|Work loss days", US_national_yearly!$D:$AM, 10, FALSE), 1)</f>
        <v>1.8496077076823427E-3</v>
      </c>
      <c r="AB15" s="7">
        <f>$B15 * IFERROR(VLOOKUP("electricity|NOx|Work loss days", US_national_yearly!$D:$AM, 36, FALSE) / VLOOKUP("electricity|NOx|Work loss days", US_national_yearly!$D:$AM, 10, FALSE), 1)</f>
        <v>1.8602979557135624E-3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2.4925333013250381E-6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2.5659549410375989E-6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2.6393765807501606E-6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2.7127982204627218E-6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2.786219860175283E-6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2.8565267809048076E-6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2.9268337016343322E-6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2.9868442676648888E-6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3.0468548336954453E-6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3.1068653997260023E-6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3.1668759657565589E-6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3.2268865317871155E-6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3.2653996401984806E-6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3.3039127486098454E-6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3.3424258570212106E-6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3.3809389654325758E-6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3.419452073843941E-6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3.4384050532171864E-6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3.4573580325904319E-6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3.4763110119636773E-6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3.4952639913369232E-6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3.5142169707101686E-6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3.5255762111515219E-6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3.5369354515928751E-6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3.5482946920342288E-6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3.5596539324755821E-6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3.5710131729169353E-6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5.216670676539615E-4</v>
      </c>
      <c r="C2" s="7">
        <f>$B2 * IFERROR(VLOOKUP("electricity|SO2|Premature mortality", US_national_yearly!$D:$AM, 11, FALSE) / VLOOKUP("electricity|SO2|Premature mortality", US_national_yearly!$D:$AM, 10, FALSE), 1)</f>
        <v>5.2835495981327484E-4</v>
      </c>
      <c r="D2" s="7">
        <f>$B2 * IFERROR(VLOOKUP("electricity|SO2|Premature mortality", US_national_yearly!$D:$AM, 12, FALSE) / VLOOKUP("electricity|SO2|Premature mortality", US_national_yearly!$D:$AM, 10, FALSE), 1)</f>
        <v>5.3504285197258808E-4</v>
      </c>
      <c r="E2" s="7">
        <f>$B2 * IFERROR(VLOOKUP("electricity|SO2|Premature mortality", US_national_yearly!$D:$AM, 13, FALSE) / VLOOKUP("electricity|SO2|Premature mortality", US_national_yearly!$D:$AM, 10, FALSE), 1)</f>
        <v>5.4173074413190142E-4</v>
      </c>
      <c r="F2" s="7">
        <f>$B2 * IFERROR(VLOOKUP("electricity|SO2|Premature mortality", US_national_yearly!$D:$AM, 14, FALSE) / VLOOKUP("electricity|SO2|Premature mortality", US_national_yearly!$D:$AM, 10, FALSE), 1)</f>
        <v>5.4841863629121477E-4</v>
      </c>
      <c r="G2" s="7">
        <f>$B2 * IFERROR(VLOOKUP("electricity|SO2|Premature mortality", US_national_yearly!$D:$AM, 15, FALSE) / VLOOKUP("electricity|SO2|Premature mortality", US_national_yearly!$D:$AM, 10, FALSE), 1)</f>
        <v>5.6130219907426756E-4</v>
      </c>
      <c r="H2" s="7">
        <f>$B2 * IFERROR(VLOOKUP("electricity|SO2|Premature mortality", US_national_yearly!$D:$AM, 16, FALSE) / VLOOKUP("electricity|SO2|Premature mortality", US_national_yearly!$D:$AM, 10, FALSE), 1)</f>
        <v>5.7418576185732035E-4</v>
      </c>
      <c r="I2" s="7">
        <f>$B2 * IFERROR(VLOOKUP("electricity|SO2|Premature mortality", US_national_yearly!$D:$AM, 17, FALSE) / VLOOKUP("electricity|SO2|Premature mortality", US_national_yearly!$D:$AM, 10, FALSE), 1)</f>
        <v>5.8285817904209062E-4</v>
      </c>
      <c r="J2" s="7">
        <f>$B2 * IFERROR(VLOOKUP("electricity|SO2|Premature mortality", US_national_yearly!$D:$AM, 18, FALSE) / VLOOKUP("electricity|SO2|Premature mortality", US_national_yearly!$D:$AM, 10, FALSE), 1)</f>
        <v>5.9153059622686101E-4</v>
      </c>
      <c r="K2" s="7">
        <f>$B2 * IFERROR(VLOOKUP("electricity|SO2|Premature mortality", US_national_yearly!$D:$AM, 19, FALSE) / VLOOKUP("electricity|SO2|Premature mortality", US_national_yearly!$D:$AM, 10, FALSE), 1)</f>
        <v>6.0020301341163118E-4</v>
      </c>
      <c r="L2" s="7">
        <f>$B2 * IFERROR(VLOOKUP("electricity|SO2|Premature mortality", US_national_yearly!$D:$AM, 20, FALSE) / VLOOKUP("electricity|SO2|Premature mortality", US_national_yearly!$D:$AM, 10, FALSE), 1)</f>
        <v>6.0887543059640168E-4</v>
      </c>
      <c r="M2" s="7">
        <f>$B2 * IFERROR(VLOOKUP("electricity|SO2|Premature mortality", US_national_yearly!$D:$AM, 21, FALSE) / VLOOKUP("electricity|SO2|Premature mortality", US_national_yearly!$D:$AM, 10, FALSE), 1)</f>
        <v>6.1754784778117184E-4</v>
      </c>
      <c r="N2" s="7">
        <f>$B2 * IFERROR(VLOOKUP("electricity|SO2|Premature mortality", US_national_yearly!$D:$AM, 22, FALSE) / VLOOKUP("electricity|SO2|Premature mortality", US_national_yearly!$D:$AM, 10, FALSE), 1)</f>
        <v>6.244980989253058E-4</v>
      </c>
      <c r="O2" s="7">
        <f>$B2 * IFERROR(VLOOKUP("electricity|SO2|Premature mortality", US_national_yearly!$D:$AM, 23, FALSE) / VLOOKUP("electricity|SO2|Premature mortality", US_national_yearly!$D:$AM, 10, FALSE), 1)</f>
        <v>6.3144835006943975E-4</v>
      </c>
      <c r="P2" s="7">
        <f>$B2 * IFERROR(VLOOKUP("electricity|SO2|Premature mortality", US_national_yearly!$D:$AM, 24, FALSE) / VLOOKUP("electricity|SO2|Premature mortality", US_national_yearly!$D:$AM, 10, FALSE), 1)</f>
        <v>6.3839860121357348E-4</v>
      </c>
      <c r="Q2" s="7">
        <f>$B2 * IFERROR(VLOOKUP("electricity|SO2|Premature mortality", US_national_yearly!$D:$AM, 25, FALSE) / VLOOKUP("electricity|SO2|Premature mortality", US_national_yearly!$D:$AM, 10, FALSE), 1)</f>
        <v>6.4534885235770743E-4</v>
      </c>
      <c r="R2" s="7">
        <f>$B2 * IFERROR(VLOOKUP("electricity|SO2|Premature mortality", US_national_yearly!$D:$AM, 26, FALSE) / VLOOKUP("electricity|SO2|Premature mortality", US_national_yearly!$D:$AM, 10, FALSE), 1)</f>
        <v>6.5229910350184128E-4</v>
      </c>
      <c r="S2" s="7">
        <f>$B2 * IFERROR(VLOOKUP("electricity|SO2|Premature mortality", US_national_yearly!$D:$AM, 27, FALSE) / VLOOKUP("electricity|SO2|Premature mortality", US_national_yearly!$D:$AM, 10, FALSE), 1)</f>
        <v>6.562838854964506E-4</v>
      </c>
      <c r="T2" s="7">
        <f>$B2 * IFERROR(VLOOKUP("electricity|SO2|Premature mortality", US_national_yearly!$D:$AM, 28, FALSE) / VLOOKUP("electricity|SO2|Premature mortality", US_national_yearly!$D:$AM, 10, FALSE), 1)</f>
        <v>6.6026866749106003E-4</v>
      </c>
      <c r="U2" s="7">
        <f>$B2 * IFERROR(VLOOKUP("electricity|SO2|Premature mortality", US_national_yearly!$D:$AM, 29, FALSE) / VLOOKUP("electricity|SO2|Premature mortality", US_national_yearly!$D:$AM, 10, FALSE), 1)</f>
        <v>6.6425344948566935E-4</v>
      </c>
      <c r="V2" s="7">
        <f>$B2 * IFERROR(VLOOKUP("electricity|SO2|Premature mortality", US_national_yearly!$D:$AM, 30, FALSE) / VLOOKUP("electricity|SO2|Premature mortality", US_national_yearly!$D:$AM, 10, FALSE), 1)</f>
        <v>6.6823823148027888E-4</v>
      </c>
      <c r="W2" s="7">
        <f>$B2 * IFERROR(VLOOKUP("electricity|SO2|Premature mortality", US_national_yearly!$D:$AM, 31, FALSE) / VLOOKUP("electricity|SO2|Premature mortality", US_national_yearly!$D:$AM, 10, FALSE), 1)</f>
        <v>6.722230134748882E-4</v>
      </c>
      <c r="X2" s="7">
        <f>$B2 * IFERROR(VLOOKUP("electricity|SO2|Premature mortality", US_national_yearly!$D:$AM, 32, FALSE) / VLOOKUP("electricity|SO2|Premature mortality", US_national_yearly!$D:$AM, 10, FALSE), 1)</f>
        <v>6.7339711222895004E-4</v>
      </c>
      <c r="Y2" s="7">
        <f>$B2 * IFERROR(VLOOKUP("electricity|SO2|Premature mortality", US_national_yearly!$D:$AM, 33, FALSE) / VLOOKUP("electricity|SO2|Premature mortality", US_national_yearly!$D:$AM, 10, FALSE), 1)</f>
        <v>6.7457121098301177E-4</v>
      </c>
      <c r="Z2" s="7">
        <f>$B2 * IFERROR(VLOOKUP("electricity|SO2|Premature mortality", US_national_yearly!$D:$AM, 34, FALSE) / VLOOKUP("electricity|SO2|Premature mortality", US_national_yearly!$D:$AM, 10, FALSE), 1)</f>
        <v>6.7574530973707339E-4</v>
      </c>
      <c r="AA2" s="7">
        <f>$B2 * IFERROR(VLOOKUP("electricity|SO2|Premature mortality", US_national_yearly!$D:$AM, 35, FALSE) / VLOOKUP("electricity|SO2|Premature mortality", US_national_yearly!$D:$AM, 10, FALSE), 1)</f>
        <v>6.7691940849113534E-4</v>
      </c>
      <c r="AB2" s="7">
        <f>$B2 * IFERROR(VLOOKUP("electricity|SO2|Premature mortality", US_national_yearly!$D:$AM, 36, FALSE) / VLOOKUP("electricity|SO2|Premature mortality", US_national_yearly!$D:$AM, 10, FALSE), 1)</f>
        <v>6.7809350724519696E-4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1.3108995604408052E-6</v>
      </c>
      <c r="C3" s="7">
        <f>$B3 * IFERROR(VLOOKUP("electricity|SO2|Infant mortality", US_national_yearly!$D:$AM, 11, FALSE) / VLOOKUP("electricity|SO2|Infant mortality", US_national_yearly!$D:$AM, 10, FALSE), 1)</f>
        <v>1.2998249516540554E-6</v>
      </c>
      <c r="D3" s="7">
        <f>$B3 * IFERROR(VLOOKUP("electricity|SO2|Infant mortality", US_national_yearly!$D:$AM, 12, FALSE) / VLOOKUP("electricity|SO2|Infant mortality", US_national_yearly!$D:$AM, 10, FALSE), 1)</f>
        <v>1.2887503428673051E-6</v>
      </c>
      <c r="E3" s="7">
        <f>$B3 * IFERROR(VLOOKUP("electricity|SO2|Infant mortality", US_national_yearly!$D:$AM, 13, FALSE) / VLOOKUP("electricity|SO2|Infant mortality", US_national_yearly!$D:$AM, 10, FALSE), 1)</f>
        <v>1.2776757340805551E-6</v>
      </c>
      <c r="F3" s="7">
        <f>$B3 * IFERROR(VLOOKUP("electricity|SO2|Infant mortality", US_national_yearly!$D:$AM, 14, FALSE) / VLOOKUP("electricity|SO2|Infant mortality", US_national_yearly!$D:$AM, 10, FALSE), 1)</f>
        <v>1.2666011252938055E-6</v>
      </c>
      <c r="G3" s="7">
        <f>$B3 * IFERROR(VLOOKUP("electricity|SO2|Infant mortality", US_national_yearly!$D:$AM, 15, FALSE) / VLOOKUP("electricity|SO2|Infant mortality", US_national_yearly!$D:$AM, 10, FALSE), 1)</f>
        <v>8.4235535986316038E-7</v>
      </c>
      <c r="H3" s="7">
        <f>$B3 * IFERROR(VLOOKUP("electricity|SO2|Infant mortality", US_national_yearly!$D:$AM, 16, FALSE) / VLOOKUP("electricity|SO2|Infant mortality", US_national_yearly!$D:$AM, 10, FALSE), 1)</f>
        <v>4.1810959443251523E-7</v>
      </c>
      <c r="I3" s="7">
        <f>$B3 * IFERROR(VLOOKUP("electricity|SO2|Infant mortality", US_national_yearly!$D:$AM, 17, FALSE) / VLOOKUP("electricity|SO2|Infant mortality", US_national_yearly!$D:$AM, 10, FALSE), 1)</f>
        <v>4.1543474639691939E-7</v>
      </c>
      <c r="J3" s="7">
        <f>$B3 * IFERROR(VLOOKUP("electricity|SO2|Infant mortality", US_national_yearly!$D:$AM, 18, FALSE) / VLOOKUP("electricity|SO2|Infant mortality", US_national_yearly!$D:$AM, 10, FALSE), 1)</f>
        <v>4.1275989836132345E-7</v>
      </c>
      <c r="K3" s="7">
        <f>$B3 * IFERROR(VLOOKUP("electricity|SO2|Infant mortality", US_national_yearly!$D:$AM, 19, FALSE) / VLOOKUP("electricity|SO2|Infant mortality", US_national_yearly!$D:$AM, 10, FALSE), 1)</f>
        <v>4.1008505032572772E-7</v>
      </c>
      <c r="L3" s="7">
        <f>$B3 * IFERROR(VLOOKUP("electricity|SO2|Infant mortality", US_national_yearly!$D:$AM, 20, FALSE) / VLOOKUP("electricity|SO2|Infant mortality", US_national_yearly!$D:$AM, 10, FALSE), 1)</f>
        <v>4.0741020229013177E-7</v>
      </c>
      <c r="M3" s="7">
        <f>$B3 * IFERROR(VLOOKUP("electricity|SO2|Infant mortality", US_national_yearly!$D:$AM, 21, FALSE) / VLOOKUP("electricity|SO2|Infant mortality", US_national_yearly!$D:$AM, 10, FALSE), 1)</f>
        <v>4.0473535425453588E-7</v>
      </c>
      <c r="N3" s="7">
        <f>$B3 * IFERROR(VLOOKUP("electricity|SO2|Infant mortality", US_national_yearly!$D:$AM, 22, FALSE) / VLOOKUP("electricity|SO2|Infant mortality", US_national_yearly!$D:$AM, 10, FALSE), 1)</f>
        <v>4.0304045200856217E-7</v>
      </c>
      <c r="O3" s="7">
        <f>$B3 * IFERROR(VLOOKUP("electricity|SO2|Infant mortality", US_national_yearly!$D:$AM, 23, FALSE) / VLOOKUP("electricity|SO2|Infant mortality", US_national_yearly!$D:$AM, 10, FALSE), 1)</f>
        <v>4.013455497625884E-7</v>
      </c>
      <c r="P3" s="7">
        <f>$B3 * IFERROR(VLOOKUP("electricity|SO2|Infant mortality", US_national_yearly!$D:$AM, 24, FALSE) / VLOOKUP("electricity|SO2|Infant mortality", US_national_yearly!$D:$AM, 10, FALSE), 1)</f>
        <v>3.9965064751661458E-7</v>
      </c>
      <c r="Q3" s="7">
        <f>$B3 * IFERROR(VLOOKUP("electricity|SO2|Infant mortality", US_national_yearly!$D:$AM, 25, FALSE) / VLOOKUP("electricity|SO2|Infant mortality", US_national_yearly!$D:$AM, 10, FALSE), 1)</f>
        <v>3.9795574527064087E-7</v>
      </c>
      <c r="R3" s="7">
        <f>$B3 * IFERROR(VLOOKUP("electricity|SO2|Infant mortality", US_national_yearly!$D:$AM, 26, FALSE) / VLOOKUP("electricity|SO2|Infant mortality", US_national_yearly!$D:$AM, 10, FALSE), 1)</f>
        <v>3.9626084302466715E-7</v>
      </c>
      <c r="S3" s="7">
        <f>$B3 * IFERROR(VLOOKUP("electricity|SO2|Infant mortality", US_national_yearly!$D:$AM, 27, FALSE) / VLOOKUP("electricity|SO2|Infant mortality", US_national_yearly!$D:$AM, 10, FALSE), 1)</f>
        <v>3.9414836213750982E-7</v>
      </c>
      <c r="T3" s="7">
        <f>$B3 * IFERROR(VLOOKUP("electricity|SO2|Infant mortality", US_national_yearly!$D:$AM, 28, FALSE) / VLOOKUP("electricity|SO2|Infant mortality", US_national_yearly!$D:$AM, 10, FALSE), 1)</f>
        <v>3.9203588125035255E-7</v>
      </c>
      <c r="U3" s="7">
        <f>$B3 * IFERROR(VLOOKUP("electricity|SO2|Infant mortality", US_national_yearly!$D:$AM, 29, FALSE) / VLOOKUP("electricity|SO2|Infant mortality", US_national_yearly!$D:$AM, 10, FALSE), 1)</f>
        <v>3.8992340036319527E-7</v>
      </c>
      <c r="V3" s="7">
        <f>$B3 * IFERROR(VLOOKUP("electricity|SO2|Infant mortality", US_national_yearly!$D:$AM, 30, FALSE) / VLOOKUP("electricity|SO2|Infant mortality", US_national_yearly!$D:$AM, 10, FALSE), 1)</f>
        <v>3.87810919476038E-7</v>
      </c>
      <c r="W3" s="7">
        <f>$B3 * IFERROR(VLOOKUP("electricity|SO2|Infant mortality", US_national_yearly!$D:$AM, 31, FALSE) / VLOOKUP("electricity|SO2|Infant mortality", US_national_yearly!$D:$AM, 10, FALSE), 1)</f>
        <v>3.8569843858888062E-7</v>
      </c>
      <c r="X3" s="7">
        <f>$B3 * IFERROR(VLOOKUP("electricity|SO2|Infant mortality", US_national_yearly!$D:$AM, 32, FALSE) / VLOOKUP("electricity|SO2|Infant mortality", US_national_yearly!$D:$AM, 10, FALSE), 1)</f>
        <v>3.8344448334399862E-7</v>
      </c>
      <c r="Y3" s="7">
        <f>$B3 * IFERROR(VLOOKUP("electricity|SO2|Infant mortality", US_national_yearly!$D:$AM, 33, FALSE) / VLOOKUP("electricity|SO2|Infant mortality", US_national_yearly!$D:$AM, 10, FALSE), 1)</f>
        <v>3.811905280991164E-7</v>
      </c>
      <c r="Z3" s="7">
        <f>$B3 * IFERROR(VLOOKUP("electricity|SO2|Infant mortality", US_national_yearly!$D:$AM, 34, FALSE) / VLOOKUP("electricity|SO2|Infant mortality", US_national_yearly!$D:$AM, 10, FALSE), 1)</f>
        <v>3.7893657285423435E-7</v>
      </c>
      <c r="AA3" s="7">
        <f>$B3 * IFERROR(VLOOKUP("electricity|SO2|Infant mortality", US_national_yearly!$D:$AM, 35, FALSE) / VLOOKUP("electricity|SO2|Infant mortality", US_national_yearly!$D:$AM, 10, FALSE), 1)</f>
        <v>3.766826176093523E-7</v>
      </c>
      <c r="AB3" s="7">
        <f>$B3 * IFERROR(VLOOKUP("electricity|SO2|Infant mortality", US_national_yearly!$D:$AM, 36, FALSE) / VLOOKUP("electricity|SO2|Infant mortality", US_national_yearly!$D:$AM, 10, FALSE), 1)</f>
        <v>3.7442866236447019E-7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1.4321259842126584E-3</v>
      </c>
      <c r="C6" s="7">
        <f>$B6 * IFERROR(VLOOKUP("electricity|SO2|Asthma symptoms cough", US_national_yearly!$D:$AM, 11, FALSE) / VLOOKUP("electricity|SO2|Asthma symptoms cough", US_national_yearly!$D:$AM, 10, FALSE), 1)</f>
        <v>1.4321259842126584E-3</v>
      </c>
      <c r="D6" s="7">
        <f>$B6 * IFERROR(VLOOKUP("electricity|SO2|Asthma symptoms cough", US_national_yearly!$D:$AM, 12, FALSE) / VLOOKUP("electricity|SO2|Asthma symptoms cough", US_national_yearly!$D:$AM, 10, FALSE), 1)</f>
        <v>1.4321259842126584E-3</v>
      </c>
      <c r="E6" s="7">
        <f>$B6 * IFERROR(VLOOKUP("electricity|SO2|Asthma symptoms cough", US_national_yearly!$D:$AM, 13, FALSE) / VLOOKUP("electricity|SO2|Asthma symptoms cough", US_national_yearly!$D:$AM, 10, FALSE), 1)</f>
        <v>1.4321259842126584E-3</v>
      </c>
      <c r="F6" s="7">
        <f>$B6 * IFERROR(VLOOKUP("electricity|SO2|Asthma symptoms cough", US_national_yearly!$D:$AM, 14, FALSE) / VLOOKUP("electricity|SO2|Asthma symptoms cough", US_national_yearly!$D:$AM, 10, FALSE), 1)</f>
        <v>1.4321259842126584E-3</v>
      </c>
      <c r="G6" s="7">
        <f>$B6 * IFERROR(VLOOKUP("electricity|SO2|Asthma symptoms cough", US_national_yearly!$D:$AM, 15, FALSE) / VLOOKUP("electricity|SO2|Asthma symptoms cough", US_national_yearly!$D:$AM, 10, FALSE), 1)</f>
        <v>1.4321259842126584E-3</v>
      </c>
      <c r="H6" s="7">
        <f>$B6 * IFERROR(VLOOKUP("electricity|SO2|Asthma symptoms cough", US_national_yearly!$D:$AM, 16, FALSE) / VLOOKUP("electricity|SO2|Asthma symptoms cough", US_national_yearly!$D:$AM, 10, FALSE), 1)</f>
        <v>1.4321259842126584E-3</v>
      </c>
      <c r="I6" s="7">
        <f>$B6 * IFERROR(VLOOKUP("electricity|SO2|Asthma symptoms cough", US_national_yearly!$D:$AM, 17, FALSE) / VLOOKUP("electricity|SO2|Asthma symptoms cough", US_national_yearly!$D:$AM, 10, FALSE), 1)</f>
        <v>1.4321259842126584E-3</v>
      </c>
      <c r="J6" s="7">
        <f>$B6 * IFERROR(VLOOKUP("electricity|SO2|Asthma symptoms cough", US_national_yearly!$D:$AM, 18, FALSE) / VLOOKUP("electricity|SO2|Asthma symptoms cough", US_national_yearly!$D:$AM, 10, FALSE), 1)</f>
        <v>1.4321259842126584E-3</v>
      </c>
      <c r="K6" s="7">
        <f>$B6 * IFERROR(VLOOKUP("electricity|SO2|Asthma symptoms cough", US_national_yearly!$D:$AM, 19, FALSE) / VLOOKUP("electricity|SO2|Asthma symptoms cough", US_national_yearly!$D:$AM, 10, FALSE), 1)</f>
        <v>1.4321259842126584E-3</v>
      </c>
      <c r="L6" s="7">
        <f>$B6 * IFERROR(VLOOKUP("electricity|SO2|Asthma symptoms cough", US_national_yearly!$D:$AM, 20, FALSE) / VLOOKUP("electricity|SO2|Asthma symptoms cough", US_national_yearly!$D:$AM, 10, FALSE), 1)</f>
        <v>1.4321259842126584E-3</v>
      </c>
      <c r="M6" s="7">
        <f>$B6 * IFERROR(VLOOKUP("electricity|SO2|Asthma symptoms cough", US_national_yearly!$D:$AM, 21, FALSE) / VLOOKUP("electricity|SO2|Asthma symptoms cough", US_national_yearly!$D:$AM, 10, FALSE), 1)</f>
        <v>1.4321259842126584E-3</v>
      </c>
      <c r="N6" s="7">
        <f>$B6 * IFERROR(VLOOKUP("electricity|SO2|Asthma symptoms cough", US_national_yearly!$D:$AM, 22, FALSE) / VLOOKUP("electricity|SO2|Asthma symptoms cough", US_national_yearly!$D:$AM, 10, FALSE), 1)</f>
        <v>1.4321259842126584E-3</v>
      </c>
      <c r="O6" s="7">
        <f>$B6 * IFERROR(VLOOKUP("electricity|SO2|Asthma symptoms cough", US_national_yearly!$D:$AM, 23, FALSE) / VLOOKUP("electricity|SO2|Asthma symptoms cough", US_national_yearly!$D:$AM, 10, FALSE), 1)</f>
        <v>1.4321259842126584E-3</v>
      </c>
      <c r="P6" s="7">
        <f>$B6 * IFERROR(VLOOKUP("electricity|SO2|Asthma symptoms cough", US_national_yearly!$D:$AM, 24, FALSE) / VLOOKUP("electricity|SO2|Asthma symptoms cough", US_national_yearly!$D:$AM, 10, FALSE), 1)</f>
        <v>1.4321259842126584E-3</v>
      </c>
      <c r="Q6" s="7">
        <f>$B6 * IFERROR(VLOOKUP("electricity|SO2|Asthma symptoms cough", US_national_yearly!$D:$AM, 25, FALSE) / VLOOKUP("electricity|SO2|Asthma symptoms cough", US_national_yearly!$D:$AM, 10, FALSE), 1)</f>
        <v>1.4321259842126584E-3</v>
      </c>
      <c r="R6" s="7">
        <f>$B6 * IFERROR(VLOOKUP("electricity|SO2|Asthma symptoms cough", US_national_yearly!$D:$AM, 26, FALSE) / VLOOKUP("electricity|SO2|Asthma symptoms cough", US_national_yearly!$D:$AM, 10, FALSE), 1)</f>
        <v>1.4321259842126584E-3</v>
      </c>
      <c r="S6" s="7">
        <f>$B6 * IFERROR(VLOOKUP("electricity|SO2|Asthma symptoms cough", US_national_yearly!$D:$AM, 27, FALSE) / VLOOKUP("electricity|SO2|Asthma symptoms cough", US_national_yearly!$D:$AM, 10, FALSE), 1)</f>
        <v>1.4321259842126584E-3</v>
      </c>
      <c r="T6" s="7">
        <f>$B6 * IFERROR(VLOOKUP("electricity|SO2|Asthma symptoms cough", US_national_yearly!$D:$AM, 28, FALSE) / VLOOKUP("electricity|SO2|Asthma symptoms cough", US_national_yearly!$D:$AM, 10, FALSE), 1)</f>
        <v>1.4321259842126584E-3</v>
      </c>
      <c r="U6" s="7">
        <f>$B6 * IFERROR(VLOOKUP("electricity|SO2|Asthma symptoms cough", US_national_yearly!$D:$AM, 29, FALSE) / VLOOKUP("electricity|SO2|Asthma symptoms cough", US_national_yearly!$D:$AM, 10, FALSE), 1)</f>
        <v>1.4321259842126584E-3</v>
      </c>
      <c r="V6" s="7">
        <f>$B6 * IFERROR(VLOOKUP("electricity|SO2|Asthma symptoms cough", US_national_yearly!$D:$AM, 30, FALSE) / VLOOKUP("electricity|SO2|Asthma symptoms cough", US_national_yearly!$D:$AM, 10, FALSE), 1)</f>
        <v>1.4321259842126584E-3</v>
      </c>
      <c r="W6" s="7">
        <f>$B6 * IFERROR(VLOOKUP("electricity|SO2|Asthma symptoms cough", US_national_yearly!$D:$AM, 31, FALSE) / VLOOKUP("electricity|SO2|Asthma symptoms cough", US_national_yearly!$D:$AM, 10, FALSE), 1)</f>
        <v>1.4321259842126584E-3</v>
      </c>
      <c r="X6" s="7">
        <f>$B6 * IFERROR(VLOOKUP("electricity|SO2|Asthma symptoms cough", US_national_yearly!$D:$AM, 32, FALSE) / VLOOKUP("electricity|SO2|Asthma symptoms cough", US_national_yearly!$D:$AM, 10, FALSE), 1)</f>
        <v>1.4321259842126584E-3</v>
      </c>
      <c r="Y6" s="7">
        <f>$B6 * IFERROR(VLOOKUP("electricity|SO2|Asthma symptoms cough", US_national_yearly!$D:$AM, 33, FALSE) / VLOOKUP("electricity|SO2|Asthma symptoms cough", US_national_yearly!$D:$AM, 10, FALSE), 1)</f>
        <v>1.4321259842126584E-3</v>
      </c>
      <c r="Z6" s="7">
        <f>$B6 * IFERROR(VLOOKUP("electricity|SO2|Asthma symptoms cough", US_national_yearly!$D:$AM, 34, FALSE) / VLOOKUP("electricity|SO2|Asthma symptoms cough", US_national_yearly!$D:$AM, 10, FALSE), 1)</f>
        <v>1.4321259842126584E-3</v>
      </c>
      <c r="AA6" s="7">
        <f>$B6 * IFERROR(VLOOKUP("electricity|SO2|Asthma symptoms cough", US_national_yearly!$D:$AM, 35, FALSE) / VLOOKUP("electricity|SO2|Asthma symptoms cough", US_national_yearly!$D:$AM, 10, FALSE), 1)</f>
        <v>1.4321259842126584E-3</v>
      </c>
      <c r="AB6" s="7">
        <f>$B6 * IFERROR(VLOOKUP("electricity|SO2|Asthma symptoms cough", US_national_yearly!$D:$AM, 36, FALSE) / VLOOKUP("electricity|SO2|Asthma symptoms cough", US_national_yearly!$D:$AM, 10, FALSE), 1)</f>
        <v>1.4321259842126584E-3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1.9285657414382618E-3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1.9285657414382618E-3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1.9285657414382618E-3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1.9285657414382618E-3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1.9285657414382618E-3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1.9285657414382618E-3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1.9285657414382618E-3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1.9285657414382618E-3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1.9285657414382618E-3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1.9285657414382618E-3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1.9285657414382618E-3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1.9285657414382618E-3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1.9285657414382618E-3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1.9285657414382618E-3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1.9285657414382618E-3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1.9285657414382618E-3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1.9285657414382618E-3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1.9285657414382618E-3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1.9285657414382618E-3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1.9285657414382618E-3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1.9285657414382618E-3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1.9285657414382618E-3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1.9285657414382618E-3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1.9285657414382618E-3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1.9285657414382618E-3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1.9285657414382618E-3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1.9285657414382618E-3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2.9465205511707343E-3</v>
      </c>
      <c r="C8" s="7">
        <f>$B8 * IFERROR(VLOOKUP("electricity|SO2|Asthma symptoms wheeze", US_national_yearly!$D:$AM, 11, FALSE) / VLOOKUP("electricity|SO2|Asthma symptoms wheeze", US_national_yearly!$D:$AM, 10, FALSE), 1)</f>
        <v>2.9465205511707343E-3</v>
      </c>
      <c r="D8" s="7">
        <f>$B8 * IFERROR(VLOOKUP("electricity|SO2|Asthma symptoms wheeze", US_national_yearly!$D:$AM, 12, FALSE) / VLOOKUP("electricity|SO2|Asthma symptoms wheeze", US_national_yearly!$D:$AM, 10, FALSE), 1)</f>
        <v>2.9465205511707343E-3</v>
      </c>
      <c r="E8" s="7">
        <f>$B8 * IFERROR(VLOOKUP("electricity|SO2|Asthma symptoms wheeze", US_national_yearly!$D:$AM, 13, FALSE) / VLOOKUP("electricity|SO2|Asthma symptoms wheeze", US_national_yearly!$D:$AM, 10, FALSE), 1)</f>
        <v>2.9465205511707343E-3</v>
      </c>
      <c r="F8" s="7">
        <f>$B8 * IFERROR(VLOOKUP("electricity|SO2|Asthma symptoms wheeze", US_national_yearly!$D:$AM, 14, FALSE) / VLOOKUP("electricity|SO2|Asthma symptoms wheeze", US_national_yearly!$D:$AM, 10, FALSE), 1)</f>
        <v>2.9465205511707343E-3</v>
      </c>
      <c r="G8" s="7">
        <f>$B8 * IFERROR(VLOOKUP("electricity|SO2|Asthma symptoms wheeze", US_national_yearly!$D:$AM, 15, FALSE) / VLOOKUP("electricity|SO2|Asthma symptoms wheeze", US_national_yearly!$D:$AM, 10, FALSE), 1)</f>
        <v>2.9465205511707343E-3</v>
      </c>
      <c r="H8" s="7">
        <f>$B8 * IFERROR(VLOOKUP("electricity|SO2|Asthma symptoms wheeze", US_national_yearly!$D:$AM, 16, FALSE) / VLOOKUP("electricity|SO2|Asthma symptoms wheeze", US_national_yearly!$D:$AM, 10, FALSE), 1)</f>
        <v>2.9465205511707343E-3</v>
      </c>
      <c r="I8" s="7">
        <f>$B8 * IFERROR(VLOOKUP("electricity|SO2|Asthma symptoms wheeze", US_national_yearly!$D:$AM, 17, FALSE) / VLOOKUP("electricity|SO2|Asthma symptoms wheeze", US_national_yearly!$D:$AM, 10, FALSE), 1)</f>
        <v>2.9465205511707343E-3</v>
      </c>
      <c r="J8" s="7">
        <f>$B8 * IFERROR(VLOOKUP("electricity|SO2|Asthma symptoms wheeze", US_national_yearly!$D:$AM, 18, FALSE) / VLOOKUP("electricity|SO2|Asthma symptoms wheeze", US_national_yearly!$D:$AM, 10, FALSE), 1)</f>
        <v>2.9465205511707343E-3</v>
      </c>
      <c r="K8" s="7">
        <f>$B8 * IFERROR(VLOOKUP("electricity|SO2|Asthma symptoms wheeze", US_national_yearly!$D:$AM, 19, FALSE) / VLOOKUP("electricity|SO2|Asthma symptoms wheeze", US_national_yearly!$D:$AM, 10, FALSE), 1)</f>
        <v>2.9465205511707343E-3</v>
      </c>
      <c r="L8" s="7">
        <f>$B8 * IFERROR(VLOOKUP("electricity|SO2|Asthma symptoms wheeze", US_national_yearly!$D:$AM, 20, FALSE) / VLOOKUP("electricity|SO2|Asthma symptoms wheeze", US_national_yearly!$D:$AM, 10, FALSE), 1)</f>
        <v>2.9465205511707343E-3</v>
      </c>
      <c r="M8" s="7">
        <f>$B8 * IFERROR(VLOOKUP("electricity|SO2|Asthma symptoms wheeze", US_national_yearly!$D:$AM, 21, FALSE) / VLOOKUP("electricity|SO2|Asthma symptoms wheeze", US_national_yearly!$D:$AM, 10, FALSE), 1)</f>
        <v>2.9465205511707343E-3</v>
      </c>
      <c r="N8" s="7">
        <f>$B8 * IFERROR(VLOOKUP("electricity|SO2|Asthma symptoms wheeze", US_national_yearly!$D:$AM, 22, FALSE) / VLOOKUP("electricity|SO2|Asthma symptoms wheeze", US_national_yearly!$D:$AM, 10, FALSE), 1)</f>
        <v>2.9465205511707343E-3</v>
      </c>
      <c r="O8" s="7">
        <f>$B8 * IFERROR(VLOOKUP("electricity|SO2|Asthma symptoms wheeze", US_national_yearly!$D:$AM, 23, FALSE) / VLOOKUP("electricity|SO2|Asthma symptoms wheeze", US_national_yearly!$D:$AM, 10, FALSE), 1)</f>
        <v>2.9465205511707343E-3</v>
      </c>
      <c r="P8" s="7">
        <f>$B8 * IFERROR(VLOOKUP("electricity|SO2|Asthma symptoms wheeze", US_national_yearly!$D:$AM, 24, FALSE) / VLOOKUP("electricity|SO2|Asthma symptoms wheeze", US_national_yearly!$D:$AM, 10, FALSE), 1)</f>
        <v>2.9465205511707343E-3</v>
      </c>
      <c r="Q8" s="7">
        <f>$B8 * IFERROR(VLOOKUP("electricity|SO2|Asthma symptoms wheeze", US_national_yearly!$D:$AM, 25, FALSE) / VLOOKUP("electricity|SO2|Asthma symptoms wheeze", US_national_yearly!$D:$AM, 10, FALSE), 1)</f>
        <v>2.9465205511707343E-3</v>
      </c>
      <c r="R8" s="7">
        <f>$B8 * IFERROR(VLOOKUP("electricity|SO2|Asthma symptoms wheeze", US_national_yearly!$D:$AM, 26, FALSE) / VLOOKUP("electricity|SO2|Asthma symptoms wheeze", US_national_yearly!$D:$AM, 10, FALSE), 1)</f>
        <v>2.9465205511707343E-3</v>
      </c>
      <c r="S8" s="7">
        <f>$B8 * IFERROR(VLOOKUP("electricity|SO2|Asthma symptoms wheeze", US_national_yearly!$D:$AM, 27, FALSE) / VLOOKUP("electricity|SO2|Asthma symptoms wheeze", US_national_yearly!$D:$AM, 10, FALSE), 1)</f>
        <v>2.9465205511707343E-3</v>
      </c>
      <c r="T8" s="7">
        <f>$B8 * IFERROR(VLOOKUP("electricity|SO2|Asthma symptoms wheeze", US_national_yearly!$D:$AM, 28, FALSE) / VLOOKUP("electricity|SO2|Asthma symptoms wheeze", US_national_yearly!$D:$AM, 10, FALSE), 1)</f>
        <v>2.9465205511707343E-3</v>
      </c>
      <c r="U8" s="7">
        <f>$B8 * IFERROR(VLOOKUP("electricity|SO2|Asthma symptoms wheeze", US_national_yearly!$D:$AM, 29, FALSE) / VLOOKUP("electricity|SO2|Asthma symptoms wheeze", US_national_yearly!$D:$AM, 10, FALSE), 1)</f>
        <v>2.9465205511707343E-3</v>
      </c>
      <c r="V8" s="7">
        <f>$B8 * IFERROR(VLOOKUP("electricity|SO2|Asthma symptoms wheeze", US_national_yearly!$D:$AM, 30, FALSE) / VLOOKUP("electricity|SO2|Asthma symptoms wheeze", US_national_yearly!$D:$AM, 10, FALSE), 1)</f>
        <v>2.9465205511707343E-3</v>
      </c>
      <c r="W8" s="7">
        <f>$B8 * IFERROR(VLOOKUP("electricity|SO2|Asthma symptoms wheeze", US_national_yearly!$D:$AM, 31, FALSE) / VLOOKUP("electricity|SO2|Asthma symptoms wheeze", US_national_yearly!$D:$AM, 10, FALSE), 1)</f>
        <v>2.9465205511707343E-3</v>
      </c>
      <c r="X8" s="7">
        <f>$B8 * IFERROR(VLOOKUP("electricity|SO2|Asthma symptoms wheeze", US_national_yearly!$D:$AM, 32, FALSE) / VLOOKUP("electricity|SO2|Asthma symptoms wheeze", US_national_yearly!$D:$AM, 10, FALSE), 1)</f>
        <v>2.9465205511707343E-3</v>
      </c>
      <c r="Y8" s="7">
        <f>$B8 * IFERROR(VLOOKUP("electricity|SO2|Asthma symptoms wheeze", US_national_yearly!$D:$AM, 33, FALSE) / VLOOKUP("electricity|SO2|Asthma symptoms wheeze", US_national_yearly!$D:$AM, 10, FALSE), 1)</f>
        <v>2.9465205511707343E-3</v>
      </c>
      <c r="Z8" s="7">
        <f>$B8 * IFERROR(VLOOKUP("electricity|SO2|Asthma symptoms wheeze", US_national_yearly!$D:$AM, 34, FALSE) / VLOOKUP("electricity|SO2|Asthma symptoms wheeze", US_national_yearly!$D:$AM, 10, FALSE), 1)</f>
        <v>2.9465205511707343E-3</v>
      </c>
      <c r="AA8" s="7">
        <f>$B8 * IFERROR(VLOOKUP("electricity|SO2|Asthma symptoms wheeze", US_national_yearly!$D:$AM, 35, FALSE) / VLOOKUP("electricity|SO2|Asthma symptoms wheeze", US_national_yearly!$D:$AM, 10, FALSE), 1)</f>
        <v>2.9465205511707343E-3</v>
      </c>
      <c r="AB8" s="7">
        <f>$B8 * IFERROR(VLOOKUP("electricity|SO2|Asthma symptoms wheeze", US_national_yearly!$D:$AM, 36, FALSE) / VLOOKUP("electricity|SO2|Asthma symptoms wheeze", US_national_yearly!$D:$AM, 10, FALSE), 1)</f>
        <v>2.9465205511707343E-3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3.1975118128027276E-5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3.2163439772338571E-5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3.235176141664988E-5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3.2540083060961175E-5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3.2728404705272484E-5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3.2933617965560421E-5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3.3138831225848366E-5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3.3336249381275986E-5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3.3533667536703613E-5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3.373108569213124E-5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3.392850384755886E-5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3.4125922002986487E-5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3.4267522228534731E-5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3.4409122454082988E-5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3.4550722679631239E-5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3.4692322905179482E-5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3.483392313072774E-5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3.4967572900210039E-5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3.5101222669692345E-5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3.5234872439174644E-5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3.536852220865695E-5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3.5502171978139256E-5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3.5630385802644087E-5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3.5758599627148924E-5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3.5886813451653762E-5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3.6015027276158586E-5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3.6143241100663424E-5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1.6851367884871473E-4</v>
      </c>
      <c r="C13" s="7">
        <f>$B13 * IFERROR(VLOOKUP("electricity|SO2|Non-fatal heart attacks", US_national_yearly!$D:$AM, 11, FALSE) / VLOOKUP("electricity|SO2|Non-fatal heart attacks", US_national_yearly!$D:$AM, 10, FALSE), 1)</f>
        <v>1.7347734523066353E-4</v>
      </c>
      <c r="D13" s="7">
        <f>$B13 * IFERROR(VLOOKUP("electricity|SO2|Non-fatal heart attacks", US_national_yearly!$D:$AM, 12, FALSE) / VLOOKUP("electricity|SO2|Non-fatal heart attacks", US_national_yearly!$D:$AM, 10, FALSE), 1)</f>
        <v>1.7844101161261226E-4</v>
      </c>
      <c r="E13" s="7">
        <f>$B13 * IFERROR(VLOOKUP("electricity|SO2|Non-fatal heart attacks", US_national_yearly!$D:$AM, 13, FALSE) / VLOOKUP("electricity|SO2|Non-fatal heart attacks", US_national_yearly!$D:$AM, 10, FALSE), 1)</f>
        <v>1.8340467799456107E-4</v>
      </c>
      <c r="F13" s="7">
        <f>$B13 * IFERROR(VLOOKUP("electricity|SO2|Non-fatal heart attacks", US_national_yearly!$D:$AM, 14, FALSE) / VLOOKUP("electricity|SO2|Non-fatal heart attacks", US_national_yearly!$D:$AM, 10, FALSE), 1)</f>
        <v>1.8836834437650985E-4</v>
      </c>
      <c r="G13" s="7">
        <f>$B13 * IFERROR(VLOOKUP("electricity|SO2|Non-fatal heart attacks", US_national_yearly!$D:$AM, 15, FALSE) / VLOOKUP("electricity|SO2|Non-fatal heart attacks", US_national_yearly!$D:$AM, 10, FALSE), 1)</f>
        <v>1.9307901269817779E-4</v>
      </c>
      <c r="H13" s="7">
        <f>$B13 * IFERROR(VLOOKUP("electricity|SO2|Non-fatal heart attacks", US_national_yearly!$D:$AM, 16, FALSE) / VLOOKUP("electricity|SO2|Non-fatal heart attacks", US_national_yearly!$D:$AM, 10, FALSE), 1)</f>
        <v>1.9778968101984577E-4</v>
      </c>
      <c r="I13" s="7">
        <f>$B13 * IFERROR(VLOOKUP("electricity|SO2|Non-fatal heart attacks", US_national_yearly!$D:$AM, 17, FALSE) / VLOOKUP("electricity|SO2|Non-fatal heart attacks", US_national_yearly!$D:$AM, 10, FALSE), 1)</f>
        <v>2.0162598117639969E-4</v>
      </c>
      <c r="J13" s="7">
        <f>$B13 * IFERROR(VLOOKUP("electricity|SO2|Non-fatal heart attacks", US_national_yearly!$D:$AM, 18, FALSE) / VLOOKUP("electricity|SO2|Non-fatal heart attacks", US_national_yearly!$D:$AM, 10, FALSE), 1)</f>
        <v>2.0546228133295355E-4</v>
      </c>
      <c r="K13" s="7">
        <f>$B13 * IFERROR(VLOOKUP("electricity|SO2|Non-fatal heart attacks", US_national_yearly!$D:$AM, 19, FALSE) / VLOOKUP("electricity|SO2|Non-fatal heart attacks", US_national_yearly!$D:$AM, 10, FALSE), 1)</f>
        <v>2.0929858148950747E-4</v>
      </c>
      <c r="L13" s="7">
        <f>$B13 * IFERROR(VLOOKUP("electricity|SO2|Non-fatal heart attacks", US_national_yearly!$D:$AM, 20, FALSE) / VLOOKUP("electricity|SO2|Non-fatal heart attacks", US_national_yearly!$D:$AM, 10, FALSE), 1)</f>
        <v>2.1313488164606133E-4</v>
      </c>
      <c r="M13" s="7">
        <f>$B13 * IFERROR(VLOOKUP("electricity|SO2|Non-fatal heart attacks", US_national_yearly!$D:$AM, 21, FALSE) / VLOOKUP("electricity|SO2|Non-fatal heart attacks", US_national_yearly!$D:$AM, 10, FALSE), 1)</f>
        <v>2.1697118180261525E-4</v>
      </c>
      <c r="N13" s="7">
        <f>$B13 * IFERROR(VLOOKUP("electricity|SO2|Non-fatal heart attacks", US_national_yearly!$D:$AM, 22, FALSE) / VLOOKUP("electricity|SO2|Non-fatal heart attacks", US_national_yearly!$D:$AM, 10, FALSE), 1)</f>
        <v>2.1950104114881088E-4</v>
      </c>
      <c r="O13" s="7">
        <f>$B13 * IFERROR(VLOOKUP("electricity|SO2|Non-fatal heart attacks", US_national_yearly!$D:$AM, 23, FALSE) / VLOOKUP("electricity|SO2|Non-fatal heart attacks", US_national_yearly!$D:$AM, 10, FALSE), 1)</f>
        <v>2.2203090049500646E-4</v>
      </c>
      <c r="P13" s="7">
        <f>$B13 * IFERROR(VLOOKUP("electricity|SO2|Non-fatal heart attacks", US_national_yearly!$D:$AM, 24, FALSE) / VLOOKUP("electricity|SO2|Non-fatal heart attacks", US_national_yearly!$D:$AM, 10, FALSE), 1)</f>
        <v>2.2456075984120209E-4</v>
      </c>
      <c r="Q13" s="7">
        <f>$B13 * IFERROR(VLOOKUP("electricity|SO2|Non-fatal heart attacks", US_national_yearly!$D:$AM, 25, FALSE) / VLOOKUP("electricity|SO2|Non-fatal heart attacks", US_national_yearly!$D:$AM, 10, FALSE), 1)</f>
        <v>2.2709061918739772E-4</v>
      </c>
      <c r="R13" s="7">
        <f>$B13 * IFERROR(VLOOKUP("electricity|SO2|Non-fatal heart attacks", US_national_yearly!$D:$AM, 26, FALSE) / VLOOKUP("electricity|SO2|Non-fatal heart attacks", US_national_yearly!$D:$AM, 10, FALSE), 1)</f>
        <v>2.2962047853359335E-4</v>
      </c>
      <c r="S13" s="7">
        <f>$B13 * IFERROR(VLOOKUP("electricity|SO2|Non-fatal heart attacks", US_national_yearly!$D:$AM, 27, FALSE) / VLOOKUP("electricity|SO2|Non-fatal heart attacks", US_national_yearly!$D:$AM, 10, FALSE), 1)</f>
        <v>2.3099716778666671E-4</v>
      </c>
      <c r="T13" s="7">
        <f>$B13 * IFERROR(VLOOKUP("electricity|SO2|Non-fatal heart attacks", US_national_yearly!$D:$AM, 28, FALSE) / VLOOKUP("electricity|SO2|Non-fatal heart attacks", US_national_yearly!$D:$AM, 10, FALSE), 1)</f>
        <v>2.3237385703974009E-4</v>
      </c>
      <c r="U13" s="7">
        <f>$B13 * IFERROR(VLOOKUP("electricity|SO2|Non-fatal heart attacks", US_national_yearly!$D:$AM, 29, FALSE) / VLOOKUP("electricity|SO2|Non-fatal heart attacks", US_national_yearly!$D:$AM, 10, FALSE), 1)</f>
        <v>2.3375054629281347E-4</v>
      </c>
      <c r="V13" s="7">
        <f>$B13 * IFERROR(VLOOKUP("electricity|SO2|Non-fatal heart attacks", US_national_yearly!$D:$AM, 30, FALSE) / VLOOKUP("electricity|SO2|Non-fatal heart attacks", US_national_yearly!$D:$AM, 10, FALSE), 1)</f>
        <v>2.3512723554588679E-4</v>
      </c>
      <c r="W13" s="7">
        <f>$B13 * IFERROR(VLOOKUP("electricity|SO2|Non-fatal heart attacks", US_national_yearly!$D:$AM, 31, FALSE) / VLOOKUP("electricity|SO2|Non-fatal heart attacks", US_national_yearly!$D:$AM, 10, FALSE), 1)</f>
        <v>2.3650392479896017E-4</v>
      </c>
      <c r="X13" s="7">
        <f>$B13 * IFERROR(VLOOKUP("electricity|SO2|Non-fatal heart attacks", US_national_yearly!$D:$AM, 32, FALSE) / VLOOKUP("electricity|SO2|Non-fatal heart attacks", US_national_yearly!$D:$AM, 10, FALSE), 1)</f>
        <v>2.3756145197797329E-4</v>
      </c>
      <c r="Y13" s="7">
        <f>$B13 * IFERROR(VLOOKUP("electricity|SO2|Non-fatal heart attacks", US_national_yearly!$D:$AM, 33, FALSE) / VLOOKUP("electricity|SO2|Non-fatal heart attacks", US_national_yearly!$D:$AM, 10, FALSE), 1)</f>
        <v>2.3861897915698643E-4</v>
      </c>
      <c r="Z13" s="7">
        <f>$B13 * IFERROR(VLOOKUP("electricity|SO2|Non-fatal heart attacks", US_national_yearly!$D:$AM, 34, FALSE) / VLOOKUP("electricity|SO2|Non-fatal heart attacks", US_national_yearly!$D:$AM, 10, FALSE), 1)</f>
        <v>2.396765063359995E-4</v>
      </c>
      <c r="AA13" s="7">
        <f>$B13 * IFERROR(VLOOKUP("electricity|SO2|Non-fatal heart attacks", US_national_yearly!$D:$AM, 35, FALSE) / VLOOKUP("electricity|SO2|Non-fatal heart attacks", US_national_yearly!$D:$AM, 10, FALSE), 1)</f>
        <v>2.4073403351501261E-4</v>
      </c>
      <c r="AB13" s="7">
        <f>$B13 * IFERROR(VLOOKUP("electricity|SO2|Non-fatal heart attacks", US_national_yearly!$D:$AM, 36, FALSE) / VLOOKUP("electricity|SO2|Non-fatal heart attacks", US_national_yearly!$D:$AM, 10, FALSE), 1)</f>
        <v>2.4179156069402573E-4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0.15917046577882457</v>
      </c>
      <c r="C14" s="7">
        <f>$B14 * IFERROR(VLOOKUP("electricity|SO2|Minor restricted activity days", US_national_yearly!$D:$AM, 11, FALSE) / VLOOKUP("electricity|SO2|Minor restricted activity days", US_national_yearly!$D:$AM, 10, FALSE), 1)</f>
        <v>0.15957045354501559</v>
      </c>
      <c r="D14" s="7">
        <f>$B14 * IFERROR(VLOOKUP("electricity|SO2|Minor restricted activity days", US_national_yearly!$D:$AM, 12, FALSE) / VLOOKUP("electricity|SO2|Minor restricted activity days", US_national_yearly!$D:$AM, 10, FALSE), 1)</f>
        <v>0.15997044131120658</v>
      </c>
      <c r="E14" s="7">
        <f>$B14 * IFERROR(VLOOKUP("electricity|SO2|Minor restricted activity days", US_national_yearly!$D:$AM, 13, FALSE) / VLOOKUP("electricity|SO2|Minor restricted activity days", US_national_yearly!$D:$AM, 10, FALSE), 1)</f>
        <v>0.16037042907739762</v>
      </c>
      <c r="F14" s="7">
        <f>$B14 * IFERROR(VLOOKUP("electricity|SO2|Minor restricted activity days", US_national_yearly!$D:$AM, 14, FALSE) / VLOOKUP("electricity|SO2|Minor restricted activity days", US_national_yearly!$D:$AM, 10, FALSE), 1)</f>
        <v>0.16077041684358859</v>
      </c>
      <c r="G14" s="7">
        <f>$B14 * IFERROR(VLOOKUP("electricity|SO2|Minor restricted activity days", US_national_yearly!$D:$AM, 15, FALSE) / VLOOKUP("electricity|SO2|Minor restricted activity days", US_national_yearly!$D:$AM, 10, FALSE), 1)</f>
        <v>0.16134831269099295</v>
      </c>
      <c r="H14" s="7">
        <f>$B14 * IFERROR(VLOOKUP("electricity|SO2|Minor restricted activity days", US_national_yearly!$D:$AM, 16, FALSE) / VLOOKUP("electricity|SO2|Minor restricted activity days", US_national_yearly!$D:$AM, 10, FALSE), 1)</f>
        <v>0.16192620853839729</v>
      </c>
      <c r="I14" s="7">
        <f>$B14 * IFERROR(VLOOKUP("electricity|SO2|Minor restricted activity days", US_national_yearly!$D:$AM, 17, FALSE) / VLOOKUP("electricity|SO2|Minor restricted activity days", US_national_yearly!$D:$AM, 10, FALSE), 1)</f>
        <v>0.16291734440958222</v>
      </c>
      <c r="J14" s="7">
        <f>$B14 * IFERROR(VLOOKUP("electricity|SO2|Minor restricted activity days", US_national_yearly!$D:$AM, 18, FALSE) / VLOOKUP("electricity|SO2|Minor restricted activity days", US_national_yearly!$D:$AM, 10, FALSE), 1)</f>
        <v>0.16390848028076721</v>
      </c>
      <c r="K14" s="7">
        <f>$B14 * IFERROR(VLOOKUP("electricity|SO2|Minor restricted activity days", US_national_yearly!$D:$AM, 19, FALSE) / VLOOKUP("electricity|SO2|Minor restricted activity days", US_national_yearly!$D:$AM, 10, FALSE), 1)</f>
        <v>0.16489961615195214</v>
      </c>
      <c r="L14" s="7">
        <f>$B14 * IFERROR(VLOOKUP("electricity|SO2|Minor restricted activity days", US_national_yearly!$D:$AM, 20, FALSE) / VLOOKUP("electricity|SO2|Minor restricted activity days", US_national_yearly!$D:$AM, 10, FALSE), 1)</f>
        <v>0.16589075202313716</v>
      </c>
      <c r="M14" s="7">
        <f>$B14 * IFERROR(VLOOKUP("electricity|SO2|Minor restricted activity days", US_national_yearly!$D:$AM, 21, FALSE) / VLOOKUP("electricity|SO2|Minor restricted activity days", US_national_yearly!$D:$AM, 10, FALSE), 1)</f>
        <v>0.1668818878943221</v>
      </c>
      <c r="N14" s="7">
        <f>$B14 * IFERROR(VLOOKUP("electricity|SO2|Minor restricted activity days", US_national_yearly!$D:$AM, 22, FALSE) / VLOOKUP("electricity|SO2|Minor restricted activity days", US_national_yearly!$D:$AM, 10, FALSE), 1)</f>
        <v>0.1682468251559868</v>
      </c>
      <c r="O14" s="7">
        <f>$B14 * IFERROR(VLOOKUP("electricity|SO2|Minor restricted activity days", US_national_yearly!$D:$AM, 23, FALSE) / VLOOKUP("electricity|SO2|Minor restricted activity days", US_national_yearly!$D:$AM, 10, FALSE), 1)</f>
        <v>0.1696117624176515</v>
      </c>
      <c r="P14" s="7">
        <f>$B14 * IFERROR(VLOOKUP("electricity|SO2|Minor restricted activity days", US_national_yearly!$D:$AM, 24, FALSE) / VLOOKUP("electricity|SO2|Minor restricted activity days", US_national_yearly!$D:$AM, 10, FALSE), 1)</f>
        <v>0.17097669967931617</v>
      </c>
      <c r="Q14" s="7">
        <f>$B14 * IFERROR(VLOOKUP("electricity|SO2|Minor restricted activity days", US_national_yearly!$D:$AM, 25, FALSE) / VLOOKUP("electricity|SO2|Minor restricted activity days", US_national_yearly!$D:$AM, 10, FALSE), 1)</f>
        <v>0.17234163694098087</v>
      </c>
      <c r="R14" s="7">
        <f>$B14 * IFERROR(VLOOKUP("electricity|SO2|Minor restricted activity days", US_national_yearly!$D:$AM, 26, FALSE) / VLOOKUP("electricity|SO2|Minor restricted activity days", US_national_yearly!$D:$AM, 10, FALSE), 1)</f>
        <v>0.17370657420264554</v>
      </c>
      <c r="S14" s="7">
        <f>$B14 * IFERROR(VLOOKUP("electricity|SO2|Minor restricted activity days", US_national_yearly!$D:$AM, 27, FALSE) / VLOOKUP("electricity|SO2|Minor restricted activity days", US_national_yearly!$D:$AM, 10, FALSE), 1)</f>
        <v>0.17510585008995252</v>
      </c>
      <c r="T14" s="7">
        <f>$B14 * IFERROR(VLOOKUP("electricity|SO2|Minor restricted activity days", US_national_yearly!$D:$AM, 28, FALSE) / VLOOKUP("electricity|SO2|Minor restricted activity days", US_national_yearly!$D:$AM, 10, FALSE), 1)</f>
        <v>0.17650512597725948</v>
      </c>
      <c r="U14" s="7">
        <f>$B14 * IFERROR(VLOOKUP("electricity|SO2|Minor restricted activity days", US_national_yearly!$D:$AM, 29, FALSE) / VLOOKUP("electricity|SO2|Minor restricted activity days", US_national_yearly!$D:$AM, 10, FALSE), 1)</f>
        <v>0.17790440186456644</v>
      </c>
      <c r="V14" s="7">
        <f>$B14 * IFERROR(VLOOKUP("electricity|SO2|Minor restricted activity days", US_national_yearly!$D:$AM, 30, FALSE) / VLOOKUP("electricity|SO2|Minor restricted activity days", US_national_yearly!$D:$AM, 10, FALSE), 1)</f>
        <v>0.17930367775187339</v>
      </c>
      <c r="W14" s="7">
        <f>$B14 * IFERROR(VLOOKUP("electricity|SO2|Minor restricted activity days", US_national_yearly!$D:$AM, 31, FALSE) / VLOOKUP("electricity|SO2|Minor restricted activity days", US_national_yearly!$D:$AM, 10, FALSE), 1)</f>
        <v>0.18070295363918037</v>
      </c>
      <c r="X14" s="7">
        <f>$B14 * IFERROR(VLOOKUP("electricity|SO2|Minor restricted activity days", US_national_yearly!$D:$AM, 32, FALSE) / VLOOKUP("electricity|SO2|Minor restricted activity days", US_national_yearly!$D:$AM, 10, FALSE), 1)</f>
        <v>0.18193416306295424</v>
      </c>
      <c r="Y14" s="7">
        <f>$B14 * IFERROR(VLOOKUP("electricity|SO2|Minor restricted activity days", US_national_yearly!$D:$AM, 33, FALSE) / VLOOKUP("electricity|SO2|Minor restricted activity days", US_national_yearly!$D:$AM, 10, FALSE), 1)</f>
        <v>0.18316537248672807</v>
      </c>
      <c r="Z14" s="7">
        <f>$B14 * IFERROR(VLOOKUP("electricity|SO2|Minor restricted activity days", US_national_yearly!$D:$AM, 34, FALSE) / VLOOKUP("electricity|SO2|Minor restricted activity days", US_national_yearly!$D:$AM, 10, FALSE), 1)</f>
        <v>0.1843965819105019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0.18562779133427576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0.18685900075804959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2.7015187768115314E-2</v>
      </c>
      <c r="C15" s="7">
        <f>$B15 * IFERROR(VLOOKUP("electricity|SO2|Work loss days", US_national_yearly!$D:$AM, 11, FALSE) / VLOOKUP("electricity|SO2|Work loss days", US_national_yearly!$D:$AM, 10, FALSE), 1)</f>
        <v>2.7102663763133444E-2</v>
      </c>
      <c r="D15" s="7">
        <f>$B15 * IFERROR(VLOOKUP("electricity|SO2|Work loss days", US_national_yearly!$D:$AM, 12, FALSE) / VLOOKUP("electricity|SO2|Work loss days", US_national_yearly!$D:$AM, 10, FALSE), 1)</f>
        <v>2.7190139758151571E-2</v>
      </c>
      <c r="E15" s="7">
        <f>$B15 * IFERROR(VLOOKUP("electricity|SO2|Work loss days", US_national_yearly!$D:$AM, 13, FALSE) / VLOOKUP("electricity|SO2|Work loss days", US_national_yearly!$D:$AM, 10, FALSE), 1)</f>
        <v>2.7277615753169705E-2</v>
      </c>
      <c r="F15" s="7">
        <f>$B15 * IFERROR(VLOOKUP("electricity|SO2|Work loss days", US_national_yearly!$D:$AM, 14, FALSE) / VLOOKUP("electricity|SO2|Work loss days", US_national_yearly!$D:$AM, 10, FALSE), 1)</f>
        <v>2.7365091748187836E-2</v>
      </c>
      <c r="G15" s="7">
        <f>$B15 * IFERROR(VLOOKUP("electricity|SO2|Work loss days", US_national_yearly!$D:$AM, 15, FALSE) / VLOOKUP("electricity|SO2|Work loss days", US_national_yearly!$D:$AM, 10, FALSE), 1)</f>
        <v>2.7477153918164104E-2</v>
      </c>
      <c r="H15" s="7">
        <f>$B15 * IFERROR(VLOOKUP("electricity|SO2|Work loss days", US_national_yearly!$D:$AM, 16, FALSE) / VLOOKUP("electricity|SO2|Work loss days", US_national_yearly!$D:$AM, 10, FALSE), 1)</f>
        <v>2.7589216088140377E-2</v>
      </c>
      <c r="I15" s="7">
        <f>$B15 * IFERROR(VLOOKUP("electricity|SO2|Work loss days", US_national_yearly!$D:$AM, 17, FALSE) / VLOOKUP("electricity|SO2|Work loss days", US_national_yearly!$D:$AM, 10, FALSE), 1)</f>
        <v>2.7753176224583249E-2</v>
      </c>
      <c r="J15" s="7">
        <f>$B15 * IFERROR(VLOOKUP("electricity|SO2|Work loss days", US_national_yearly!$D:$AM, 18, FALSE) / VLOOKUP("electricity|SO2|Work loss days", US_national_yearly!$D:$AM, 10, FALSE), 1)</f>
        <v>2.7917136361026117E-2</v>
      </c>
      <c r="K15" s="7">
        <f>$B15 * IFERROR(VLOOKUP("electricity|SO2|Work loss days", US_national_yearly!$D:$AM, 19, FALSE) / VLOOKUP("electricity|SO2|Work loss days", US_national_yearly!$D:$AM, 10, FALSE), 1)</f>
        <v>2.8081096497468996E-2</v>
      </c>
      <c r="L15" s="7">
        <f>$B15 * IFERROR(VLOOKUP("electricity|SO2|Work loss days", US_national_yearly!$D:$AM, 20, FALSE) / VLOOKUP("electricity|SO2|Work loss days", US_national_yearly!$D:$AM, 10, FALSE), 1)</f>
        <v>2.8245056633911862E-2</v>
      </c>
      <c r="M15" s="7">
        <f>$B15 * IFERROR(VLOOKUP("electricity|SO2|Work loss days", US_national_yearly!$D:$AM, 21, FALSE) / VLOOKUP("electricity|SO2|Work loss days", US_national_yearly!$D:$AM, 10, FALSE), 1)</f>
        <v>2.8409016770354741E-2</v>
      </c>
      <c r="N15" s="7">
        <f>$B15 * IFERROR(VLOOKUP("electricity|SO2|Work loss days", US_national_yearly!$D:$AM, 22, FALSE) / VLOOKUP("electricity|SO2|Work loss days", US_national_yearly!$D:$AM, 10, FALSE), 1)</f>
        <v>2.8616467118896656E-2</v>
      </c>
      <c r="O15" s="7">
        <f>$B15 * IFERROR(VLOOKUP("electricity|SO2|Work loss days", US_national_yearly!$D:$AM, 23, FALSE) / VLOOKUP("electricity|SO2|Work loss days", US_national_yearly!$D:$AM, 10, FALSE), 1)</f>
        <v>2.8823917467438575E-2</v>
      </c>
      <c r="P15" s="7">
        <f>$B15 * IFERROR(VLOOKUP("electricity|SO2|Work loss days", US_national_yearly!$D:$AM, 24, FALSE) / VLOOKUP("electricity|SO2|Work loss days", US_national_yearly!$D:$AM, 10, FALSE), 1)</f>
        <v>2.9031367815980494E-2</v>
      </c>
      <c r="Q15" s="7">
        <f>$B15 * IFERROR(VLOOKUP("electricity|SO2|Work loss days", US_national_yearly!$D:$AM, 25, FALSE) / VLOOKUP("electricity|SO2|Work loss days", US_national_yearly!$D:$AM, 10, FALSE), 1)</f>
        <v>2.9238818164522409E-2</v>
      </c>
      <c r="R15" s="7">
        <f>$B15 * IFERROR(VLOOKUP("electricity|SO2|Work loss days", US_national_yearly!$D:$AM, 26, FALSE) / VLOOKUP("electricity|SO2|Work loss days", US_national_yearly!$D:$AM, 10, FALSE), 1)</f>
        <v>2.9446268513064328E-2</v>
      </c>
      <c r="S15" s="7">
        <f>$B15 * IFERROR(VLOOKUP("electricity|SO2|Work loss days", US_national_yearly!$D:$AM, 27, FALSE) / VLOOKUP("electricity|SO2|Work loss days", US_national_yearly!$D:$AM, 10, FALSE), 1)</f>
        <v>2.9678839712437125E-2</v>
      </c>
      <c r="T15" s="7">
        <f>$B15 * IFERROR(VLOOKUP("electricity|SO2|Work loss days", US_national_yearly!$D:$AM, 28, FALSE) / VLOOKUP("electricity|SO2|Work loss days", US_national_yearly!$D:$AM, 10, FALSE), 1)</f>
        <v>2.9911410911809926E-2</v>
      </c>
      <c r="U15" s="7">
        <f>$B15 * IFERROR(VLOOKUP("electricity|SO2|Work loss days", US_national_yearly!$D:$AM, 29, FALSE) / VLOOKUP("electricity|SO2|Work loss days", US_national_yearly!$D:$AM, 10, FALSE), 1)</f>
        <v>3.0143982111182726E-2</v>
      </c>
      <c r="V15" s="7">
        <f>$B15 * IFERROR(VLOOKUP("electricity|SO2|Work loss days", US_national_yearly!$D:$AM, 30, FALSE) / VLOOKUP("electricity|SO2|Work loss days", US_national_yearly!$D:$AM, 10, FALSE), 1)</f>
        <v>3.0376553310555526E-2</v>
      </c>
      <c r="W15" s="7">
        <f>$B15 * IFERROR(VLOOKUP("electricity|SO2|Work loss days", US_national_yearly!$D:$AM, 31, FALSE) / VLOOKUP("electricity|SO2|Work loss days", US_national_yearly!$D:$AM, 10, FALSE), 1)</f>
        <v>3.0609124509928327E-2</v>
      </c>
      <c r="X15" s="7">
        <f>$B15 * IFERROR(VLOOKUP("electricity|SO2|Work loss days", US_national_yearly!$D:$AM, 32, FALSE) / VLOOKUP("electricity|SO2|Work loss days", US_national_yearly!$D:$AM, 10, FALSE), 1)</f>
        <v>3.0818648157905557E-2</v>
      </c>
      <c r="Y15" s="7">
        <f>$B15 * IFERROR(VLOOKUP("electricity|SO2|Work loss days", US_national_yearly!$D:$AM, 33, FALSE) / VLOOKUP("electricity|SO2|Work loss days", US_national_yearly!$D:$AM, 10, FALSE), 1)</f>
        <v>3.1028171805882784E-2</v>
      </c>
      <c r="Z15" s="7">
        <f>$B15 * IFERROR(VLOOKUP("electricity|SO2|Work loss days", US_national_yearly!$D:$AM, 34, FALSE) / VLOOKUP("electricity|SO2|Work loss days", US_national_yearly!$D:$AM, 10, FALSE), 1)</f>
        <v>3.1237695453860004E-2</v>
      </c>
      <c r="AA15" s="7">
        <f>$B15 * IFERROR(VLOOKUP("electricity|SO2|Work loss days", US_national_yearly!$D:$AM, 35, FALSE) / VLOOKUP("electricity|SO2|Work loss days", US_national_yearly!$D:$AM, 10, FALSE), 1)</f>
        <v>3.1447219101837232E-2</v>
      </c>
      <c r="AB15" s="7">
        <f>$B15 * IFERROR(VLOOKUP("electricity|SO2|Work loss days", US_national_yearly!$D:$AM, 36, FALSE) / VLOOKUP("electricity|SO2|Work loss days", US_national_yearly!$D:$AM, 10, FALSE), 1)</f>
        <v>3.1656742749814462E-2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3.9564738908864734E-5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4.076366048073517E-5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4.1962582052605606E-5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4.3161503624476048E-5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4.4360425196346484E-5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4.5516109194489072E-5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4.6671793192631667E-5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4.7672315681245711E-5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4.8672838169859755E-5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4.9673360658473793E-5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5.067388314708783E-5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5.1674405635701874E-5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5.2357259566671563E-5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5.3040113497641251E-5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5.372296742861096E-5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5.4405821359580649E-5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5.5088675290550344E-5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5.5463028324960196E-5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5.5837381359370041E-5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5.62117343937799E-5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5.6586087428189745E-5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5.6960440462599591E-5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5.721885180301081E-5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5.7477263143422009E-5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5.7735674483833221E-5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5.7994085824244434E-5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5.8252497164655639E-5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8.0367304108588493E-3</v>
      </c>
      <c r="C2" s="7">
        <f>$B2 * IFERROR(VLOOKUP("buildings|PM25|Premature mortality", US_national_yearly!$D:$AM, 11, FALSE) / VLOOKUP("buildings|PM25|Premature mortality", US_national_yearly!$D:$AM, 10, FALSE), 1)</f>
        <v>8.1364404246188626E-3</v>
      </c>
      <c r="D2" s="7">
        <f>$B2 * IFERROR(VLOOKUP("buildings|PM25|Premature mortality", US_national_yearly!$D:$AM, 12, FALSE) / VLOOKUP("buildings|PM25|Premature mortality", US_national_yearly!$D:$AM, 10, FALSE), 1)</f>
        <v>8.2361504383788742E-3</v>
      </c>
      <c r="E2" s="7">
        <f>$B2 * IFERROR(VLOOKUP("buildings|PM25|Premature mortality", US_national_yearly!$D:$AM, 13, FALSE) / VLOOKUP("buildings|PM25|Premature mortality", US_national_yearly!$D:$AM, 10, FALSE), 1)</f>
        <v>8.3358604521388876E-3</v>
      </c>
      <c r="F2" s="7">
        <f>$B2 * IFERROR(VLOOKUP("buildings|PM25|Premature mortality", US_national_yearly!$D:$AM, 14, FALSE) / VLOOKUP("buildings|PM25|Premature mortality", US_national_yearly!$D:$AM, 10, FALSE), 1)</f>
        <v>8.4355704658988992E-3</v>
      </c>
      <c r="G2" s="7">
        <f>$B2 * IFERROR(VLOOKUP("buildings|PM25|Premature mortality", US_national_yearly!$D:$AM, 15, FALSE) / VLOOKUP("buildings|PM25|Premature mortality", US_national_yearly!$D:$AM, 10, FALSE), 1)</f>
        <v>8.6297263103295423E-3</v>
      </c>
      <c r="H2" s="7">
        <f>$B2 * IFERROR(VLOOKUP("buildings|PM25|Premature mortality", US_national_yearly!$D:$AM, 16, FALSE) / VLOOKUP("buildings|PM25|Premature mortality", US_national_yearly!$D:$AM, 10, FALSE), 1)</f>
        <v>8.8238821547601855E-3</v>
      </c>
      <c r="I2" s="7">
        <f>$B2 * IFERROR(VLOOKUP("buildings|PM25|Premature mortality", US_national_yearly!$D:$AM, 17, FALSE) / VLOOKUP("buildings|PM25|Premature mortality", US_national_yearly!$D:$AM, 10, FALSE), 1)</f>
        <v>8.9515751094950552E-3</v>
      </c>
      <c r="J2" s="7">
        <f>$B2 * IFERROR(VLOOKUP("buildings|PM25|Premature mortality", US_national_yearly!$D:$AM, 18, FALSE) / VLOOKUP("buildings|PM25|Premature mortality", US_national_yearly!$D:$AM, 10, FALSE), 1)</f>
        <v>9.0792680642299249E-3</v>
      </c>
      <c r="K2" s="7">
        <f>$B2 * IFERROR(VLOOKUP("buildings|PM25|Premature mortality", US_national_yearly!$D:$AM, 19, FALSE) / VLOOKUP("buildings|PM25|Premature mortality", US_national_yearly!$D:$AM, 10, FALSE), 1)</f>
        <v>9.2069610189647946E-3</v>
      </c>
      <c r="L2" s="7">
        <f>$B2 * IFERROR(VLOOKUP("buildings|PM25|Premature mortality", US_national_yearly!$D:$AM, 20, FALSE) / VLOOKUP("buildings|PM25|Premature mortality", US_national_yearly!$D:$AM, 10, FALSE), 1)</f>
        <v>9.3346539736996643E-3</v>
      </c>
      <c r="M2" s="7">
        <f>$B2 * IFERROR(VLOOKUP("buildings|PM25|Premature mortality", US_national_yearly!$D:$AM, 21, FALSE) / VLOOKUP("buildings|PM25|Premature mortality", US_national_yearly!$D:$AM, 10, FALSE), 1)</f>
        <v>9.4623469284345341E-3</v>
      </c>
      <c r="N2" s="7">
        <f>$B2 * IFERROR(VLOOKUP("buildings|PM25|Premature mortality", US_national_yearly!$D:$AM, 22, FALSE) / VLOOKUP("buildings|PM25|Premature mortality", US_national_yearly!$D:$AM, 10, FALSE), 1)</f>
        <v>9.5616423927672861E-3</v>
      </c>
      <c r="O2" s="7">
        <f>$B2 * IFERROR(VLOOKUP("buildings|PM25|Premature mortality", US_national_yearly!$D:$AM, 23, FALSE) / VLOOKUP("buildings|PM25|Premature mortality", US_national_yearly!$D:$AM, 10, FALSE), 1)</f>
        <v>9.6609378571000416E-3</v>
      </c>
      <c r="P2" s="7">
        <f>$B2 * IFERROR(VLOOKUP("buildings|PM25|Premature mortality", US_national_yearly!$D:$AM, 24, FALSE) / VLOOKUP("buildings|PM25|Premature mortality", US_national_yearly!$D:$AM, 10, FALSE), 1)</f>
        <v>9.7602333214327937E-3</v>
      </c>
      <c r="Q2" s="7">
        <f>$B2 * IFERROR(VLOOKUP("buildings|PM25|Premature mortality", US_national_yearly!$D:$AM, 25, FALSE) / VLOOKUP("buildings|PM25|Premature mortality", US_national_yearly!$D:$AM, 10, FALSE), 1)</f>
        <v>9.8595287857655509E-3</v>
      </c>
      <c r="R2" s="7">
        <f>$B2 * IFERROR(VLOOKUP("buildings|PM25|Premature mortality", US_national_yearly!$D:$AM, 26, FALSE) / VLOOKUP("buildings|PM25|Premature mortality", US_national_yearly!$D:$AM, 10, FALSE), 1)</f>
        <v>9.958824250098303E-3</v>
      </c>
      <c r="S2" s="7">
        <f>$B2 * IFERROR(VLOOKUP("buildings|PM25|Premature mortality", US_national_yearly!$D:$AM, 27, FALSE) / VLOOKUP("buildings|PM25|Premature mortality", US_national_yearly!$D:$AM, 10, FALSE), 1)</f>
        <v>1.0011600775680871E-2</v>
      </c>
      <c r="T2" s="7">
        <f>$B2 * IFERROR(VLOOKUP("buildings|PM25|Premature mortality", US_national_yearly!$D:$AM, 28, FALSE) / VLOOKUP("buildings|PM25|Premature mortality", US_national_yearly!$D:$AM, 10, FALSE), 1)</f>
        <v>1.0064377301263441E-2</v>
      </c>
      <c r="U2" s="7">
        <f>$B2 * IFERROR(VLOOKUP("buildings|PM25|Premature mortality", US_national_yearly!$D:$AM, 29, FALSE) / VLOOKUP("buildings|PM25|Premature mortality", US_national_yearly!$D:$AM, 10, FALSE), 1)</f>
        <v>1.011715382684601E-2</v>
      </c>
      <c r="V2" s="7">
        <f>$B2 * IFERROR(VLOOKUP("buildings|PM25|Premature mortality", US_national_yearly!$D:$AM, 30, FALSE) / VLOOKUP("buildings|PM25|Premature mortality", US_national_yearly!$D:$AM, 10, FALSE), 1)</f>
        <v>1.016993035242858E-2</v>
      </c>
      <c r="W2" s="7">
        <f>$B2 * IFERROR(VLOOKUP("buildings|PM25|Premature mortality", US_national_yearly!$D:$AM, 31, FALSE) / VLOOKUP("buildings|PM25|Premature mortality", US_national_yearly!$D:$AM, 10, FALSE), 1)</f>
        <v>1.0222706878011148E-2</v>
      </c>
      <c r="X2" s="7">
        <f>$B2 * IFERROR(VLOOKUP("buildings|PM25|Premature mortality", US_national_yearly!$D:$AM, 32, FALSE) / VLOOKUP("buildings|PM25|Premature mortality", US_national_yearly!$D:$AM, 10, FALSE), 1)</f>
        <v>1.0232179840654547E-2</v>
      </c>
      <c r="Y2" s="7">
        <f>$B2 * IFERROR(VLOOKUP("buildings|PM25|Premature mortality", US_national_yearly!$D:$AM, 33, FALSE) / VLOOKUP("buildings|PM25|Premature mortality", US_national_yearly!$D:$AM, 10, FALSE), 1)</f>
        <v>1.0241652803297946E-2</v>
      </c>
      <c r="Z2" s="7">
        <f>$B2 * IFERROR(VLOOKUP("buildings|PM25|Premature mortality", US_national_yearly!$D:$AM, 34, FALSE) / VLOOKUP("buildings|PM25|Premature mortality", US_national_yearly!$D:$AM, 10, FALSE), 1)</f>
        <v>1.0251125765941345E-2</v>
      </c>
      <c r="AA2" s="7">
        <f>$B2 * IFERROR(VLOOKUP("buildings|PM25|Premature mortality", US_national_yearly!$D:$AM, 35, FALSE) / VLOOKUP("buildings|PM25|Premature mortality", US_national_yearly!$D:$AM, 10, FALSE), 1)</f>
        <v>1.0260598728584746E-2</v>
      </c>
      <c r="AB2" s="7">
        <f>$B2 * IFERROR(VLOOKUP("buildings|PM25|Premature mortality", US_national_yearly!$D:$AM, 36, FALSE) / VLOOKUP("buildings|PM25|Premature mortality", US_national_yearly!$D:$AM, 10, FALSE), 1)</f>
        <v>1.0270071691228143E-2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1.9993008393453958E-5</v>
      </c>
      <c r="C3" s="7">
        <f>$B3 * IFERROR(VLOOKUP("buildings|PM25|Infant mortality", US_national_yearly!$D:$AM, 11, FALSE) / VLOOKUP("buildings|PM25|Infant mortality", US_national_yearly!$D:$AM, 10, FALSE), 1)</f>
        <v>1.9819836599041187E-5</v>
      </c>
      <c r="D3" s="7">
        <f>$B3 * IFERROR(VLOOKUP("buildings|PM25|Infant mortality", US_national_yearly!$D:$AM, 12, FALSE) / VLOOKUP("buildings|PM25|Infant mortality", US_national_yearly!$D:$AM, 10, FALSE), 1)</f>
        <v>1.9646664804628412E-5</v>
      </c>
      <c r="E3" s="7">
        <f>$B3 * IFERROR(VLOOKUP("buildings|PM25|Infant mortality", US_national_yearly!$D:$AM, 13, FALSE) / VLOOKUP("buildings|PM25|Infant mortality", US_national_yearly!$D:$AM, 10, FALSE), 1)</f>
        <v>1.9473493010215641E-5</v>
      </c>
      <c r="F3" s="7">
        <f>$B3 * IFERROR(VLOOKUP("buildings|PM25|Infant mortality", US_national_yearly!$D:$AM, 14, FALSE) / VLOOKUP("buildings|PM25|Infant mortality", US_national_yearly!$D:$AM, 10, FALSE), 1)</f>
        <v>1.930032121580287E-5</v>
      </c>
      <c r="G3" s="7">
        <f>$B3 * IFERROR(VLOOKUP("buildings|PM25|Infant mortality", US_national_yearly!$D:$AM, 15, FALSE) / VLOOKUP("buildings|PM25|Infant mortality", US_national_yearly!$D:$AM, 10, FALSE), 1)</f>
        <v>1.2834013408773675E-5</v>
      </c>
      <c r="H3" s="7">
        <f>$B3 * IFERROR(VLOOKUP("buildings|PM25|Infant mortality", US_national_yearly!$D:$AM, 16, FALSE) / VLOOKUP("buildings|PM25|Infant mortality", US_national_yearly!$D:$AM, 10, FALSE), 1)</f>
        <v>6.3677056017444847E-6</v>
      </c>
      <c r="I3" s="7">
        <f>$B3 * IFERROR(VLOOKUP("buildings|PM25|Infant mortality", US_national_yearly!$D:$AM, 17, FALSE) / VLOOKUP("buildings|PM25|Infant mortality", US_national_yearly!$D:$AM, 10, FALSE), 1)</f>
        <v>6.3262110491057684E-6</v>
      </c>
      <c r="J3" s="7">
        <f>$B3 * IFERROR(VLOOKUP("buildings|PM25|Infant mortality", US_national_yearly!$D:$AM, 18, FALSE) / VLOOKUP("buildings|PM25|Infant mortality", US_national_yearly!$D:$AM, 10, FALSE), 1)</f>
        <v>6.2847164964670521E-6</v>
      </c>
      <c r="K3" s="7">
        <f>$B3 * IFERROR(VLOOKUP("buildings|PM25|Infant mortality", US_national_yearly!$D:$AM, 19, FALSE) / VLOOKUP("buildings|PM25|Infant mortality", US_national_yearly!$D:$AM, 10, FALSE), 1)</f>
        <v>6.2432219438283358E-6</v>
      </c>
      <c r="L3" s="7">
        <f>$B3 * IFERROR(VLOOKUP("buildings|PM25|Infant mortality", US_national_yearly!$D:$AM, 20, FALSE) / VLOOKUP("buildings|PM25|Infant mortality", US_national_yearly!$D:$AM, 10, FALSE), 1)</f>
        <v>6.2017273911896195E-6</v>
      </c>
      <c r="M3" s="7">
        <f>$B3 * IFERROR(VLOOKUP("buildings|PM25|Infant mortality", US_national_yearly!$D:$AM, 21, FALSE) / VLOOKUP("buildings|PM25|Infant mortality", US_national_yearly!$D:$AM, 10, FALSE), 1)</f>
        <v>6.1602328385509041E-6</v>
      </c>
      <c r="N3" s="7">
        <f>$B3 * IFERROR(VLOOKUP("buildings|PM25|Infant mortality", US_national_yearly!$D:$AM, 22, FALSE) / VLOOKUP("buildings|PM25|Infant mortality", US_national_yearly!$D:$AM, 10, FALSE), 1)</f>
        <v>6.1342698750440474E-6</v>
      </c>
      <c r="O3" s="7">
        <f>$B3 * IFERROR(VLOOKUP("buildings|PM25|Infant mortality", US_national_yearly!$D:$AM, 23, FALSE) / VLOOKUP("buildings|PM25|Infant mortality", US_national_yearly!$D:$AM, 10, FALSE), 1)</f>
        <v>6.1083069115371915E-6</v>
      </c>
      <c r="P3" s="7">
        <f>$B3 * IFERROR(VLOOKUP("buildings|PM25|Infant mortality", US_national_yearly!$D:$AM, 24, FALSE) / VLOOKUP("buildings|PM25|Infant mortality", US_national_yearly!$D:$AM, 10, FALSE), 1)</f>
        <v>6.0823439480303347E-6</v>
      </c>
      <c r="Q3" s="7">
        <f>$B3 * IFERROR(VLOOKUP("buildings|PM25|Infant mortality", US_national_yearly!$D:$AM, 25, FALSE) / VLOOKUP("buildings|PM25|Infant mortality", US_national_yearly!$D:$AM, 10, FALSE), 1)</f>
        <v>6.0563809845234789E-6</v>
      </c>
      <c r="R3" s="7">
        <f>$B3 * IFERROR(VLOOKUP("buildings|PM25|Infant mortality", US_national_yearly!$D:$AM, 26, FALSE) / VLOOKUP("buildings|PM25|Infant mortality", US_national_yearly!$D:$AM, 10, FALSE), 1)</f>
        <v>6.030418021016623E-6</v>
      </c>
      <c r="S3" s="7">
        <f>$B3 * IFERROR(VLOOKUP("buildings|PM25|Infant mortality", US_national_yearly!$D:$AM, 27, FALSE) / VLOOKUP("buildings|PM25|Infant mortality", US_national_yearly!$D:$AM, 10, FALSE), 1)</f>
        <v>5.9980014757979096E-6</v>
      </c>
      <c r="T3" s="7">
        <f>$B3 * IFERROR(VLOOKUP("buildings|PM25|Infant mortality", US_national_yearly!$D:$AM, 28, FALSE) / VLOOKUP("buildings|PM25|Infant mortality", US_national_yearly!$D:$AM, 10, FALSE), 1)</f>
        <v>5.9655849305791972E-6</v>
      </c>
      <c r="U3" s="7">
        <f>$B3 * IFERROR(VLOOKUP("buildings|PM25|Infant mortality", US_national_yearly!$D:$AM, 29, FALSE) / VLOOKUP("buildings|PM25|Infant mortality", US_national_yearly!$D:$AM, 10, FALSE), 1)</f>
        <v>5.933168385360483E-6</v>
      </c>
      <c r="V3" s="7">
        <f>$B3 * IFERROR(VLOOKUP("buildings|PM25|Infant mortality", US_national_yearly!$D:$AM, 30, FALSE) / VLOOKUP("buildings|PM25|Infant mortality", US_national_yearly!$D:$AM, 10, FALSE), 1)</f>
        <v>5.9007518401417706E-6</v>
      </c>
      <c r="W3" s="7">
        <f>$B3 * IFERROR(VLOOKUP("buildings|PM25|Infant mortality", US_national_yearly!$D:$AM, 31, FALSE) / VLOOKUP("buildings|PM25|Infant mortality", US_national_yearly!$D:$AM, 10, FALSE), 1)</f>
        <v>5.8683352949230581E-6</v>
      </c>
      <c r="X3" s="7">
        <f>$B3 * IFERROR(VLOOKUP("buildings|PM25|Infant mortality", US_national_yearly!$D:$AM, 32, FALSE) / VLOOKUP("buildings|PM25|Infant mortality", US_national_yearly!$D:$AM, 10, FALSE), 1)</f>
        <v>5.8334347102406605E-6</v>
      </c>
      <c r="Y3" s="7">
        <f>$B3 * IFERROR(VLOOKUP("buildings|PM25|Infant mortality", US_national_yearly!$D:$AM, 33, FALSE) / VLOOKUP("buildings|PM25|Infant mortality", US_national_yearly!$D:$AM, 10, FALSE), 1)</f>
        <v>5.7985341255582638E-6</v>
      </c>
      <c r="Z3" s="7">
        <f>$B3 * IFERROR(VLOOKUP("buildings|PM25|Infant mortality", US_national_yearly!$D:$AM, 34, FALSE) / VLOOKUP("buildings|PM25|Infant mortality", US_national_yearly!$D:$AM, 10, FALSE), 1)</f>
        <v>5.7636335408758662E-6</v>
      </c>
      <c r="AA3" s="7">
        <f>$B3 * IFERROR(VLOOKUP("buildings|PM25|Infant mortality", US_national_yearly!$D:$AM, 35, FALSE) / VLOOKUP("buildings|PM25|Infant mortality", US_national_yearly!$D:$AM, 10, FALSE), 1)</f>
        <v>5.7287329561934695E-6</v>
      </c>
      <c r="AB3" s="7">
        <f>$B3 * IFERROR(VLOOKUP("buildings|PM25|Infant mortality", US_national_yearly!$D:$AM, 36, FALSE) / VLOOKUP("buildings|PM25|Infant mortality", US_national_yearly!$D:$AM, 10, FALSE), 1)</f>
        <v>5.6938323715110728E-6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2.1134528476863378E-2</v>
      </c>
      <c r="C6" s="7">
        <f>$B6 * IFERROR(VLOOKUP("buildings|PM25|Asthma symptoms cough", US_national_yearly!$D:$AM, 11, FALSE) / VLOOKUP("buildings|PM25|Asthma symptoms cough", US_national_yearly!$D:$AM, 10, FALSE), 1)</f>
        <v>2.1134528476863378E-2</v>
      </c>
      <c r="D6" s="7">
        <f>$B6 * IFERROR(VLOOKUP("buildings|PM25|Asthma symptoms cough", US_national_yearly!$D:$AM, 12, FALSE) / VLOOKUP("buildings|PM25|Asthma symptoms cough", US_national_yearly!$D:$AM, 10, FALSE), 1)</f>
        <v>2.1134528476863378E-2</v>
      </c>
      <c r="E6" s="7">
        <f>$B6 * IFERROR(VLOOKUP("buildings|PM25|Asthma symptoms cough", US_national_yearly!$D:$AM, 13, FALSE) / VLOOKUP("buildings|PM25|Asthma symptoms cough", US_national_yearly!$D:$AM, 10, FALSE), 1)</f>
        <v>2.1134528476863378E-2</v>
      </c>
      <c r="F6" s="7">
        <f>$B6 * IFERROR(VLOOKUP("buildings|PM25|Asthma symptoms cough", US_national_yearly!$D:$AM, 14, FALSE) / VLOOKUP("buildings|PM25|Asthma symptoms cough", US_national_yearly!$D:$AM, 10, FALSE), 1)</f>
        <v>2.1134528476863378E-2</v>
      </c>
      <c r="G6" s="7">
        <f>$B6 * IFERROR(VLOOKUP("buildings|PM25|Asthma symptoms cough", US_national_yearly!$D:$AM, 15, FALSE) / VLOOKUP("buildings|PM25|Asthma symptoms cough", US_national_yearly!$D:$AM, 10, FALSE), 1)</f>
        <v>2.1134528476863378E-2</v>
      </c>
      <c r="H6" s="7">
        <f>$B6 * IFERROR(VLOOKUP("buildings|PM25|Asthma symptoms cough", US_national_yearly!$D:$AM, 16, FALSE) / VLOOKUP("buildings|PM25|Asthma symptoms cough", US_national_yearly!$D:$AM, 10, FALSE), 1)</f>
        <v>2.1134528476863378E-2</v>
      </c>
      <c r="I6" s="7">
        <f>$B6 * IFERROR(VLOOKUP("buildings|PM25|Asthma symptoms cough", US_national_yearly!$D:$AM, 17, FALSE) / VLOOKUP("buildings|PM25|Asthma symptoms cough", US_national_yearly!$D:$AM, 10, FALSE), 1)</f>
        <v>2.1134528476863378E-2</v>
      </c>
      <c r="J6" s="7">
        <f>$B6 * IFERROR(VLOOKUP("buildings|PM25|Asthma symptoms cough", US_national_yearly!$D:$AM, 18, FALSE) / VLOOKUP("buildings|PM25|Asthma symptoms cough", US_national_yearly!$D:$AM, 10, FALSE), 1)</f>
        <v>2.1134528476863378E-2</v>
      </c>
      <c r="K6" s="7">
        <f>$B6 * IFERROR(VLOOKUP("buildings|PM25|Asthma symptoms cough", US_national_yearly!$D:$AM, 19, FALSE) / VLOOKUP("buildings|PM25|Asthma symptoms cough", US_national_yearly!$D:$AM, 10, FALSE), 1)</f>
        <v>2.1134528476863378E-2</v>
      </c>
      <c r="L6" s="7">
        <f>$B6 * IFERROR(VLOOKUP("buildings|PM25|Asthma symptoms cough", US_national_yearly!$D:$AM, 20, FALSE) / VLOOKUP("buildings|PM25|Asthma symptoms cough", US_national_yearly!$D:$AM, 10, FALSE), 1)</f>
        <v>2.1134528476863378E-2</v>
      </c>
      <c r="M6" s="7">
        <f>$B6 * IFERROR(VLOOKUP("buildings|PM25|Asthma symptoms cough", US_national_yearly!$D:$AM, 21, FALSE) / VLOOKUP("buildings|PM25|Asthma symptoms cough", US_national_yearly!$D:$AM, 10, FALSE), 1)</f>
        <v>2.1134528476863378E-2</v>
      </c>
      <c r="N6" s="7">
        <f>$B6 * IFERROR(VLOOKUP("buildings|PM25|Asthma symptoms cough", US_national_yearly!$D:$AM, 22, FALSE) / VLOOKUP("buildings|PM25|Asthma symptoms cough", US_national_yearly!$D:$AM, 10, FALSE), 1)</f>
        <v>2.1134528476863378E-2</v>
      </c>
      <c r="O6" s="7">
        <f>$B6 * IFERROR(VLOOKUP("buildings|PM25|Asthma symptoms cough", US_national_yearly!$D:$AM, 23, FALSE) / VLOOKUP("buildings|PM25|Asthma symptoms cough", US_national_yearly!$D:$AM, 10, FALSE), 1)</f>
        <v>2.1134528476863378E-2</v>
      </c>
      <c r="P6" s="7">
        <f>$B6 * IFERROR(VLOOKUP("buildings|PM25|Asthma symptoms cough", US_national_yearly!$D:$AM, 24, FALSE) / VLOOKUP("buildings|PM25|Asthma symptoms cough", US_national_yearly!$D:$AM, 10, FALSE), 1)</f>
        <v>2.1134528476863378E-2</v>
      </c>
      <c r="Q6" s="7">
        <f>$B6 * IFERROR(VLOOKUP("buildings|PM25|Asthma symptoms cough", US_national_yearly!$D:$AM, 25, FALSE) / VLOOKUP("buildings|PM25|Asthma symptoms cough", US_national_yearly!$D:$AM, 10, FALSE), 1)</f>
        <v>2.1134528476863378E-2</v>
      </c>
      <c r="R6" s="7">
        <f>$B6 * IFERROR(VLOOKUP("buildings|PM25|Asthma symptoms cough", US_national_yearly!$D:$AM, 26, FALSE) / VLOOKUP("buildings|PM25|Asthma symptoms cough", US_national_yearly!$D:$AM, 10, FALSE), 1)</f>
        <v>2.1134528476863378E-2</v>
      </c>
      <c r="S6" s="7">
        <f>$B6 * IFERROR(VLOOKUP("buildings|PM25|Asthma symptoms cough", US_national_yearly!$D:$AM, 27, FALSE) / VLOOKUP("buildings|PM25|Asthma symptoms cough", US_national_yearly!$D:$AM, 10, FALSE), 1)</f>
        <v>2.1134528476863378E-2</v>
      </c>
      <c r="T6" s="7">
        <f>$B6 * IFERROR(VLOOKUP("buildings|PM25|Asthma symptoms cough", US_national_yearly!$D:$AM, 28, FALSE) / VLOOKUP("buildings|PM25|Asthma symptoms cough", US_national_yearly!$D:$AM, 10, FALSE), 1)</f>
        <v>2.1134528476863378E-2</v>
      </c>
      <c r="U6" s="7">
        <f>$B6 * IFERROR(VLOOKUP("buildings|PM25|Asthma symptoms cough", US_national_yearly!$D:$AM, 29, FALSE) / VLOOKUP("buildings|PM25|Asthma symptoms cough", US_national_yearly!$D:$AM, 10, FALSE), 1)</f>
        <v>2.1134528476863378E-2</v>
      </c>
      <c r="V6" s="7">
        <f>$B6 * IFERROR(VLOOKUP("buildings|PM25|Asthma symptoms cough", US_national_yearly!$D:$AM, 30, FALSE) / VLOOKUP("buildings|PM25|Asthma symptoms cough", US_national_yearly!$D:$AM, 10, FALSE), 1)</f>
        <v>2.1134528476863378E-2</v>
      </c>
      <c r="W6" s="7">
        <f>$B6 * IFERROR(VLOOKUP("buildings|PM25|Asthma symptoms cough", US_national_yearly!$D:$AM, 31, FALSE) / VLOOKUP("buildings|PM25|Asthma symptoms cough", US_national_yearly!$D:$AM, 10, FALSE), 1)</f>
        <v>2.1134528476863378E-2</v>
      </c>
      <c r="X6" s="7">
        <f>$B6 * IFERROR(VLOOKUP("buildings|PM25|Asthma symptoms cough", US_national_yearly!$D:$AM, 32, FALSE) / VLOOKUP("buildings|PM25|Asthma symptoms cough", US_national_yearly!$D:$AM, 10, FALSE), 1)</f>
        <v>2.1134528476863378E-2</v>
      </c>
      <c r="Y6" s="7">
        <f>$B6 * IFERROR(VLOOKUP("buildings|PM25|Asthma symptoms cough", US_national_yearly!$D:$AM, 33, FALSE) / VLOOKUP("buildings|PM25|Asthma symptoms cough", US_national_yearly!$D:$AM, 10, FALSE), 1)</f>
        <v>2.1134528476863378E-2</v>
      </c>
      <c r="Z6" s="7">
        <f>$B6 * IFERROR(VLOOKUP("buildings|PM25|Asthma symptoms cough", US_national_yearly!$D:$AM, 34, FALSE) / VLOOKUP("buildings|PM25|Asthma symptoms cough", US_national_yearly!$D:$AM, 10, FALSE), 1)</f>
        <v>2.1134528476863378E-2</v>
      </c>
      <c r="AA6" s="7">
        <f>$B6 * IFERROR(VLOOKUP("buildings|PM25|Asthma symptoms cough", US_national_yearly!$D:$AM, 35, FALSE) / VLOOKUP("buildings|PM25|Asthma symptoms cough", US_national_yearly!$D:$AM, 10, FALSE), 1)</f>
        <v>2.1134528476863378E-2</v>
      </c>
      <c r="AB6" s="7">
        <f>$B6 * IFERROR(VLOOKUP("buildings|PM25|Asthma symptoms cough", US_national_yearly!$D:$AM, 36, FALSE) / VLOOKUP("buildings|PM25|Asthma symptoms cough", US_national_yearly!$D:$AM, 10, FALSE), 1)</f>
        <v>2.1134528476863378E-2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2.8460742823372718E-2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2.8460742823372718E-2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2.8460742823372718E-2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2.8460742823372718E-2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2.8460742823372718E-2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2.8460742823372718E-2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2.8460742823372718E-2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2.8460742823372718E-2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2.8460742823372718E-2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2.8460742823372718E-2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2.8460742823372718E-2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2.8460742823372718E-2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2.8460742823372718E-2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2.8460742823372718E-2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2.8460742823372718E-2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2.8460742823372718E-2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2.8460742823372718E-2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2.8460742823372718E-2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2.8460742823372718E-2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2.8460742823372718E-2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2.8460742823372718E-2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2.8460742823372718E-2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2.8460742823372718E-2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2.8460742823372718E-2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2.8460742823372718E-2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2.8460742823372718E-2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2.8460742823372718E-2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4.3483073278420416E-2</v>
      </c>
      <c r="C8" s="7">
        <f>$B8 * IFERROR(VLOOKUP("buildings|PM25|Asthma symptoms wheeze", US_national_yearly!$D:$AM, 11, FALSE) / VLOOKUP("buildings|PM25|Asthma symptoms wheeze", US_national_yearly!$D:$AM, 10, FALSE), 1)</f>
        <v>4.3483073278420416E-2</v>
      </c>
      <c r="D8" s="7">
        <f>$B8 * IFERROR(VLOOKUP("buildings|PM25|Asthma symptoms wheeze", US_national_yearly!$D:$AM, 12, FALSE) / VLOOKUP("buildings|PM25|Asthma symptoms wheeze", US_national_yearly!$D:$AM, 10, FALSE), 1)</f>
        <v>4.3483073278420416E-2</v>
      </c>
      <c r="E8" s="7">
        <f>$B8 * IFERROR(VLOOKUP("buildings|PM25|Asthma symptoms wheeze", US_national_yearly!$D:$AM, 13, FALSE) / VLOOKUP("buildings|PM25|Asthma symptoms wheeze", US_national_yearly!$D:$AM, 10, FALSE), 1)</f>
        <v>4.3483073278420416E-2</v>
      </c>
      <c r="F8" s="7">
        <f>$B8 * IFERROR(VLOOKUP("buildings|PM25|Asthma symptoms wheeze", US_national_yearly!$D:$AM, 14, FALSE) / VLOOKUP("buildings|PM25|Asthma symptoms wheeze", US_national_yearly!$D:$AM, 10, FALSE), 1)</f>
        <v>4.3483073278420416E-2</v>
      </c>
      <c r="G8" s="7">
        <f>$B8 * IFERROR(VLOOKUP("buildings|PM25|Asthma symptoms wheeze", US_national_yearly!$D:$AM, 15, FALSE) / VLOOKUP("buildings|PM25|Asthma symptoms wheeze", US_national_yearly!$D:$AM, 10, FALSE), 1)</f>
        <v>4.3483073278420416E-2</v>
      </c>
      <c r="H8" s="7">
        <f>$B8 * IFERROR(VLOOKUP("buildings|PM25|Asthma symptoms wheeze", US_national_yearly!$D:$AM, 16, FALSE) / VLOOKUP("buildings|PM25|Asthma symptoms wheeze", US_national_yearly!$D:$AM, 10, FALSE), 1)</f>
        <v>4.3483073278420416E-2</v>
      </c>
      <c r="I8" s="7">
        <f>$B8 * IFERROR(VLOOKUP("buildings|PM25|Asthma symptoms wheeze", US_national_yearly!$D:$AM, 17, FALSE) / VLOOKUP("buildings|PM25|Asthma symptoms wheeze", US_national_yearly!$D:$AM, 10, FALSE), 1)</f>
        <v>4.3483073278420416E-2</v>
      </c>
      <c r="J8" s="7">
        <f>$B8 * IFERROR(VLOOKUP("buildings|PM25|Asthma symptoms wheeze", US_national_yearly!$D:$AM, 18, FALSE) / VLOOKUP("buildings|PM25|Asthma symptoms wheeze", US_national_yearly!$D:$AM, 10, FALSE), 1)</f>
        <v>4.3483073278420416E-2</v>
      </c>
      <c r="K8" s="7">
        <f>$B8 * IFERROR(VLOOKUP("buildings|PM25|Asthma symptoms wheeze", US_national_yearly!$D:$AM, 19, FALSE) / VLOOKUP("buildings|PM25|Asthma symptoms wheeze", US_national_yearly!$D:$AM, 10, FALSE), 1)</f>
        <v>4.3483073278420416E-2</v>
      </c>
      <c r="L8" s="7">
        <f>$B8 * IFERROR(VLOOKUP("buildings|PM25|Asthma symptoms wheeze", US_national_yearly!$D:$AM, 20, FALSE) / VLOOKUP("buildings|PM25|Asthma symptoms wheeze", US_national_yearly!$D:$AM, 10, FALSE), 1)</f>
        <v>4.3483073278420416E-2</v>
      </c>
      <c r="M8" s="7">
        <f>$B8 * IFERROR(VLOOKUP("buildings|PM25|Asthma symptoms wheeze", US_national_yearly!$D:$AM, 21, FALSE) / VLOOKUP("buildings|PM25|Asthma symptoms wheeze", US_national_yearly!$D:$AM, 10, FALSE), 1)</f>
        <v>4.3483073278420416E-2</v>
      </c>
      <c r="N8" s="7">
        <f>$B8 * IFERROR(VLOOKUP("buildings|PM25|Asthma symptoms wheeze", US_national_yearly!$D:$AM, 22, FALSE) / VLOOKUP("buildings|PM25|Asthma symptoms wheeze", US_national_yearly!$D:$AM, 10, FALSE), 1)</f>
        <v>4.3483073278420416E-2</v>
      </c>
      <c r="O8" s="7">
        <f>$B8 * IFERROR(VLOOKUP("buildings|PM25|Asthma symptoms wheeze", US_national_yearly!$D:$AM, 23, FALSE) / VLOOKUP("buildings|PM25|Asthma symptoms wheeze", US_national_yearly!$D:$AM, 10, FALSE), 1)</f>
        <v>4.3483073278420416E-2</v>
      </c>
      <c r="P8" s="7">
        <f>$B8 * IFERROR(VLOOKUP("buildings|PM25|Asthma symptoms wheeze", US_national_yearly!$D:$AM, 24, FALSE) / VLOOKUP("buildings|PM25|Asthma symptoms wheeze", US_national_yearly!$D:$AM, 10, FALSE), 1)</f>
        <v>4.3483073278420416E-2</v>
      </c>
      <c r="Q8" s="7">
        <f>$B8 * IFERROR(VLOOKUP("buildings|PM25|Asthma symptoms wheeze", US_national_yearly!$D:$AM, 25, FALSE) / VLOOKUP("buildings|PM25|Asthma symptoms wheeze", US_national_yearly!$D:$AM, 10, FALSE), 1)</f>
        <v>4.3483073278420416E-2</v>
      </c>
      <c r="R8" s="7">
        <f>$B8 * IFERROR(VLOOKUP("buildings|PM25|Asthma symptoms wheeze", US_national_yearly!$D:$AM, 26, FALSE) / VLOOKUP("buildings|PM25|Asthma symptoms wheeze", US_national_yearly!$D:$AM, 10, FALSE), 1)</f>
        <v>4.3483073278420416E-2</v>
      </c>
      <c r="S8" s="7">
        <f>$B8 * IFERROR(VLOOKUP("buildings|PM25|Asthma symptoms wheeze", US_national_yearly!$D:$AM, 27, FALSE) / VLOOKUP("buildings|PM25|Asthma symptoms wheeze", US_national_yearly!$D:$AM, 10, FALSE), 1)</f>
        <v>4.3483073278420416E-2</v>
      </c>
      <c r="T8" s="7">
        <f>$B8 * IFERROR(VLOOKUP("buildings|PM25|Asthma symptoms wheeze", US_national_yearly!$D:$AM, 28, FALSE) / VLOOKUP("buildings|PM25|Asthma symptoms wheeze", US_national_yearly!$D:$AM, 10, FALSE), 1)</f>
        <v>4.3483073278420416E-2</v>
      </c>
      <c r="U8" s="7">
        <f>$B8 * IFERROR(VLOOKUP("buildings|PM25|Asthma symptoms wheeze", US_national_yearly!$D:$AM, 29, FALSE) / VLOOKUP("buildings|PM25|Asthma symptoms wheeze", US_national_yearly!$D:$AM, 10, FALSE), 1)</f>
        <v>4.3483073278420416E-2</v>
      </c>
      <c r="V8" s="7">
        <f>$B8 * IFERROR(VLOOKUP("buildings|PM25|Asthma symptoms wheeze", US_national_yearly!$D:$AM, 30, FALSE) / VLOOKUP("buildings|PM25|Asthma symptoms wheeze", US_national_yearly!$D:$AM, 10, FALSE), 1)</f>
        <v>4.3483073278420416E-2</v>
      </c>
      <c r="W8" s="7">
        <f>$B8 * IFERROR(VLOOKUP("buildings|PM25|Asthma symptoms wheeze", US_national_yearly!$D:$AM, 31, FALSE) / VLOOKUP("buildings|PM25|Asthma symptoms wheeze", US_national_yearly!$D:$AM, 10, FALSE), 1)</f>
        <v>4.3483073278420416E-2</v>
      </c>
      <c r="X8" s="7">
        <f>$B8 * IFERROR(VLOOKUP("buildings|PM25|Asthma symptoms wheeze", US_national_yearly!$D:$AM, 32, FALSE) / VLOOKUP("buildings|PM25|Asthma symptoms wheeze", US_national_yearly!$D:$AM, 10, FALSE), 1)</f>
        <v>4.3483073278420416E-2</v>
      </c>
      <c r="Y8" s="7">
        <f>$B8 * IFERROR(VLOOKUP("buildings|PM25|Asthma symptoms wheeze", US_national_yearly!$D:$AM, 33, FALSE) / VLOOKUP("buildings|PM25|Asthma symptoms wheeze", US_national_yearly!$D:$AM, 10, FALSE), 1)</f>
        <v>4.3483073278420416E-2</v>
      </c>
      <c r="Z8" s="7">
        <f>$B8 * IFERROR(VLOOKUP("buildings|PM25|Asthma symptoms wheeze", US_national_yearly!$D:$AM, 34, FALSE) / VLOOKUP("buildings|PM25|Asthma symptoms wheeze", US_national_yearly!$D:$AM, 10, FALSE), 1)</f>
        <v>4.3483073278420416E-2</v>
      </c>
      <c r="AA8" s="7">
        <f>$B8 * IFERROR(VLOOKUP("buildings|PM25|Asthma symptoms wheeze", US_national_yearly!$D:$AM, 35, FALSE) / VLOOKUP("buildings|PM25|Asthma symptoms wheeze", US_national_yearly!$D:$AM, 10, FALSE), 1)</f>
        <v>4.3483073278420416E-2</v>
      </c>
      <c r="AB8" s="7">
        <f>$B8 * IFERROR(VLOOKUP("buildings|PM25|Asthma symptoms wheeze", US_national_yearly!$D:$AM, 36, FALSE) / VLOOKUP("buildings|PM25|Asthma symptoms wheeze", US_national_yearly!$D:$AM, 10, FALSE), 1)</f>
        <v>4.3483073278420416E-2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4.8940425292370751E-4</v>
      </c>
      <c r="C12" s="7">
        <f>$B12 * IFERROR(VLOOKUP("buildings|PM25|Respiratory hospital admissions", US_national_yearly!$D:$AM, 11, FALSE) / VLOOKUP("buildings|PM25|Respiratory hospital admissions", US_national_yearly!$D:$AM, 10, FALSE), 1)</f>
        <v>4.9222526040948434E-4</v>
      </c>
      <c r="D12" s="7">
        <f>$B12 * IFERROR(VLOOKUP("buildings|PM25|Respiratory hospital admissions", US_national_yearly!$D:$AM, 12, FALSE) / VLOOKUP("buildings|PM25|Respiratory hospital admissions", US_national_yearly!$D:$AM, 10, FALSE), 1)</f>
        <v>4.9504626789526138E-4</v>
      </c>
      <c r="E12" s="7">
        <f>$B12 * IFERROR(VLOOKUP("buildings|PM25|Respiratory hospital admissions", US_national_yearly!$D:$AM, 13, FALSE) / VLOOKUP("buildings|PM25|Respiratory hospital admissions", US_national_yearly!$D:$AM, 10, FALSE), 1)</f>
        <v>4.9786727538103832E-4</v>
      </c>
      <c r="F12" s="7">
        <f>$B12 * IFERROR(VLOOKUP("buildings|PM25|Respiratory hospital admissions", US_national_yearly!$D:$AM, 14, FALSE) / VLOOKUP("buildings|PM25|Respiratory hospital admissions", US_national_yearly!$D:$AM, 10, FALSE), 1)</f>
        <v>5.0068828286681537E-4</v>
      </c>
      <c r="G12" s="7">
        <f>$B12 * IFERROR(VLOOKUP("buildings|PM25|Respiratory hospital admissions", US_national_yearly!$D:$AM, 15, FALSE) / VLOOKUP("buildings|PM25|Respiratory hospital admissions", US_national_yearly!$D:$AM, 10, FALSE), 1)</f>
        <v>5.0373241130560308E-4</v>
      </c>
      <c r="H12" s="7">
        <f>$B12 * IFERROR(VLOOKUP("buildings|PM25|Respiratory hospital admissions", US_national_yearly!$D:$AM, 16, FALSE) / VLOOKUP("buildings|PM25|Respiratory hospital admissions", US_national_yearly!$D:$AM, 10, FALSE), 1)</f>
        <v>5.0677653974439069E-4</v>
      </c>
      <c r="I12" s="7">
        <f>$B12 * IFERROR(VLOOKUP("buildings|PM25|Respiratory hospital admissions", US_national_yearly!$D:$AM, 17, FALSE) / VLOOKUP("buildings|PM25|Respiratory hospital admissions", US_national_yearly!$D:$AM, 10, FALSE), 1)</f>
        <v>5.0967178116496882E-4</v>
      </c>
      <c r="J12" s="7">
        <f>$B12 * IFERROR(VLOOKUP("buildings|PM25|Respiratory hospital admissions", US_national_yearly!$D:$AM, 18, FALSE) / VLOOKUP("buildings|PM25|Respiratory hospital admissions", US_national_yearly!$D:$AM, 10, FALSE), 1)</f>
        <v>5.1256702258554673E-4</v>
      </c>
      <c r="K12" s="7">
        <f>$B12 * IFERROR(VLOOKUP("buildings|PM25|Respiratory hospital admissions", US_national_yearly!$D:$AM, 19, FALSE) / VLOOKUP("buildings|PM25|Respiratory hospital admissions", US_national_yearly!$D:$AM, 10, FALSE), 1)</f>
        <v>5.1546226400612464E-4</v>
      </c>
      <c r="L12" s="7">
        <f>$B12 * IFERROR(VLOOKUP("buildings|PM25|Respiratory hospital admissions", US_national_yearly!$D:$AM, 20, FALSE) / VLOOKUP("buildings|PM25|Respiratory hospital admissions", US_national_yearly!$D:$AM, 10, FALSE), 1)</f>
        <v>5.1835750542670277E-4</v>
      </c>
      <c r="M12" s="7">
        <f>$B12 * IFERROR(VLOOKUP("buildings|PM25|Respiratory hospital admissions", US_national_yearly!$D:$AM, 21, FALSE) / VLOOKUP("buildings|PM25|Respiratory hospital admissions", US_national_yearly!$D:$AM, 10, FALSE), 1)</f>
        <v>5.2125274684728068E-4</v>
      </c>
      <c r="N12" s="7">
        <f>$B12 * IFERROR(VLOOKUP("buildings|PM25|Respiratory hospital admissions", US_national_yearly!$D:$AM, 22, FALSE) / VLOOKUP("buildings|PM25|Respiratory hospital admissions", US_national_yearly!$D:$AM, 10, FALSE), 1)</f>
        <v>5.2333520973551584E-4</v>
      </c>
      <c r="O12" s="7">
        <f>$B12 * IFERROR(VLOOKUP("buildings|PM25|Respiratory hospital admissions", US_national_yearly!$D:$AM, 23, FALSE) / VLOOKUP("buildings|PM25|Respiratory hospital admissions", US_national_yearly!$D:$AM, 10, FALSE), 1)</f>
        <v>5.25417672623751E-4</v>
      </c>
      <c r="P12" s="7">
        <f>$B12 * IFERROR(VLOOKUP("buildings|PM25|Respiratory hospital admissions", US_national_yearly!$D:$AM, 24, FALSE) / VLOOKUP("buildings|PM25|Respiratory hospital admissions", US_national_yearly!$D:$AM, 10, FALSE), 1)</f>
        <v>5.2750013551198605E-4</v>
      </c>
      <c r="Q12" s="7">
        <f>$B12 * IFERROR(VLOOKUP("buildings|PM25|Respiratory hospital admissions", US_national_yearly!$D:$AM, 25, FALSE) / VLOOKUP("buildings|PM25|Respiratory hospital admissions", US_national_yearly!$D:$AM, 10, FALSE), 1)</f>
        <v>5.295825984002211E-4</v>
      </c>
      <c r="R12" s="7">
        <f>$B12 * IFERROR(VLOOKUP("buildings|PM25|Respiratory hospital admissions", US_national_yearly!$D:$AM, 26, FALSE) / VLOOKUP("buildings|PM25|Respiratory hospital admissions", US_national_yearly!$D:$AM, 10, FALSE), 1)</f>
        <v>5.3166506128845626E-4</v>
      </c>
      <c r="S12" s="7">
        <f>$B12 * IFERROR(VLOOKUP("buildings|PM25|Respiratory hospital admissions", US_national_yearly!$D:$AM, 27, FALSE) / VLOOKUP("buildings|PM25|Respiratory hospital admissions", US_national_yearly!$D:$AM, 10, FALSE), 1)</f>
        <v>5.3364917551458949E-4</v>
      </c>
      <c r="T12" s="7">
        <f>$B12 * IFERROR(VLOOKUP("buildings|PM25|Respiratory hospital admissions", US_national_yearly!$D:$AM, 28, FALSE) / VLOOKUP("buildings|PM25|Respiratory hospital admissions", US_national_yearly!$D:$AM, 10, FALSE), 1)</f>
        <v>5.3563328974072283E-4</v>
      </c>
      <c r="U12" s="7">
        <f>$B12 * IFERROR(VLOOKUP("buildings|PM25|Respiratory hospital admissions", US_national_yearly!$D:$AM, 29, FALSE) / VLOOKUP("buildings|PM25|Respiratory hospital admissions", US_national_yearly!$D:$AM, 10, FALSE), 1)</f>
        <v>5.3761740396685595E-4</v>
      </c>
      <c r="V12" s="7">
        <f>$B12 * IFERROR(VLOOKUP("buildings|PM25|Respiratory hospital admissions", US_national_yearly!$D:$AM, 30, FALSE) / VLOOKUP("buildings|PM25|Respiratory hospital admissions", US_national_yearly!$D:$AM, 10, FALSE), 1)</f>
        <v>5.3960151819298918E-4</v>
      </c>
      <c r="W12" s="7">
        <f>$B12 * IFERROR(VLOOKUP("buildings|PM25|Respiratory hospital admissions", US_national_yearly!$D:$AM, 31, FALSE) / VLOOKUP("buildings|PM25|Respiratory hospital admissions", US_national_yearly!$D:$AM, 10, FALSE), 1)</f>
        <v>5.4158563241912252E-4</v>
      </c>
      <c r="X12" s="7">
        <f>$B12 * IFERROR(VLOOKUP("buildings|PM25|Respiratory hospital admissions", US_national_yearly!$D:$AM, 32, FALSE) / VLOOKUP("buildings|PM25|Respiratory hospital admissions", US_national_yearly!$D:$AM, 10, FALSE), 1)</f>
        <v>5.4350197224382446E-4</v>
      </c>
      <c r="Y12" s="7">
        <f>$B12 * IFERROR(VLOOKUP("buildings|PM25|Respiratory hospital admissions", US_national_yearly!$D:$AM, 33, FALSE) / VLOOKUP("buildings|PM25|Respiratory hospital admissions", US_national_yearly!$D:$AM, 10, FALSE), 1)</f>
        <v>5.454183120685265E-4</v>
      </c>
      <c r="Z12" s="7">
        <f>$B12 * IFERROR(VLOOKUP("buildings|PM25|Respiratory hospital admissions", US_national_yearly!$D:$AM, 34, FALSE) / VLOOKUP("buildings|PM25|Respiratory hospital admissions", US_national_yearly!$D:$AM, 10, FALSE), 1)</f>
        <v>5.4733465189322843E-4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5.4925099171793047E-4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5.5116733154263241E-4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2.7957756520568117E-3</v>
      </c>
      <c r="C13" s="7">
        <f>$B13 * IFERROR(VLOOKUP("buildings|PM25|Non-fatal heart attacks", US_national_yearly!$D:$AM, 11, FALSE) / VLOOKUP("buildings|PM25|Non-fatal heart attacks", US_national_yearly!$D:$AM, 10, FALSE), 1)</f>
        <v>2.8770947429978188E-3</v>
      </c>
      <c r="D13" s="7">
        <f>$B13 * IFERROR(VLOOKUP("buildings|PM25|Non-fatal heart attacks", US_national_yearly!$D:$AM, 12, FALSE) / VLOOKUP("buildings|PM25|Non-fatal heart attacks", US_national_yearly!$D:$AM, 10, FALSE), 1)</f>
        <v>2.9584138339388251E-3</v>
      </c>
      <c r="E13" s="7">
        <f>$B13 * IFERROR(VLOOKUP("buildings|PM25|Non-fatal heart attacks", US_national_yearly!$D:$AM, 13, FALSE) / VLOOKUP("buildings|PM25|Non-fatal heart attacks", US_national_yearly!$D:$AM, 10, FALSE), 1)</f>
        <v>3.0397329248798314E-3</v>
      </c>
      <c r="F13" s="7">
        <f>$B13 * IFERROR(VLOOKUP("buildings|PM25|Non-fatal heart attacks", US_national_yearly!$D:$AM, 14, FALSE) / VLOOKUP("buildings|PM25|Non-fatal heart attacks", US_national_yearly!$D:$AM, 10, FALSE), 1)</f>
        <v>3.1210520158208386E-3</v>
      </c>
      <c r="G13" s="7">
        <f>$B13 * IFERROR(VLOOKUP("buildings|PM25|Non-fatal heart attacks", US_national_yearly!$D:$AM, 15, FALSE) / VLOOKUP("buildings|PM25|Non-fatal heart attacks", US_national_yearly!$D:$AM, 10, FALSE), 1)</f>
        <v>3.1977812226772206E-3</v>
      </c>
      <c r="H13" s="7">
        <f>$B13 * IFERROR(VLOOKUP("buildings|PM25|Non-fatal heart attacks", US_national_yearly!$D:$AM, 16, FALSE) / VLOOKUP("buildings|PM25|Non-fatal heart attacks", US_national_yearly!$D:$AM, 10, FALSE), 1)</f>
        <v>3.2745104295336014E-3</v>
      </c>
      <c r="I13" s="7">
        <f>$B13 * IFERROR(VLOOKUP("buildings|PM25|Non-fatal heart attacks", US_national_yearly!$D:$AM, 17, FALSE) / VLOOKUP("buildings|PM25|Non-fatal heart attacks", US_national_yearly!$D:$AM, 10, FALSE), 1)</f>
        <v>3.3362450359181724E-3</v>
      </c>
      <c r="J13" s="7">
        <f>$B13 * IFERROR(VLOOKUP("buildings|PM25|Non-fatal heart attacks", US_national_yearly!$D:$AM, 18, FALSE) / VLOOKUP("buildings|PM25|Non-fatal heart attacks", US_national_yearly!$D:$AM, 10, FALSE), 1)</f>
        <v>3.3979796423027429E-3</v>
      </c>
      <c r="K13" s="7">
        <f>$B13 * IFERROR(VLOOKUP("buildings|PM25|Non-fatal heart attacks", US_national_yearly!$D:$AM, 19, FALSE) / VLOOKUP("buildings|PM25|Non-fatal heart attacks", US_national_yearly!$D:$AM, 10, FALSE), 1)</f>
        <v>3.4597142486873129E-3</v>
      </c>
      <c r="L13" s="7">
        <f>$B13 * IFERROR(VLOOKUP("buildings|PM25|Non-fatal heart attacks", US_national_yearly!$D:$AM, 20, FALSE) / VLOOKUP("buildings|PM25|Non-fatal heart attacks", US_national_yearly!$D:$AM, 10, FALSE), 1)</f>
        <v>3.521448855071883E-3</v>
      </c>
      <c r="M13" s="7">
        <f>$B13 * IFERROR(VLOOKUP("buildings|PM25|Non-fatal heart attacks", US_national_yearly!$D:$AM, 21, FALSE) / VLOOKUP("buildings|PM25|Non-fatal heart attacks", US_national_yearly!$D:$AM, 10, FALSE), 1)</f>
        <v>3.5831834614564531E-3</v>
      </c>
      <c r="N13" s="7">
        <f>$B13 * IFERROR(VLOOKUP("buildings|PM25|Non-fatal heart attacks", US_national_yearly!$D:$AM, 22, FALSE) / VLOOKUP("buildings|PM25|Non-fatal heart attacks", US_national_yearly!$D:$AM, 10, FALSE), 1)</f>
        <v>3.6230649816778593E-3</v>
      </c>
      <c r="O13" s="7">
        <f>$B13 * IFERROR(VLOOKUP("buildings|PM25|Non-fatal heart attacks", US_national_yearly!$D:$AM, 23, FALSE) / VLOOKUP("buildings|PM25|Non-fatal heart attacks", US_national_yearly!$D:$AM, 10, FALSE), 1)</f>
        <v>3.662946501899265E-3</v>
      </c>
      <c r="P13" s="7">
        <f>$B13 * IFERROR(VLOOKUP("buildings|PM25|Non-fatal heart attacks", US_national_yearly!$D:$AM, 24, FALSE) / VLOOKUP("buildings|PM25|Non-fatal heart attacks", US_national_yearly!$D:$AM, 10, FALSE), 1)</f>
        <v>3.7028280221206708E-3</v>
      </c>
      <c r="Q13" s="7">
        <f>$B13 * IFERROR(VLOOKUP("buildings|PM25|Non-fatal heart attacks", US_national_yearly!$D:$AM, 25, FALSE) / VLOOKUP("buildings|PM25|Non-fatal heart attacks", US_national_yearly!$D:$AM, 10, FALSE), 1)</f>
        <v>3.7427095423420769E-3</v>
      </c>
      <c r="R13" s="7">
        <f>$B13 * IFERROR(VLOOKUP("buildings|PM25|Non-fatal heart attacks", US_national_yearly!$D:$AM, 26, FALSE) / VLOOKUP("buildings|PM25|Non-fatal heart attacks", US_national_yearly!$D:$AM, 10, FALSE), 1)</f>
        <v>3.7825910625634827E-3</v>
      </c>
      <c r="S13" s="7">
        <f>$B13 * IFERROR(VLOOKUP("buildings|PM25|Non-fatal heart attacks", US_national_yearly!$D:$AM, 27, FALSE) / VLOOKUP("buildings|PM25|Non-fatal heart attacks", US_national_yearly!$D:$AM, 10, FALSE), 1)</f>
        <v>3.803684779153623E-3</v>
      </c>
      <c r="T13" s="7">
        <f>$B13 * IFERROR(VLOOKUP("buildings|PM25|Non-fatal heart attacks", US_national_yearly!$D:$AM, 28, FALSE) / VLOOKUP("buildings|PM25|Non-fatal heart attacks", US_national_yearly!$D:$AM, 10, FALSE), 1)</f>
        <v>3.8247784957437642E-3</v>
      </c>
      <c r="U13" s="7">
        <f>$B13 * IFERROR(VLOOKUP("buildings|PM25|Non-fatal heart attacks", US_national_yearly!$D:$AM, 29, FALSE) / VLOOKUP("buildings|PM25|Non-fatal heart attacks", US_national_yearly!$D:$AM, 10, FALSE), 1)</f>
        <v>3.845872212333905E-3</v>
      </c>
      <c r="V13" s="7">
        <f>$B13 * IFERROR(VLOOKUP("buildings|PM25|Non-fatal heart attacks", US_national_yearly!$D:$AM, 30, FALSE) / VLOOKUP("buildings|PM25|Non-fatal heart attacks", US_national_yearly!$D:$AM, 10, FALSE), 1)</f>
        <v>3.8669659289240457E-3</v>
      </c>
      <c r="W13" s="7">
        <f>$B13 * IFERROR(VLOOKUP("buildings|PM25|Non-fatal heart attacks", US_national_yearly!$D:$AM, 31, FALSE) / VLOOKUP("buildings|PM25|Non-fatal heart attacks", US_national_yearly!$D:$AM, 10, FALSE), 1)</f>
        <v>3.8880596455141865E-3</v>
      </c>
      <c r="X13" s="7">
        <f>$B13 * IFERROR(VLOOKUP("buildings|PM25|Non-fatal heart attacks", US_national_yearly!$D:$AM, 32, FALSE) / VLOOKUP("buildings|PM25|Non-fatal heart attacks", US_national_yearly!$D:$AM, 10, FALSE), 1)</f>
        <v>3.9041135044889643E-3</v>
      </c>
      <c r="Y13" s="7">
        <f>$B13 * IFERROR(VLOOKUP("buildings|PM25|Non-fatal heart attacks", US_national_yearly!$D:$AM, 33, FALSE) / VLOOKUP("buildings|PM25|Non-fatal heart attacks", US_national_yearly!$D:$AM, 10, FALSE), 1)</f>
        <v>3.9201673634637422E-3</v>
      </c>
      <c r="Z13" s="7">
        <f>$B13 * IFERROR(VLOOKUP("buildings|PM25|Non-fatal heart attacks", US_national_yearly!$D:$AM, 34, FALSE) / VLOOKUP("buildings|PM25|Non-fatal heart attacks", US_national_yearly!$D:$AM, 10, FALSE), 1)</f>
        <v>3.9362212224385192E-3</v>
      </c>
      <c r="AA13" s="7">
        <f>$B13 * IFERROR(VLOOKUP("buildings|PM25|Non-fatal heart attacks", US_national_yearly!$D:$AM, 35, FALSE) / VLOOKUP("buildings|PM25|Non-fatal heart attacks", US_national_yearly!$D:$AM, 10, FALSE), 1)</f>
        <v>3.9522750814132961E-3</v>
      </c>
      <c r="AB13" s="7">
        <f>$B13 * IFERROR(VLOOKUP("buildings|PM25|Non-fatal heart attacks", US_national_yearly!$D:$AM, 36, FALSE) / VLOOKUP("buildings|PM25|Non-fatal heart attacks", US_national_yearly!$D:$AM, 10, FALSE), 1)</f>
        <v>3.9683289403880748E-3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2.5437999292602615</v>
      </c>
      <c r="C14" s="7">
        <f>$B14 * IFERROR(VLOOKUP("buildings|PM25|Minor restricted activity days", US_national_yearly!$D:$AM, 11, FALSE) / VLOOKUP("buildings|PM25|Minor restricted activity days", US_national_yearly!$D:$AM, 10, FALSE), 1)</f>
        <v>2.5501265022960045</v>
      </c>
      <c r="D14" s="7">
        <f>$B14 * IFERROR(VLOOKUP("buildings|PM25|Minor restricted activity days", US_national_yearly!$D:$AM, 12, FALSE) / VLOOKUP("buildings|PM25|Minor restricted activity days", US_national_yearly!$D:$AM, 10, FALSE), 1)</f>
        <v>2.5564530753317469</v>
      </c>
      <c r="E14" s="7">
        <f>$B14 * IFERROR(VLOOKUP("buildings|PM25|Minor restricted activity days", US_national_yearly!$D:$AM, 13, FALSE) / VLOOKUP("buildings|PM25|Minor restricted activity days", US_national_yearly!$D:$AM, 10, FALSE), 1)</f>
        <v>2.5627796483674898</v>
      </c>
      <c r="F14" s="7">
        <f>$B14 * IFERROR(VLOOKUP("buildings|PM25|Minor restricted activity days", US_national_yearly!$D:$AM, 14, FALSE) / VLOOKUP("buildings|PM25|Minor restricted activity days", US_national_yearly!$D:$AM, 10, FALSE), 1)</f>
        <v>2.5691062214032323</v>
      </c>
      <c r="G14" s="7">
        <f>$B14 * IFERROR(VLOOKUP("buildings|PM25|Minor restricted activity days", US_national_yearly!$D:$AM, 15, FALSE) / VLOOKUP("buildings|PM25|Minor restricted activity days", US_national_yearly!$D:$AM, 10, FALSE), 1)</f>
        <v>2.5783853831617369</v>
      </c>
      <c r="H14" s="7">
        <f>$B14 * IFERROR(VLOOKUP("buildings|PM25|Minor restricted activity days", US_national_yearly!$D:$AM, 16, FALSE) / VLOOKUP("buildings|PM25|Minor restricted activity days", US_national_yearly!$D:$AM, 10, FALSE), 1)</f>
        <v>2.5876645449202402</v>
      </c>
      <c r="I14" s="7">
        <f>$B14 * IFERROR(VLOOKUP("buildings|PM25|Minor restricted activity days", US_national_yearly!$D:$AM, 17, FALSE) / VLOOKUP("buildings|PM25|Minor restricted activity days", US_national_yearly!$D:$AM, 10, FALSE), 1)</f>
        <v>2.6034432853362444</v>
      </c>
      <c r="J14" s="7">
        <f>$B14 * IFERROR(VLOOKUP("buildings|PM25|Minor restricted activity days", US_national_yearly!$D:$AM, 18, FALSE) / VLOOKUP("buildings|PM25|Minor restricted activity days", US_national_yearly!$D:$AM, 10, FALSE), 1)</f>
        <v>2.6192220257522494</v>
      </c>
      <c r="K14" s="7">
        <f>$B14 * IFERROR(VLOOKUP("buildings|PM25|Minor restricted activity days", US_national_yearly!$D:$AM, 19, FALSE) / VLOOKUP("buildings|PM25|Minor restricted activity days", US_national_yearly!$D:$AM, 10, FALSE), 1)</f>
        <v>2.6350007661682522</v>
      </c>
      <c r="L14" s="7">
        <f>$B14 * IFERROR(VLOOKUP("buildings|PM25|Minor restricted activity days", US_national_yearly!$D:$AM, 20, FALSE) / VLOOKUP("buildings|PM25|Minor restricted activity days", US_national_yearly!$D:$AM, 10, FALSE), 1)</f>
        <v>2.6507795065842554</v>
      </c>
      <c r="M14" s="7">
        <f>$B14 * IFERROR(VLOOKUP("buildings|PM25|Minor restricted activity days", US_national_yearly!$D:$AM, 21, FALSE) / VLOOKUP("buildings|PM25|Minor restricted activity days", US_national_yearly!$D:$AM, 10, FALSE), 1)</f>
        <v>2.6665582470002591</v>
      </c>
      <c r="N14" s="7">
        <f>$B14 * IFERROR(VLOOKUP("buildings|PM25|Minor restricted activity days", US_national_yearly!$D:$AM, 22, FALSE) / VLOOKUP("buildings|PM25|Minor restricted activity days", US_national_yearly!$D:$AM, 10, FALSE), 1)</f>
        <v>2.6879977483883919</v>
      </c>
      <c r="O14" s="7">
        <f>$B14 * IFERROR(VLOOKUP("buildings|PM25|Minor restricted activity days", US_national_yearly!$D:$AM, 23, FALSE) / VLOOKUP("buildings|PM25|Minor restricted activity days", US_national_yearly!$D:$AM, 10, FALSE), 1)</f>
        <v>2.7094372497765238</v>
      </c>
      <c r="P14" s="7">
        <f>$B14 * IFERROR(VLOOKUP("buildings|PM25|Minor restricted activity days", US_national_yearly!$D:$AM, 24, FALSE) / VLOOKUP("buildings|PM25|Minor restricted activity days", US_national_yearly!$D:$AM, 10, FALSE), 1)</f>
        <v>2.7308767511646561</v>
      </c>
      <c r="Q14" s="7">
        <f>$B14 * IFERROR(VLOOKUP("buildings|PM25|Minor restricted activity days", US_national_yearly!$D:$AM, 25, FALSE) / VLOOKUP("buildings|PM25|Minor restricted activity days", US_national_yearly!$D:$AM, 10, FALSE), 1)</f>
        <v>2.7523162525527884</v>
      </c>
      <c r="R14" s="7">
        <f>$B14 * IFERROR(VLOOKUP("buildings|PM25|Minor restricted activity days", US_national_yearly!$D:$AM, 26, FALSE) / VLOOKUP("buildings|PM25|Minor restricted activity days", US_national_yearly!$D:$AM, 10, FALSE), 1)</f>
        <v>2.7737557539409203</v>
      </c>
      <c r="S14" s="7">
        <f>$B14 * IFERROR(VLOOKUP("buildings|PM25|Minor restricted activity days", US_national_yearly!$D:$AM, 27, FALSE) / VLOOKUP("buildings|PM25|Minor restricted activity days", US_national_yearly!$D:$AM, 10, FALSE), 1)</f>
        <v>2.7953281170789293</v>
      </c>
      <c r="T14" s="7">
        <f>$B14 * IFERROR(VLOOKUP("buildings|PM25|Minor restricted activity days", US_national_yearly!$D:$AM, 28, FALSE) / VLOOKUP("buildings|PM25|Minor restricted activity days", US_national_yearly!$D:$AM, 10, FALSE), 1)</f>
        <v>2.8169004802169373</v>
      </c>
      <c r="U14" s="7">
        <f>$B14 * IFERROR(VLOOKUP("buildings|PM25|Minor restricted activity days", US_national_yearly!$D:$AM, 29, FALSE) / VLOOKUP("buildings|PM25|Minor restricted activity days", US_national_yearly!$D:$AM, 10, FALSE), 1)</f>
        <v>2.8384728433549458</v>
      </c>
      <c r="V14" s="7">
        <f>$B14 * IFERROR(VLOOKUP("buildings|PM25|Minor restricted activity days", US_national_yearly!$D:$AM, 30, FALSE) / VLOOKUP("buildings|PM25|Minor restricted activity days", US_national_yearly!$D:$AM, 10, FALSE), 1)</f>
        <v>2.8600452064929538</v>
      </c>
      <c r="W14" s="7">
        <f>$B14 * IFERROR(VLOOKUP("buildings|PM25|Minor restricted activity days", US_national_yearly!$D:$AM, 31, FALSE) / VLOOKUP("buildings|PM25|Minor restricted activity days", US_national_yearly!$D:$AM, 10, FALSE), 1)</f>
        <v>2.8816175696309623</v>
      </c>
      <c r="X14" s="7">
        <f>$B14 * IFERROR(VLOOKUP("buildings|PM25|Minor restricted activity days", US_national_yearly!$D:$AM, 32, FALSE) / VLOOKUP("buildings|PM25|Minor restricted activity days", US_national_yearly!$D:$AM, 10, FALSE), 1)</f>
        <v>2.9003489731409546</v>
      </c>
      <c r="Y14" s="7">
        <f>$B14 * IFERROR(VLOOKUP("buildings|PM25|Minor restricted activity days", US_national_yearly!$D:$AM, 33, FALSE) / VLOOKUP("buildings|PM25|Minor restricted activity days", US_national_yearly!$D:$AM, 10, FALSE), 1)</f>
        <v>2.9190803766509461</v>
      </c>
      <c r="Z14" s="7">
        <f>$B14 * IFERROR(VLOOKUP("buildings|PM25|Minor restricted activity days", US_national_yearly!$D:$AM, 34, FALSE) / VLOOKUP("buildings|PM25|Minor restricted activity days", US_national_yearly!$D:$AM, 10, FALSE), 1)</f>
        <v>2.9378117801609367</v>
      </c>
      <c r="AA14" s="7">
        <f>$B14 * IFERROR(VLOOKUP("buildings|PM25|Minor restricted activity days", US_national_yearly!$D:$AM, 35, FALSE) / VLOOKUP("buildings|PM25|Minor restricted activity days", US_national_yearly!$D:$AM, 10, FALSE), 1)</f>
        <v>2.9565431836709282</v>
      </c>
      <c r="AB14" s="7">
        <f>$B14 * IFERROR(VLOOKUP("buildings|PM25|Minor restricted activity days", US_national_yearly!$D:$AM, 36, FALSE) / VLOOKUP("buildings|PM25|Minor restricted activity days", US_national_yearly!$D:$AM, 10, FALSE), 1)</f>
        <v>2.9752745871809201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0.43228109834009526</v>
      </c>
      <c r="C15" s="7">
        <f>$B15 * IFERROR(VLOOKUP("buildings|PM25|Work loss days", US_national_yearly!$D:$AM, 11, FALSE) / VLOOKUP("buildings|PM25|Work loss days", US_national_yearly!$D:$AM, 10, FALSE), 1)</f>
        <v>0.43363768965247945</v>
      </c>
      <c r="D15" s="7">
        <f>$B15 * IFERROR(VLOOKUP("buildings|PM25|Work loss days", US_national_yearly!$D:$AM, 12, FALSE) / VLOOKUP("buildings|PM25|Work loss days", US_national_yearly!$D:$AM, 10, FALSE), 1)</f>
        <v>0.43499428096486359</v>
      </c>
      <c r="E15" s="7">
        <f>$B15 * IFERROR(VLOOKUP("buildings|PM25|Work loss days", US_national_yearly!$D:$AM, 13, FALSE) / VLOOKUP("buildings|PM25|Work loss days", US_national_yearly!$D:$AM, 10, FALSE), 1)</f>
        <v>0.43635087227724773</v>
      </c>
      <c r="F15" s="7">
        <f>$B15 * IFERROR(VLOOKUP("buildings|PM25|Work loss days", US_national_yearly!$D:$AM, 14, FALSE) / VLOOKUP("buildings|PM25|Work loss days", US_national_yearly!$D:$AM, 10, FALSE), 1)</f>
        <v>0.43770746358963181</v>
      </c>
      <c r="G15" s="7">
        <f>$B15 * IFERROR(VLOOKUP("buildings|PM25|Work loss days", US_national_yearly!$D:$AM, 15, FALSE) / VLOOKUP("buildings|PM25|Work loss days", US_national_yearly!$D:$AM, 10, FALSE), 1)</f>
        <v>0.43948065000467845</v>
      </c>
      <c r="H15" s="7">
        <f>$B15 * IFERROR(VLOOKUP("buildings|PM25|Work loss days", US_national_yearly!$D:$AM, 16, FALSE) / VLOOKUP("buildings|PM25|Work loss days", US_national_yearly!$D:$AM, 10, FALSE), 1)</f>
        <v>0.44125383641972504</v>
      </c>
      <c r="I15" s="7">
        <f>$B15 * IFERROR(VLOOKUP("buildings|PM25|Work loss days", US_national_yearly!$D:$AM, 17, FALSE) / VLOOKUP("buildings|PM25|Work loss days", US_national_yearly!$D:$AM, 10, FALSE), 1)</f>
        <v>0.44385805556040675</v>
      </c>
      <c r="J15" s="7">
        <f>$B15 * IFERROR(VLOOKUP("buildings|PM25|Work loss days", US_national_yearly!$D:$AM, 18, FALSE) / VLOOKUP("buildings|PM25|Work loss days", US_national_yearly!$D:$AM, 10, FALSE), 1)</f>
        <v>0.44646227470108851</v>
      </c>
      <c r="K15" s="7">
        <f>$B15 * IFERROR(VLOOKUP("buildings|PM25|Work loss days", US_national_yearly!$D:$AM, 19, FALSE) / VLOOKUP("buildings|PM25|Work loss days", US_national_yearly!$D:$AM, 10, FALSE), 1)</f>
        <v>0.44906649384177028</v>
      </c>
      <c r="L15" s="7">
        <f>$B15 * IFERROR(VLOOKUP("buildings|PM25|Work loss days", US_national_yearly!$D:$AM, 20, FALSE) / VLOOKUP("buildings|PM25|Work loss days", US_national_yearly!$D:$AM, 10, FALSE), 1)</f>
        <v>0.45167071298245198</v>
      </c>
      <c r="M15" s="7">
        <f>$B15 * IFERROR(VLOOKUP("buildings|PM25|Work loss days", US_national_yearly!$D:$AM, 21, FALSE) / VLOOKUP("buildings|PM25|Work loss days", US_national_yearly!$D:$AM, 10, FALSE), 1)</f>
        <v>0.4542749321231338</v>
      </c>
      <c r="N15" s="7">
        <f>$B15 * IFERROR(VLOOKUP("buildings|PM25|Work loss days", US_national_yearly!$D:$AM, 22, FALSE) / VLOOKUP("buildings|PM25|Work loss days", US_national_yearly!$D:$AM, 10, FALSE), 1)</f>
        <v>0.45754912681678406</v>
      </c>
      <c r="O15" s="7">
        <f>$B15 * IFERROR(VLOOKUP("buildings|PM25|Work loss days", US_national_yearly!$D:$AM, 23, FALSE) / VLOOKUP("buildings|PM25|Work loss days", US_national_yearly!$D:$AM, 10, FALSE), 1)</f>
        <v>0.46082332151043437</v>
      </c>
      <c r="P15" s="7">
        <f>$B15 * IFERROR(VLOOKUP("buildings|PM25|Work loss days", US_national_yearly!$D:$AM, 24, FALSE) / VLOOKUP("buildings|PM25|Work loss days", US_national_yearly!$D:$AM, 10, FALSE), 1)</f>
        <v>0.46409751620408457</v>
      </c>
      <c r="Q15" s="7">
        <f>$B15 * IFERROR(VLOOKUP("buildings|PM25|Work loss days", US_national_yearly!$D:$AM, 25, FALSE) / VLOOKUP("buildings|PM25|Work loss days", US_national_yearly!$D:$AM, 10, FALSE), 1)</f>
        <v>0.46737171089773477</v>
      </c>
      <c r="R15" s="7">
        <f>$B15 * IFERROR(VLOOKUP("buildings|PM25|Work loss days", US_national_yearly!$D:$AM, 26, FALSE) / VLOOKUP("buildings|PM25|Work loss days", US_national_yearly!$D:$AM, 10, FALSE), 1)</f>
        <v>0.47064590559138508</v>
      </c>
      <c r="S15" s="7">
        <f>$B15 * IFERROR(VLOOKUP("buildings|PM25|Work loss days", US_national_yearly!$D:$AM, 27, FALSE) / VLOOKUP("buildings|PM25|Work loss days", US_national_yearly!$D:$AM, 10, FALSE), 1)</f>
        <v>0.47426266055860394</v>
      </c>
      <c r="T15" s="7">
        <f>$B15 * IFERROR(VLOOKUP("buildings|PM25|Work loss days", US_national_yearly!$D:$AM, 28, FALSE) / VLOOKUP("buildings|PM25|Work loss days", US_national_yearly!$D:$AM, 10, FALSE), 1)</f>
        <v>0.47787941552582297</v>
      </c>
      <c r="U15" s="7">
        <f>$B15 * IFERROR(VLOOKUP("buildings|PM25|Work loss days", US_national_yearly!$D:$AM, 29, FALSE) / VLOOKUP("buildings|PM25|Work loss days", US_national_yearly!$D:$AM, 10, FALSE), 1)</f>
        <v>0.48149617049304194</v>
      </c>
      <c r="V15" s="7">
        <f>$B15 * IFERROR(VLOOKUP("buildings|PM25|Work loss days", US_national_yearly!$D:$AM, 30, FALSE) / VLOOKUP("buildings|PM25|Work loss days", US_national_yearly!$D:$AM, 10, FALSE), 1)</f>
        <v>0.4851129254602608</v>
      </c>
      <c r="W15" s="7">
        <f>$B15 * IFERROR(VLOOKUP("buildings|PM25|Work loss days", US_national_yearly!$D:$AM, 31, FALSE) / VLOOKUP("buildings|PM25|Work loss days", US_national_yearly!$D:$AM, 10, FALSE), 1)</f>
        <v>0.48872968042747977</v>
      </c>
      <c r="X15" s="7">
        <f>$B15 * IFERROR(VLOOKUP("buildings|PM25|Work loss days", US_national_yearly!$D:$AM, 32, FALSE) / VLOOKUP("buildings|PM25|Work loss days", US_national_yearly!$D:$AM, 10, FALSE), 1)</f>
        <v>0.49193920575010258</v>
      </c>
      <c r="Y15" s="7">
        <f>$B15 * IFERROR(VLOOKUP("buildings|PM25|Work loss days", US_national_yearly!$D:$AM, 33, FALSE) / VLOOKUP("buildings|PM25|Work loss days", US_national_yearly!$D:$AM, 10, FALSE), 1)</f>
        <v>0.4951487310727255</v>
      </c>
      <c r="Z15" s="7">
        <f>$B15 * IFERROR(VLOOKUP("buildings|PM25|Work loss days", US_national_yearly!$D:$AM, 34, FALSE) / VLOOKUP("buildings|PM25|Work loss days", US_national_yearly!$D:$AM, 10, FALSE), 1)</f>
        <v>0.49835825639534836</v>
      </c>
      <c r="AA15" s="7">
        <f>$B15 * IFERROR(VLOOKUP("buildings|PM25|Work loss days", US_national_yearly!$D:$AM, 35, FALSE) / VLOOKUP("buildings|PM25|Work loss days", US_national_yearly!$D:$AM, 10, FALSE), 1)</f>
        <v>0.50156778171797123</v>
      </c>
      <c r="AB15" s="7">
        <f>$B15 * IFERROR(VLOOKUP("buildings|PM25|Work loss days", US_national_yearly!$D:$AM, 36, FALSE) / VLOOKUP("buildings|PM25|Work loss days", US_national_yearly!$D:$AM, 10, FALSE), 1)</f>
        <v>0.50477730704059409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8.3590821123423562E-4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8.60890453848268E-4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8.8587269646230027E-4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9.1085493907633243E-4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9.358371816903647E-4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9.5977395170822463E-4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9.8371072172608455E-4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1.0042027992383056E-3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1.0246948767505266E-3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1.0451869542627478E-3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1.0656790317749691E-3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1.0861711092871903E-3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1.0998547104295946E-3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1.1135383115719992E-3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1.1272219127144037E-3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1.1409055138568082E-3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1.1545891149992125E-3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1.1618601214263104E-3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1.1691311278534081E-3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1.1764021342805062E-3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1.1836731407076039E-3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1.190944147134702E-3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1.1958604853587141E-3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1.2007768235827259E-3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1.205693161806738E-3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1.2106095000307497E-3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1.2155258382547619E-3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5.6042401823237894E-4</v>
      </c>
      <c r="C2" s="7">
        <f>$B2 * IFERROR(VLOOKUP("buildings|NOx|Premature mortality", US_national_yearly!$D:$AM, 11, FALSE) / VLOOKUP("buildings|NOx|Premature mortality", US_national_yearly!$D:$AM, 10, FALSE), 1)</f>
        <v>5.6866711798767011E-4</v>
      </c>
      <c r="D2" s="7">
        <f>$B2 * IFERROR(VLOOKUP("buildings|NOx|Premature mortality", US_national_yearly!$D:$AM, 12, FALSE) / VLOOKUP("buildings|NOx|Premature mortality", US_national_yearly!$D:$AM, 10, FALSE), 1)</f>
        <v>5.7691021774296117E-4</v>
      </c>
      <c r="E2" s="7">
        <f>$B2 * IFERROR(VLOOKUP("buildings|NOx|Premature mortality", US_national_yearly!$D:$AM, 13, FALSE) / VLOOKUP("buildings|NOx|Premature mortality", US_national_yearly!$D:$AM, 10, FALSE), 1)</f>
        <v>5.8515331749825234E-4</v>
      </c>
      <c r="F2" s="7">
        <f>$B2 * IFERROR(VLOOKUP("buildings|NOx|Premature mortality", US_national_yearly!$D:$AM, 14, FALSE) / VLOOKUP("buildings|NOx|Premature mortality", US_national_yearly!$D:$AM, 10, FALSE), 1)</f>
        <v>5.933964172535434E-4</v>
      </c>
      <c r="G2" s="7">
        <f>$B2 * IFERROR(VLOOKUP("buildings|NOx|Premature mortality", US_national_yearly!$D:$AM, 15, FALSE) / VLOOKUP("buildings|NOx|Premature mortality", US_national_yearly!$D:$AM, 10, FALSE), 1)</f>
        <v>6.0819576836895187E-4</v>
      </c>
      <c r="H2" s="7">
        <f>$B2 * IFERROR(VLOOKUP("buildings|NOx|Premature mortality", US_national_yearly!$D:$AM, 16, FALSE) / VLOOKUP("buildings|NOx|Premature mortality", US_national_yearly!$D:$AM, 10, FALSE), 1)</f>
        <v>6.2299511948436055E-4</v>
      </c>
      <c r="I2" s="7">
        <f>$B2 * IFERROR(VLOOKUP("buildings|NOx|Premature mortality", US_national_yearly!$D:$AM, 17, FALSE) / VLOOKUP("buildings|NOx|Premature mortality", US_national_yearly!$D:$AM, 10, FALSE), 1)</f>
        <v>6.325592573845259E-4</v>
      </c>
      <c r="J2" s="7">
        <f>$B2 * IFERROR(VLOOKUP("buildings|NOx|Premature mortality", US_national_yearly!$D:$AM, 18, FALSE) / VLOOKUP("buildings|NOx|Premature mortality", US_national_yearly!$D:$AM, 10, FALSE), 1)</f>
        <v>6.4212339528469113E-4</v>
      </c>
      <c r="K2" s="7">
        <f>$B2 * IFERROR(VLOOKUP("buildings|NOx|Premature mortality", US_national_yearly!$D:$AM, 19, FALSE) / VLOOKUP("buildings|NOx|Premature mortality", US_national_yearly!$D:$AM, 10, FALSE), 1)</f>
        <v>6.5168753318485648E-4</v>
      </c>
      <c r="L2" s="7">
        <f>$B2 * IFERROR(VLOOKUP("buildings|NOx|Premature mortality", US_national_yearly!$D:$AM, 20, FALSE) / VLOOKUP("buildings|NOx|Premature mortality", US_national_yearly!$D:$AM, 10, FALSE), 1)</f>
        <v>6.6125167108502182E-4</v>
      </c>
      <c r="M2" s="7">
        <f>$B2 * IFERROR(VLOOKUP("buildings|NOx|Premature mortality", US_national_yearly!$D:$AM, 21, FALSE) / VLOOKUP("buildings|NOx|Premature mortality", US_national_yearly!$D:$AM, 10, FALSE), 1)</f>
        <v>6.7081580898518717E-4</v>
      </c>
      <c r="N2" s="7">
        <f>$B2 * IFERROR(VLOOKUP("buildings|NOx|Premature mortality", US_national_yearly!$D:$AM, 22, FALSE) / VLOOKUP("buildings|NOx|Premature mortality", US_national_yearly!$D:$AM, 10, FALSE), 1)</f>
        <v>6.7790247007650157E-4</v>
      </c>
      <c r="O2" s="7">
        <f>$B2 * IFERROR(VLOOKUP("buildings|NOx|Premature mortality", US_national_yearly!$D:$AM, 23, FALSE) / VLOOKUP("buildings|NOx|Premature mortality", US_national_yearly!$D:$AM, 10, FALSE), 1)</f>
        <v>6.8498913116781608E-4</v>
      </c>
      <c r="P2" s="7">
        <f>$B2 * IFERROR(VLOOKUP("buildings|NOx|Premature mortality", US_national_yearly!$D:$AM, 24, FALSE) / VLOOKUP("buildings|NOx|Premature mortality", US_national_yearly!$D:$AM, 10, FALSE), 1)</f>
        <v>6.9207579225913048E-4</v>
      </c>
      <c r="Q2" s="7">
        <f>$B2 * IFERROR(VLOOKUP("buildings|NOx|Premature mortality", US_national_yearly!$D:$AM, 25, FALSE) / VLOOKUP("buildings|NOx|Premature mortality", US_national_yearly!$D:$AM, 10, FALSE), 1)</f>
        <v>6.9916245335044488E-4</v>
      </c>
      <c r="R2" s="7">
        <f>$B2 * IFERROR(VLOOKUP("buildings|NOx|Premature mortality", US_national_yearly!$D:$AM, 26, FALSE) / VLOOKUP("buildings|NOx|Premature mortality", US_national_yearly!$D:$AM, 10, FALSE), 1)</f>
        <v>7.0624911444175939E-4</v>
      </c>
      <c r="S2" s="7">
        <f>$B2 * IFERROR(VLOOKUP("buildings|NOx|Premature mortality", US_national_yearly!$D:$AM, 27, FALSE) / VLOOKUP("buildings|NOx|Premature mortality", US_national_yearly!$D:$AM, 10, FALSE), 1)</f>
        <v>7.0947098997033945E-4</v>
      </c>
      <c r="T2" s="7">
        <f>$B2 * IFERROR(VLOOKUP("buildings|NOx|Premature mortality", US_national_yearly!$D:$AM, 28, FALSE) / VLOOKUP("buildings|NOx|Premature mortality", US_national_yearly!$D:$AM, 10, FALSE), 1)</f>
        <v>7.1269286549891951E-4</v>
      </c>
      <c r="U2" s="7">
        <f>$B2 * IFERROR(VLOOKUP("buildings|NOx|Premature mortality", US_national_yearly!$D:$AM, 29, FALSE) / VLOOKUP("buildings|NOx|Premature mortality", US_national_yearly!$D:$AM, 10, FALSE), 1)</f>
        <v>7.1591474102749957E-4</v>
      </c>
      <c r="V2" s="7">
        <f>$B2 * IFERROR(VLOOKUP("buildings|NOx|Premature mortality", US_national_yearly!$D:$AM, 30, FALSE) / VLOOKUP("buildings|NOx|Premature mortality", US_national_yearly!$D:$AM, 10, FALSE), 1)</f>
        <v>7.1913661655607973E-4</v>
      </c>
      <c r="W2" s="7">
        <f>$B2 * IFERROR(VLOOKUP("buildings|NOx|Premature mortality", US_national_yearly!$D:$AM, 31, FALSE) / VLOOKUP("buildings|NOx|Premature mortality", US_national_yearly!$D:$AM, 10, FALSE), 1)</f>
        <v>7.2235849208465968E-4</v>
      </c>
      <c r="X2" s="7">
        <f>$B2 * IFERROR(VLOOKUP("buildings|NOx|Premature mortality", US_national_yearly!$D:$AM, 32, FALSE) / VLOOKUP("buildings|NOx|Premature mortality", US_national_yearly!$D:$AM, 10, FALSE), 1)</f>
        <v>7.2247196391440449E-4</v>
      </c>
      <c r="Y2" s="7">
        <f>$B2 * IFERROR(VLOOKUP("buildings|NOx|Premature mortality", US_national_yearly!$D:$AM, 33, FALSE) / VLOOKUP("buildings|NOx|Premature mortality", US_national_yearly!$D:$AM, 10, FALSE), 1)</f>
        <v>7.225854357441494E-4</v>
      </c>
      <c r="Z2" s="7">
        <f>$B2 * IFERROR(VLOOKUP("buildings|NOx|Premature mortality", US_national_yearly!$D:$AM, 34, FALSE) / VLOOKUP("buildings|NOx|Premature mortality", US_national_yearly!$D:$AM, 10, FALSE), 1)</f>
        <v>7.2269890757389421E-4</v>
      </c>
      <c r="AA2" s="7">
        <f>$B2 * IFERROR(VLOOKUP("buildings|NOx|Premature mortality", US_national_yearly!$D:$AM, 35, FALSE) / VLOOKUP("buildings|NOx|Premature mortality", US_national_yearly!$D:$AM, 10, FALSE), 1)</f>
        <v>7.2281237940363891E-4</v>
      </c>
      <c r="AB2" s="7">
        <f>$B2 * IFERROR(VLOOKUP("buildings|NOx|Premature mortality", US_national_yearly!$D:$AM, 36, FALSE) / VLOOKUP("buildings|NOx|Premature mortality", US_national_yearly!$D:$AM, 10, FALSE), 1)</f>
        <v>7.2292585123338393E-4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1.3609962265719194E-6</v>
      </c>
      <c r="C3" s="7">
        <f>$B3 * IFERROR(VLOOKUP("buildings|NOx|Infant mortality", US_national_yearly!$D:$AM, 11, FALSE) / VLOOKUP("buildings|NOx|Infant mortality", US_national_yearly!$D:$AM, 10, FALSE), 1)</f>
        <v>1.3480683597344194E-6</v>
      </c>
      <c r="D3" s="7">
        <f>$B3 * IFERROR(VLOOKUP("buildings|NOx|Infant mortality", US_national_yearly!$D:$AM, 12, FALSE) / VLOOKUP("buildings|NOx|Infant mortality", US_national_yearly!$D:$AM, 10, FALSE), 1)</f>
        <v>1.335140492896919E-6</v>
      </c>
      <c r="E3" s="7">
        <f>$B3 * IFERROR(VLOOKUP("buildings|NOx|Infant mortality", US_national_yearly!$D:$AM, 13, FALSE) / VLOOKUP("buildings|NOx|Infant mortality", US_national_yearly!$D:$AM, 10, FALSE), 1)</f>
        <v>1.3222126260594188E-6</v>
      </c>
      <c r="F3" s="7">
        <f>$B3 * IFERROR(VLOOKUP("buildings|NOx|Infant mortality", US_national_yearly!$D:$AM, 14, FALSE) / VLOOKUP("buildings|NOx|Infant mortality", US_national_yearly!$D:$AM, 10, FALSE), 1)</f>
        <v>1.3092847592219184E-6</v>
      </c>
      <c r="G3" s="7">
        <f>$B3 * IFERROR(VLOOKUP("buildings|NOx|Infant mortality", US_national_yearly!$D:$AM, 15, FALSE) / VLOOKUP("buildings|NOx|Infant mortality", US_national_yearly!$D:$AM, 10, FALSE), 1)</f>
        <v>8.6902132359860921E-7</v>
      </c>
      <c r="H3" s="7">
        <f>$B3 * IFERROR(VLOOKUP("buildings|NOx|Infant mortality", US_national_yearly!$D:$AM, 16, FALSE) / VLOOKUP("buildings|NOx|Infant mortality", US_national_yearly!$D:$AM, 10, FALSE), 1)</f>
        <v>4.2875788797529999E-7</v>
      </c>
      <c r="I3" s="7">
        <f>$B3 * IFERROR(VLOOKUP("buildings|NOx|Infant mortality", US_national_yearly!$D:$AM, 17, FALSE) / VLOOKUP("buildings|NOx|Infant mortality", US_national_yearly!$D:$AM, 10, FALSE), 1)</f>
        <v>4.2572890284630897E-7</v>
      </c>
      <c r="J3" s="7">
        <f>$B3 * IFERROR(VLOOKUP("buildings|NOx|Infant mortality", US_national_yearly!$D:$AM, 18, FALSE) / VLOOKUP("buildings|NOx|Infant mortality", US_national_yearly!$D:$AM, 10, FALSE), 1)</f>
        <v>4.2269991771731791E-7</v>
      </c>
      <c r="K3" s="7">
        <f>$B3 * IFERROR(VLOOKUP("buildings|NOx|Infant mortality", US_national_yearly!$D:$AM, 19, FALSE) / VLOOKUP("buildings|NOx|Infant mortality", US_national_yearly!$D:$AM, 10, FALSE), 1)</f>
        <v>4.1967093258832695E-7</v>
      </c>
      <c r="L3" s="7">
        <f>$B3 * IFERROR(VLOOKUP("buildings|NOx|Infant mortality", US_national_yearly!$D:$AM, 20, FALSE) / VLOOKUP("buildings|NOx|Infant mortality", US_national_yearly!$D:$AM, 10, FALSE), 1)</f>
        <v>4.1664194745933599E-7</v>
      </c>
      <c r="M3" s="7">
        <f>$B3 * IFERROR(VLOOKUP("buildings|NOx|Infant mortality", US_national_yearly!$D:$AM, 21, FALSE) / VLOOKUP("buildings|NOx|Infant mortality", US_national_yearly!$D:$AM, 10, FALSE), 1)</f>
        <v>4.1361296233034492E-7</v>
      </c>
      <c r="N3" s="7">
        <f>$B3 * IFERROR(VLOOKUP("buildings|NOx|Infant mortality", US_national_yearly!$D:$AM, 22, FALSE) / VLOOKUP("buildings|NOx|Infant mortality", US_national_yearly!$D:$AM, 10, FALSE), 1)</f>
        <v>4.1160582347801839E-7</v>
      </c>
      <c r="O3" s="7">
        <f>$B3 * IFERROR(VLOOKUP("buildings|NOx|Infant mortality", US_national_yearly!$D:$AM, 23, FALSE) / VLOOKUP("buildings|NOx|Infant mortality", US_national_yearly!$D:$AM, 10, FALSE), 1)</f>
        <v>4.0959868462569186E-7</v>
      </c>
      <c r="P3" s="7">
        <f>$B3 * IFERROR(VLOOKUP("buildings|NOx|Infant mortality", US_national_yearly!$D:$AM, 24, FALSE) / VLOOKUP("buildings|NOx|Infant mortality", US_national_yearly!$D:$AM, 10, FALSE), 1)</f>
        <v>4.0759154577336533E-7</v>
      </c>
      <c r="Q3" s="7">
        <f>$B3 * IFERROR(VLOOKUP("buildings|NOx|Infant mortality", US_national_yearly!$D:$AM, 25, FALSE) / VLOOKUP("buildings|NOx|Infant mortality", US_national_yearly!$D:$AM, 10, FALSE), 1)</f>
        <v>4.0558440692103891E-7</v>
      </c>
      <c r="R3" s="7">
        <f>$B3 * IFERROR(VLOOKUP("buildings|NOx|Infant mortality", US_national_yearly!$D:$AM, 26, FALSE) / VLOOKUP("buildings|NOx|Infant mortality", US_national_yearly!$D:$AM, 10, FALSE), 1)</f>
        <v>4.0357726806871238E-7</v>
      </c>
      <c r="S3" s="7">
        <f>$B3 * IFERROR(VLOOKUP("buildings|NOx|Infant mortality", US_national_yearly!$D:$AM, 27, FALSE) / VLOOKUP("buildings|NOx|Infant mortality", US_national_yearly!$D:$AM, 10, FALSE), 1)</f>
        <v>4.0116280822096527E-7</v>
      </c>
      <c r="T3" s="7">
        <f>$B3 * IFERROR(VLOOKUP("buildings|NOx|Infant mortality", US_national_yearly!$D:$AM, 28, FALSE) / VLOOKUP("buildings|NOx|Infant mortality", US_national_yearly!$D:$AM, 10, FALSE), 1)</f>
        <v>3.9874834837321821E-7</v>
      </c>
      <c r="U3" s="7">
        <f>$B3 * IFERROR(VLOOKUP("buildings|NOx|Infant mortality", US_national_yearly!$D:$AM, 29, FALSE) / VLOOKUP("buildings|NOx|Infant mortality", US_national_yearly!$D:$AM, 10, FALSE), 1)</f>
        <v>3.963338885254711E-7</v>
      </c>
      <c r="V3" s="7">
        <f>$B3 * IFERROR(VLOOKUP("buildings|NOx|Infant mortality", US_national_yearly!$D:$AM, 30, FALSE) / VLOOKUP("buildings|NOx|Infant mortality", US_national_yearly!$D:$AM, 10, FALSE), 1)</f>
        <v>3.9391942867772399E-7</v>
      </c>
      <c r="W3" s="7">
        <f>$B3 * IFERROR(VLOOKUP("buildings|NOx|Infant mortality", US_national_yearly!$D:$AM, 31, FALSE) / VLOOKUP("buildings|NOx|Infant mortality", US_national_yearly!$D:$AM, 10, FALSE), 1)</f>
        <v>3.9150496882997693E-7</v>
      </c>
      <c r="X3" s="7">
        <f>$B3 * IFERROR(VLOOKUP("buildings|NOx|Infant mortality", US_national_yearly!$D:$AM, 32, FALSE) / VLOOKUP("buildings|NOx|Infant mortality", US_national_yearly!$D:$AM, 10, FALSE), 1)</f>
        <v>3.8895025869782945E-7</v>
      </c>
      <c r="Y3" s="7">
        <f>$B3 * IFERROR(VLOOKUP("buildings|NOx|Infant mortality", US_national_yearly!$D:$AM, 33, FALSE) / VLOOKUP("buildings|NOx|Infant mortality", US_national_yearly!$D:$AM, 10, FALSE), 1)</f>
        <v>3.8639554856568208E-7</v>
      </c>
      <c r="Z3" s="7">
        <f>$B3 * IFERROR(VLOOKUP("buildings|NOx|Infant mortality", US_national_yearly!$D:$AM, 34, FALSE) / VLOOKUP("buildings|NOx|Infant mortality", US_national_yearly!$D:$AM, 10, FALSE), 1)</f>
        <v>3.8384083843353459E-7</v>
      </c>
      <c r="AA3" s="7">
        <f>$B3 * IFERROR(VLOOKUP("buildings|NOx|Infant mortality", US_national_yearly!$D:$AM, 35, FALSE) / VLOOKUP("buildings|NOx|Infant mortality", US_national_yearly!$D:$AM, 10, FALSE), 1)</f>
        <v>3.8128612830138717E-7</v>
      </c>
      <c r="AB3" s="7">
        <f>$B3 * IFERROR(VLOOKUP("buildings|NOx|Infant mortality", US_national_yearly!$D:$AM, 36, FALSE) / VLOOKUP("buildings|NOx|Infant mortality", US_national_yearly!$D:$AM, 10, FALSE), 1)</f>
        <v>3.7873141816923968E-7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1.4516643330010344E-3</v>
      </c>
      <c r="C6" s="7">
        <f>$B6 * IFERROR(VLOOKUP("buildings|NOx|Asthma symptoms cough", US_national_yearly!$D:$AM, 11, FALSE) / VLOOKUP("buildings|NOx|Asthma symptoms cough", US_national_yearly!$D:$AM, 10, FALSE), 1)</f>
        <v>1.4715307548046771E-3</v>
      </c>
      <c r="D6" s="7">
        <f>$B6 * IFERROR(VLOOKUP("buildings|NOx|Asthma symptoms cough", US_national_yearly!$D:$AM, 12, FALSE) / VLOOKUP("buildings|NOx|Asthma symptoms cough", US_national_yearly!$D:$AM, 10, FALSE), 1)</f>
        <v>1.4913971766083202E-3</v>
      </c>
      <c r="E6" s="7">
        <f>$B6 * IFERROR(VLOOKUP("buildings|NOx|Asthma symptoms cough", US_national_yearly!$D:$AM, 13, FALSE) / VLOOKUP("buildings|NOx|Asthma symptoms cough", US_national_yearly!$D:$AM, 10, FALSE), 1)</f>
        <v>1.5112635984119631E-3</v>
      </c>
      <c r="F6" s="7">
        <f>$B6 * IFERROR(VLOOKUP("buildings|NOx|Asthma symptoms cough", US_national_yearly!$D:$AM, 14, FALSE) / VLOOKUP("buildings|NOx|Asthma symptoms cough", US_national_yearly!$D:$AM, 10, FALSE), 1)</f>
        <v>1.5311300202156058E-3</v>
      </c>
      <c r="G6" s="7">
        <f>$B6 * IFERROR(VLOOKUP("buildings|NOx|Asthma symptoms cough", US_national_yearly!$D:$AM, 15, FALSE) / VLOOKUP("buildings|NOx|Asthma symptoms cough", US_national_yearly!$D:$AM, 10, FALSE), 1)</f>
        <v>1.5470070137991797E-3</v>
      </c>
      <c r="H6" s="7">
        <f>$B6 * IFERROR(VLOOKUP("buildings|NOx|Asthma symptoms cough", US_national_yearly!$D:$AM, 16, FALSE) / VLOOKUP("buildings|NOx|Asthma symptoms cough", US_national_yearly!$D:$AM, 10, FALSE), 1)</f>
        <v>1.5628840073827535E-3</v>
      </c>
      <c r="I6" s="7">
        <f>$B6 * IFERROR(VLOOKUP("buildings|NOx|Asthma symptoms cough", US_national_yearly!$D:$AM, 17, FALSE) / VLOOKUP("buildings|NOx|Asthma symptoms cough", US_national_yearly!$D:$AM, 10, FALSE), 1)</f>
        <v>1.5683785659373025E-3</v>
      </c>
      <c r="J6" s="7">
        <f>$B6 * IFERROR(VLOOKUP("buildings|NOx|Asthma symptoms cough", US_national_yearly!$D:$AM, 18, FALSE) / VLOOKUP("buildings|NOx|Asthma symptoms cough", US_national_yearly!$D:$AM, 10, FALSE), 1)</f>
        <v>1.5738731244918512E-3</v>
      </c>
      <c r="K6" s="7">
        <f>$B6 * IFERROR(VLOOKUP("buildings|NOx|Asthma symptoms cough", US_national_yearly!$D:$AM, 19, FALSE) / VLOOKUP("buildings|NOx|Asthma symptoms cough", US_national_yearly!$D:$AM, 10, FALSE), 1)</f>
        <v>1.5793676830464E-3</v>
      </c>
      <c r="L6" s="7">
        <f>$B6 * IFERROR(VLOOKUP("buildings|NOx|Asthma symptoms cough", US_national_yearly!$D:$AM, 20, FALSE) / VLOOKUP("buildings|NOx|Asthma symptoms cough", US_national_yearly!$D:$AM, 10, FALSE), 1)</f>
        <v>1.5848622416009487E-3</v>
      </c>
      <c r="M6" s="7">
        <f>$B6 * IFERROR(VLOOKUP("buildings|NOx|Asthma symptoms cough", US_national_yearly!$D:$AM, 21, FALSE) / VLOOKUP("buildings|NOx|Asthma symptoms cough", US_national_yearly!$D:$AM, 10, FALSE), 1)</f>
        <v>1.5903568001554972E-3</v>
      </c>
      <c r="N6" s="7">
        <f>$B6 * IFERROR(VLOOKUP("buildings|NOx|Asthma symptoms cough", US_national_yearly!$D:$AM, 22, FALSE) / VLOOKUP("buildings|NOx|Asthma symptoms cough", US_national_yearly!$D:$AM, 10, FALSE), 1)</f>
        <v>1.5967102258423213E-3</v>
      </c>
      <c r="O6" s="7">
        <f>$B6 * IFERROR(VLOOKUP("buildings|NOx|Asthma symptoms cough", US_national_yearly!$D:$AM, 23, FALSE) / VLOOKUP("buildings|NOx|Asthma symptoms cough", US_national_yearly!$D:$AM, 10, FALSE), 1)</f>
        <v>1.6030636515291447E-3</v>
      </c>
      <c r="P6" s="7">
        <f>$B6 * IFERROR(VLOOKUP("buildings|NOx|Asthma symptoms cough", US_national_yearly!$D:$AM, 24, FALSE) / VLOOKUP("buildings|NOx|Asthma symptoms cough", US_national_yearly!$D:$AM, 10, FALSE), 1)</f>
        <v>1.6094170772159684E-3</v>
      </c>
      <c r="Q6" s="7">
        <f>$B6 * IFERROR(VLOOKUP("buildings|NOx|Asthma symptoms cough", US_national_yearly!$D:$AM, 25, FALSE) / VLOOKUP("buildings|NOx|Asthma symptoms cough", US_national_yearly!$D:$AM, 10, FALSE), 1)</f>
        <v>1.6157705029027922E-3</v>
      </c>
      <c r="R6" s="7">
        <f>$B6 * IFERROR(VLOOKUP("buildings|NOx|Asthma symptoms cough", US_national_yearly!$D:$AM, 26, FALSE) / VLOOKUP("buildings|NOx|Asthma symptoms cough", US_national_yearly!$D:$AM, 10, FALSE), 1)</f>
        <v>1.6221239285896156E-3</v>
      </c>
      <c r="S6" s="7">
        <f>$B6 * IFERROR(VLOOKUP("buildings|NOx|Asthma symptoms cough", US_national_yearly!$D:$AM, 27, FALSE) / VLOOKUP("buildings|NOx|Asthma symptoms cough", US_national_yearly!$D:$AM, 10, FALSE), 1)</f>
        <v>1.630421637183086E-3</v>
      </c>
      <c r="T6" s="7">
        <f>$B6 * IFERROR(VLOOKUP("buildings|NOx|Asthma symptoms cough", US_national_yearly!$D:$AM, 28, FALSE) / VLOOKUP("buildings|NOx|Asthma symptoms cough", US_national_yearly!$D:$AM, 10, FALSE), 1)</f>
        <v>1.6387193457765561E-3</v>
      </c>
      <c r="U6" s="7">
        <f>$B6 * IFERROR(VLOOKUP("buildings|NOx|Asthma symptoms cough", US_national_yearly!$D:$AM, 29, FALSE) / VLOOKUP("buildings|NOx|Asthma symptoms cough", US_national_yearly!$D:$AM, 10, FALSE), 1)</f>
        <v>1.647017054370026E-3</v>
      </c>
      <c r="V6" s="7">
        <f>$B6 * IFERROR(VLOOKUP("buildings|NOx|Asthma symptoms cough", US_national_yearly!$D:$AM, 30, FALSE) / VLOOKUP("buildings|NOx|Asthma symptoms cough", US_national_yearly!$D:$AM, 10, FALSE), 1)</f>
        <v>1.6553147629634968E-3</v>
      </c>
      <c r="W6" s="7">
        <f>$B6 * IFERROR(VLOOKUP("buildings|NOx|Asthma symptoms cough", US_national_yearly!$D:$AM, 31, FALSE) / VLOOKUP("buildings|NOx|Asthma symptoms cough", US_national_yearly!$D:$AM, 10, FALSE), 1)</f>
        <v>1.6636124715569667E-3</v>
      </c>
      <c r="X6" s="7">
        <f>$B6 * IFERROR(VLOOKUP("buildings|NOx|Asthma symptoms cough", US_national_yearly!$D:$AM, 32, FALSE) / VLOOKUP("buildings|NOx|Asthma symptoms cough", US_national_yearly!$D:$AM, 10, FALSE), 1)</f>
        <v>1.6713221846271101E-3</v>
      </c>
      <c r="Y6" s="7">
        <f>$B6 * IFERROR(VLOOKUP("buildings|NOx|Asthma symptoms cough", US_national_yearly!$D:$AM, 33, FALSE) / VLOOKUP("buildings|NOx|Asthma symptoms cough", US_national_yearly!$D:$AM, 10, FALSE), 1)</f>
        <v>1.6790318976972537E-3</v>
      </c>
      <c r="Z6" s="7">
        <f>$B6 * IFERROR(VLOOKUP("buildings|NOx|Asthma symptoms cough", US_national_yearly!$D:$AM, 34, FALSE) / VLOOKUP("buildings|NOx|Asthma symptoms cough", US_national_yearly!$D:$AM, 10, FALSE), 1)</f>
        <v>1.6867416107673972E-3</v>
      </c>
      <c r="AA6" s="7">
        <f>$B6 * IFERROR(VLOOKUP("buildings|NOx|Asthma symptoms cough", US_national_yearly!$D:$AM, 35, FALSE) / VLOOKUP("buildings|NOx|Asthma symptoms cough", US_national_yearly!$D:$AM, 10, FALSE), 1)</f>
        <v>1.694451323837541E-3</v>
      </c>
      <c r="AB6" s="7">
        <f>$B6 * IFERROR(VLOOKUP("buildings|NOx|Asthma symptoms cough", US_national_yearly!$D:$AM, 36, FALSE) / VLOOKUP("buildings|NOx|Asthma symptoms cough", US_national_yearly!$D:$AM, 10, FALSE), 1)</f>
        <v>1.7021610369076846E-3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1.9548719357116093E-3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1.9816248905698379E-3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2.008377845428067E-3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2.0351308002862956E-3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2.0618837551445242E-3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2.0832643789926524E-3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2.1046450028407806E-3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2.1120442052079973E-3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2.1194434075752135E-3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2.1268426099424311E-3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2.1342418123096478E-3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2.1416410146768644E-3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2.1501968034778546E-3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2.1587525922788452E-3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2.1673083810798354E-3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2.175864169880826E-3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2.1844199586818162E-3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2.1955940002331663E-3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2.206768041784516E-3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2.2179420833358656E-3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2.2291161248872153E-3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2.240290166438565E-3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2.2506723886111914E-3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2.2610546107838178E-3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2.2714368329564442E-3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2.2818190551290697E-3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2.2922012773016961E-3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2.9867298867932985E-3</v>
      </c>
      <c r="C8" s="7">
        <f>$B8 * IFERROR(VLOOKUP("buildings|NOx|Asthma symptoms wheeze", US_national_yearly!$D:$AM, 11, FALSE) / VLOOKUP("buildings|NOx|Asthma symptoms wheeze", US_national_yearly!$D:$AM, 10, FALSE), 1)</f>
        <v>3.0276040988402105E-3</v>
      </c>
      <c r="D8" s="7">
        <f>$B8 * IFERROR(VLOOKUP("buildings|NOx|Asthma symptoms wheeze", US_national_yearly!$D:$AM, 12, FALSE) / VLOOKUP("buildings|NOx|Asthma symptoms wheeze", US_national_yearly!$D:$AM, 10, FALSE), 1)</f>
        <v>3.0684783108871224E-3</v>
      </c>
      <c r="E8" s="7">
        <f>$B8 * IFERROR(VLOOKUP("buildings|NOx|Asthma symptoms wheeze", US_national_yearly!$D:$AM, 13, FALSE) / VLOOKUP("buildings|NOx|Asthma symptoms wheeze", US_national_yearly!$D:$AM, 10, FALSE), 1)</f>
        <v>3.1093525229340339E-3</v>
      </c>
      <c r="F8" s="7">
        <f>$B8 * IFERROR(VLOOKUP("buildings|NOx|Asthma symptoms wheeze", US_national_yearly!$D:$AM, 14, FALSE) / VLOOKUP("buildings|NOx|Asthma symptoms wheeze", US_national_yearly!$D:$AM, 10, FALSE), 1)</f>
        <v>3.1502267349809467E-3</v>
      </c>
      <c r="G8" s="7">
        <f>$B8 * IFERROR(VLOOKUP("buildings|NOx|Asthma symptoms wheeze", US_national_yearly!$D:$AM, 15, FALSE) / VLOOKUP("buildings|NOx|Asthma symptoms wheeze", US_national_yearly!$D:$AM, 10, FALSE), 1)</f>
        <v>3.1828928894011769E-3</v>
      </c>
      <c r="H8" s="7">
        <f>$B8 * IFERROR(VLOOKUP("buildings|NOx|Asthma symptoms wheeze", US_national_yearly!$D:$AM, 16, FALSE) / VLOOKUP("buildings|NOx|Asthma symptoms wheeze", US_national_yearly!$D:$AM, 10, FALSE), 1)</f>
        <v>3.2155590438214072E-3</v>
      </c>
      <c r="I8" s="7">
        <f>$B8 * IFERROR(VLOOKUP("buildings|NOx|Asthma symptoms wheeze", US_national_yearly!$D:$AM, 17, FALSE) / VLOOKUP("buildings|NOx|Asthma symptoms wheeze", US_national_yearly!$D:$AM, 10, FALSE), 1)</f>
        <v>3.2268638350778111E-3</v>
      </c>
      <c r="J8" s="7">
        <f>$B8 * IFERROR(VLOOKUP("buildings|NOx|Asthma symptoms wheeze", US_national_yearly!$D:$AM, 18, FALSE) / VLOOKUP("buildings|NOx|Asthma symptoms wheeze", US_national_yearly!$D:$AM, 10, FALSE), 1)</f>
        <v>3.2381686263342141E-3</v>
      </c>
      <c r="K8" s="7">
        <f>$B8 * IFERROR(VLOOKUP("buildings|NOx|Asthma symptoms wheeze", US_national_yearly!$D:$AM, 19, FALSE) / VLOOKUP("buildings|NOx|Asthma symptoms wheeze", US_national_yearly!$D:$AM, 10, FALSE), 1)</f>
        <v>3.2494734175906176E-3</v>
      </c>
      <c r="L8" s="7">
        <f>$B8 * IFERROR(VLOOKUP("buildings|NOx|Asthma symptoms wheeze", US_national_yearly!$D:$AM, 20, FALSE) / VLOOKUP("buildings|NOx|Asthma symptoms wheeze", US_national_yearly!$D:$AM, 10, FALSE), 1)</f>
        <v>3.2607782088470206E-3</v>
      </c>
      <c r="M8" s="7">
        <f>$B8 * IFERROR(VLOOKUP("buildings|NOx|Asthma symptoms wheeze", US_national_yearly!$D:$AM, 21, FALSE) / VLOOKUP("buildings|NOx|Asthma symptoms wheeze", US_national_yearly!$D:$AM, 10, FALSE), 1)</f>
        <v>3.2720830001034245E-3</v>
      </c>
      <c r="N8" s="7">
        <f>$B8 * IFERROR(VLOOKUP("buildings|NOx|Asthma symptoms wheeze", US_national_yearly!$D:$AM, 22, FALSE) / VLOOKUP("buildings|NOx|Asthma symptoms wheeze", US_national_yearly!$D:$AM, 10, FALSE), 1)</f>
        <v>3.285154869379585E-3</v>
      </c>
      <c r="O8" s="7">
        <f>$B8 * IFERROR(VLOOKUP("buildings|NOx|Asthma symptoms wheeze", US_national_yearly!$D:$AM, 23, FALSE) / VLOOKUP("buildings|NOx|Asthma symptoms wheeze", US_national_yearly!$D:$AM, 10, FALSE), 1)</f>
        <v>3.298226738655746E-3</v>
      </c>
      <c r="P8" s="7">
        <f>$B8 * IFERROR(VLOOKUP("buildings|NOx|Asthma symptoms wheeze", US_national_yearly!$D:$AM, 24, FALSE) / VLOOKUP("buildings|NOx|Asthma symptoms wheeze", US_national_yearly!$D:$AM, 10, FALSE), 1)</f>
        <v>3.3112986079319061E-3</v>
      </c>
      <c r="Q8" s="7">
        <f>$B8 * IFERROR(VLOOKUP("buildings|NOx|Asthma symptoms wheeze", US_national_yearly!$D:$AM, 25, FALSE) / VLOOKUP("buildings|NOx|Asthma symptoms wheeze", US_national_yearly!$D:$AM, 10, FALSE), 1)</f>
        <v>3.324370477208067E-3</v>
      </c>
      <c r="R8" s="7">
        <f>$B8 * IFERROR(VLOOKUP("buildings|NOx|Asthma symptoms wheeze", US_national_yearly!$D:$AM, 26, FALSE) / VLOOKUP("buildings|NOx|Asthma symptoms wheeze", US_national_yearly!$D:$AM, 10, FALSE), 1)</f>
        <v>3.3374423464842275E-3</v>
      </c>
      <c r="S8" s="7">
        <f>$B8 * IFERROR(VLOOKUP("buildings|NOx|Asthma symptoms wheeze", US_national_yearly!$D:$AM, 27, FALSE) / VLOOKUP("buildings|NOx|Asthma symptoms wheeze", US_national_yearly!$D:$AM, 10, FALSE), 1)</f>
        <v>3.3545144847916095E-3</v>
      </c>
      <c r="T8" s="7">
        <f>$B8 * IFERROR(VLOOKUP("buildings|NOx|Asthma symptoms wheeze", US_national_yearly!$D:$AM, 28, FALSE) / VLOOKUP("buildings|NOx|Asthma symptoms wheeze", US_national_yearly!$D:$AM, 10, FALSE), 1)</f>
        <v>3.3715866230989919E-3</v>
      </c>
      <c r="U8" s="7">
        <f>$B8 * IFERROR(VLOOKUP("buildings|NOx|Asthma symptoms wheeze", US_national_yearly!$D:$AM, 29, FALSE) / VLOOKUP("buildings|NOx|Asthma symptoms wheeze", US_national_yearly!$D:$AM, 10, FALSE), 1)</f>
        <v>3.3886587614063743E-3</v>
      </c>
      <c r="V8" s="7">
        <f>$B8 * IFERROR(VLOOKUP("buildings|NOx|Asthma symptoms wheeze", US_national_yearly!$D:$AM, 30, FALSE) / VLOOKUP("buildings|NOx|Asthma symptoms wheeze", US_national_yearly!$D:$AM, 10, FALSE), 1)</f>
        <v>3.4057308997137562E-3</v>
      </c>
      <c r="W8" s="7">
        <f>$B8 * IFERROR(VLOOKUP("buildings|NOx|Asthma symptoms wheeze", US_national_yearly!$D:$AM, 31, FALSE) / VLOOKUP("buildings|NOx|Asthma symptoms wheeze", US_national_yearly!$D:$AM, 10, FALSE), 1)</f>
        <v>3.4228030380211386E-3</v>
      </c>
      <c r="X8" s="7">
        <f>$B8 * IFERROR(VLOOKUP("buildings|NOx|Asthma symptoms wheeze", US_national_yearly!$D:$AM, 32, FALSE) / VLOOKUP("buildings|NOx|Asthma symptoms wheeze", US_national_yearly!$D:$AM, 10, FALSE), 1)</f>
        <v>3.4386654036812282E-3</v>
      </c>
      <c r="Y8" s="7">
        <f>$B8 * IFERROR(VLOOKUP("buildings|NOx|Asthma symptoms wheeze", US_national_yearly!$D:$AM, 33, FALSE) / VLOOKUP("buildings|NOx|Asthma symptoms wheeze", US_national_yearly!$D:$AM, 10, FALSE), 1)</f>
        <v>3.4545277693413179E-3</v>
      </c>
      <c r="Z8" s="7">
        <f>$B8 * IFERROR(VLOOKUP("buildings|NOx|Asthma symptoms wheeze", US_national_yearly!$D:$AM, 34, FALSE) / VLOOKUP("buildings|NOx|Asthma symptoms wheeze", US_national_yearly!$D:$AM, 10, FALSE), 1)</f>
        <v>3.4703901350014079E-3</v>
      </c>
      <c r="AA8" s="7">
        <f>$B8 * IFERROR(VLOOKUP("buildings|NOx|Asthma symptoms wheeze", US_national_yearly!$D:$AM, 35, FALSE) / VLOOKUP("buildings|NOx|Asthma symptoms wheeze", US_national_yearly!$D:$AM, 10, FALSE), 1)</f>
        <v>3.4862525006614975E-3</v>
      </c>
      <c r="AB8" s="7">
        <f>$B8 * IFERROR(VLOOKUP("buildings|NOx|Asthma symptoms wheeze", US_national_yearly!$D:$AM, 36, FALSE) / VLOOKUP("buildings|NOx|Asthma symptoms wheeze", US_national_yearly!$D:$AM, 10, FALSE), 1)</f>
        <v>3.5021148663215876E-3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3.4600923525217862E-5</v>
      </c>
      <c r="C12" s="7">
        <f>$B12 * IFERROR(VLOOKUP("buildings|NOx|Respiratory hospital admissions", US_national_yearly!$D:$AM, 11, FALSE) / VLOOKUP("buildings|NOx|Respiratory hospital admissions", US_national_yearly!$D:$AM, 10, FALSE), 1)</f>
        <v>3.546540512583485E-5</v>
      </c>
      <c r="D12" s="7">
        <f>$B12 * IFERROR(VLOOKUP("buildings|NOx|Respiratory hospital admissions", US_national_yearly!$D:$AM, 12, FALSE) / VLOOKUP("buildings|NOx|Respiratory hospital admissions", US_national_yearly!$D:$AM, 10, FALSE), 1)</f>
        <v>3.6329886726451838E-5</v>
      </c>
      <c r="E12" s="7">
        <f>$B12 * IFERROR(VLOOKUP("buildings|NOx|Respiratory hospital admissions", US_national_yearly!$D:$AM, 13, FALSE) / VLOOKUP("buildings|NOx|Respiratory hospital admissions", US_national_yearly!$D:$AM, 10, FALSE), 1)</f>
        <v>3.719436832706882E-5</v>
      </c>
      <c r="F12" s="7">
        <f>$B12 * IFERROR(VLOOKUP("buildings|NOx|Respiratory hospital admissions", US_national_yearly!$D:$AM, 14, FALSE) / VLOOKUP("buildings|NOx|Respiratory hospital admissions", US_national_yearly!$D:$AM, 10, FALSE), 1)</f>
        <v>3.8058849927685808E-5</v>
      </c>
      <c r="G12" s="7">
        <f>$B12 * IFERROR(VLOOKUP("buildings|NOx|Respiratory hospital admissions", US_national_yearly!$D:$AM, 15, FALSE) / VLOOKUP("buildings|NOx|Respiratory hospital admissions", US_national_yearly!$D:$AM, 10, FALSE), 1)</f>
        <v>3.8885320643863103E-5</v>
      </c>
      <c r="H12" s="7">
        <f>$B12 * IFERROR(VLOOKUP("buildings|NOx|Respiratory hospital admissions", US_national_yearly!$D:$AM, 16, FALSE) / VLOOKUP("buildings|NOx|Respiratory hospital admissions", US_national_yearly!$D:$AM, 10, FALSE), 1)</f>
        <v>3.9711791360040384E-5</v>
      </c>
      <c r="I12" s="7">
        <f>$B12 * IFERROR(VLOOKUP("buildings|NOx|Respiratory hospital admissions", US_national_yearly!$D:$AM, 17, FALSE) / VLOOKUP("buildings|NOx|Respiratory hospital admissions", US_national_yearly!$D:$AM, 10, FALSE), 1)</f>
        <v>4.0413858761563543E-5</v>
      </c>
      <c r="J12" s="7">
        <f>$B12 * IFERROR(VLOOKUP("buildings|NOx|Respiratory hospital admissions", US_national_yearly!$D:$AM, 18, FALSE) / VLOOKUP("buildings|NOx|Respiratory hospital admissions", US_national_yearly!$D:$AM, 10, FALSE), 1)</f>
        <v>4.1115926163086695E-5</v>
      </c>
      <c r="K12" s="7">
        <f>$B12 * IFERROR(VLOOKUP("buildings|NOx|Respiratory hospital admissions", US_national_yearly!$D:$AM, 19, FALSE) / VLOOKUP("buildings|NOx|Respiratory hospital admissions", US_national_yearly!$D:$AM, 10, FALSE), 1)</f>
        <v>4.1817993564609854E-5</v>
      </c>
      <c r="L12" s="7">
        <f>$B12 * IFERROR(VLOOKUP("buildings|NOx|Respiratory hospital admissions", US_national_yearly!$D:$AM, 20, FALSE) / VLOOKUP("buildings|NOx|Respiratory hospital admissions", US_national_yearly!$D:$AM, 10, FALSE), 1)</f>
        <v>4.2520060966133007E-5</v>
      </c>
      <c r="M12" s="7">
        <f>$B12 * IFERROR(VLOOKUP("buildings|NOx|Respiratory hospital admissions", US_national_yearly!$D:$AM, 21, FALSE) / VLOOKUP("buildings|NOx|Respiratory hospital admissions", US_national_yearly!$D:$AM, 10, FALSE), 1)</f>
        <v>4.3222128367656166E-5</v>
      </c>
      <c r="N12" s="7">
        <f>$B12 * IFERROR(VLOOKUP("buildings|NOx|Respiratory hospital admissions", US_national_yearly!$D:$AM, 22, FALSE) / VLOOKUP("buildings|NOx|Respiratory hospital admissions", US_national_yearly!$D:$AM, 10, FALSE), 1)</f>
        <v>4.3691456562654076E-5</v>
      </c>
      <c r="O12" s="7">
        <f>$B12 * IFERROR(VLOOKUP("buildings|NOx|Respiratory hospital admissions", US_national_yearly!$D:$AM, 23, FALSE) / VLOOKUP("buildings|NOx|Respiratory hospital admissions", US_national_yearly!$D:$AM, 10, FALSE), 1)</f>
        <v>4.4160784757651986E-5</v>
      </c>
      <c r="P12" s="7">
        <f>$B12 * IFERROR(VLOOKUP("buildings|NOx|Respiratory hospital admissions", US_national_yearly!$D:$AM, 24, FALSE) / VLOOKUP("buildings|NOx|Respiratory hospital admissions", US_national_yearly!$D:$AM, 10, FALSE), 1)</f>
        <v>4.4630112952649896E-5</v>
      </c>
      <c r="Q12" s="7">
        <f>$B12 * IFERROR(VLOOKUP("buildings|NOx|Respiratory hospital admissions", US_national_yearly!$D:$AM, 25, FALSE) / VLOOKUP("buildings|NOx|Respiratory hospital admissions", US_national_yearly!$D:$AM, 10, FALSE), 1)</f>
        <v>4.5099441147647813E-5</v>
      </c>
      <c r="R12" s="7">
        <f>$B12 * IFERROR(VLOOKUP("buildings|NOx|Respiratory hospital admissions", US_national_yearly!$D:$AM, 26, FALSE) / VLOOKUP("buildings|NOx|Respiratory hospital admissions", US_national_yearly!$D:$AM, 10, FALSE), 1)</f>
        <v>4.5568769342645717E-5</v>
      </c>
      <c r="S12" s="7">
        <f>$B12 * IFERROR(VLOOKUP("buildings|NOx|Respiratory hospital admissions", US_national_yearly!$D:$AM, 27, FALSE) / VLOOKUP("buildings|NOx|Respiratory hospital admissions", US_national_yearly!$D:$AM, 10, FALSE), 1)</f>
        <v>4.5820408907826922E-5</v>
      </c>
      <c r="T12" s="7">
        <f>$B12 * IFERROR(VLOOKUP("buildings|NOx|Respiratory hospital admissions", US_national_yearly!$D:$AM, 28, FALSE) / VLOOKUP("buildings|NOx|Respiratory hospital admissions", US_national_yearly!$D:$AM, 10, FALSE), 1)</f>
        <v>4.6072048473008121E-5</v>
      </c>
      <c r="U12" s="7">
        <f>$B12 * IFERROR(VLOOKUP("buildings|NOx|Respiratory hospital admissions", US_national_yearly!$D:$AM, 29, FALSE) / VLOOKUP("buildings|NOx|Respiratory hospital admissions", US_national_yearly!$D:$AM, 10, FALSE), 1)</f>
        <v>4.6323688038189326E-5</v>
      </c>
      <c r="V12" s="7">
        <f>$B12 * IFERROR(VLOOKUP("buildings|NOx|Respiratory hospital admissions", US_national_yearly!$D:$AM, 30, FALSE) / VLOOKUP("buildings|NOx|Respiratory hospital admissions", US_national_yearly!$D:$AM, 10, FALSE), 1)</f>
        <v>4.6575327603370525E-5</v>
      </c>
      <c r="W12" s="7">
        <f>$B12 * IFERROR(VLOOKUP("buildings|NOx|Respiratory hospital admissions", US_national_yearly!$D:$AM, 31, FALSE) / VLOOKUP("buildings|NOx|Respiratory hospital admissions", US_national_yearly!$D:$AM, 10, FALSE), 1)</f>
        <v>4.6826967168551717E-5</v>
      </c>
      <c r="X12" s="7">
        <f>$B12 * IFERROR(VLOOKUP("buildings|NOx|Respiratory hospital admissions", US_national_yearly!$D:$AM, 32, FALSE) / VLOOKUP("buildings|NOx|Respiratory hospital admissions", US_national_yearly!$D:$AM, 10, FALSE), 1)</f>
        <v>4.6999226324425179E-5</v>
      </c>
      <c r="Y12" s="7">
        <f>$B12 * IFERROR(VLOOKUP("buildings|NOx|Respiratory hospital admissions", US_national_yearly!$D:$AM, 33, FALSE) / VLOOKUP("buildings|NOx|Respiratory hospital admissions", US_national_yearly!$D:$AM, 10, FALSE), 1)</f>
        <v>4.7171485480298635E-5</v>
      </c>
      <c r="Z12" s="7">
        <f>$B12 * IFERROR(VLOOKUP("buildings|NOx|Respiratory hospital admissions", US_national_yearly!$D:$AM, 34, FALSE) / VLOOKUP("buildings|NOx|Respiratory hospital admissions", US_national_yearly!$D:$AM, 10, FALSE), 1)</f>
        <v>4.7343744636172097E-5</v>
      </c>
      <c r="AA12" s="7">
        <f>$B12 * IFERROR(VLOOKUP("buildings|NOx|Respiratory hospital admissions", US_national_yearly!$D:$AM, 35, FALSE) / VLOOKUP("buildings|NOx|Respiratory hospital admissions", US_national_yearly!$D:$AM, 10, FALSE), 1)</f>
        <v>4.7516003792045552E-5</v>
      </c>
      <c r="AB12" s="7">
        <f>$B12 * IFERROR(VLOOKUP("buildings|NOx|Respiratory hospital admissions", US_national_yearly!$D:$AM, 36, FALSE) / VLOOKUP("buildings|NOx|Respiratory hospital admissions", US_national_yearly!$D:$AM, 10, FALSE), 1)</f>
        <v>4.7688262947919015E-5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1.9647957724521943E-4</v>
      </c>
      <c r="C13" s="7">
        <f>$B13 * IFERROR(VLOOKUP("buildings|NOx|Non-fatal heart attacks", US_national_yearly!$D:$AM, 11, FALSE) / VLOOKUP("buildings|NOx|Non-fatal heart attacks", US_national_yearly!$D:$AM, 10, FALSE), 1)</f>
        <v>2.02100457355258E-4</v>
      </c>
      <c r="D13" s="7">
        <f>$B13 * IFERROR(VLOOKUP("buildings|NOx|Non-fatal heart attacks", US_national_yearly!$D:$AM, 12, FALSE) / VLOOKUP("buildings|NOx|Non-fatal heart attacks", US_national_yearly!$D:$AM, 10, FALSE), 1)</f>
        <v>2.0772133746529669E-4</v>
      </c>
      <c r="E13" s="7">
        <f>$B13 * IFERROR(VLOOKUP("buildings|NOx|Non-fatal heart attacks", US_national_yearly!$D:$AM, 13, FALSE) / VLOOKUP("buildings|NOx|Non-fatal heart attacks", US_national_yearly!$D:$AM, 10, FALSE), 1)</f>
        <v>2.1334221757533526E-4</v>
      </c>
      <c r="F13" s="7">
        <f>$B13 * IFERROR(VLOOKUP("buildings|NOx|Non-fatal heart attacks", US_national_yearly!$D:$AM, 14, FALSE) / VLOOKUP("buildings|NOx|Non-fatal heart attacks", US_national_yearly!$D:$AM, 10, FALSE), 1)</f>
        <v>2.1896309768537384E-4</v>
      </c>
      <c r="G13" s="7">
        <f>$B13 * IFERROR(VLOOKUP("buildings|NOx|Non-fatal heart attacks", US_national_yearly!$D:$AM, 15, FALSE) / VLOOKUP("buildings|NOx|Non-fatal heart attacks", US_national_yearly!$D:$AM, 10, FALSE), 1)</f>
        <v>2.2421691541873675E-4</v>
      </c>
      <c r="H13" s="7">
        <f>$B13 * IFERROR(VLOOKUP("buildings|NOx|Non-fatal heart attacks", US_national_yearly!$D:$AM, 16, FALSE) / VLOOKUP("buildings|NOx|Non-fatal heart attacks", US_national_yearly!$D:$AM, 10, FALSE), 1)</f>
        <v>2.2947073315209972E-4</v>
      </c>
      <c r="I13" s="7">
        <f>$B13 * IFERROR(VLOOKUP("buildings|NOx|Non-fatal heart attacks", US_national_yearly!$D:$AM, 17, FALSE) / VLOOKUP("buildings|NOx|Non-fatal heart attacks", US_national_yearly!$D:$AM, 10, FALSE), 1)</f>
        <v>2.336156176754025E-4</v>
      </c>
      <c r="J13" s="7">
        <f>$B13 * IFERROR(VLOOKUP("buildings|NOx|Non-fatal heart attacks", US_national_yearly!$D:$AM, 18, FALSE) / VLOOKUP("buildings|NOx|Non-fatal heart attacks", US_national_yearly!$D:$AM, 10, FALSE), 1)</f>
        <v>2.3776050219870531E-4</v>
      </c>
      <c r="K13" s="7">
        <f>$B13 * IFERROR(VLOOKUP("buildings|NOx|Non-fatal heart attacks", US_national_yearly!$D:$AM, 19, FALSE) / VLOOKUP("buildings|NOx|Non-fatal heart attacks", US_national_yearly!$D:$AM, 10, FALSE), 1)</f>
        <v>2.419053867220082E-4</v>
      </c>
      <c r="L13" s="7">
        <f>$B13 * IFERROR(VLOOKUP("buildings|NOx|Non-fatal heart attacks", US_national_yearly!$D:$AM, 20, FALSE) / VLOOKUP("buildings|NOx|Non-fatal heart attacks", US_national_yearly!$D:$AM, 10, FALSE), 1)</f>
        <v>2.4605027124531087E-4</v>
      </c>
      <c r="M13" s="7">
        <f>$B13 * IFERROR(VLOOKUP("buildings|NOx|Non-fatal heart attacks", US_national_yearly!$D:$AM, 21, FALSE) / VLOOKUP("buildings|NOx|Non-fatal heart attacks", US_national_yearly!$D:$AM, 10, FALSE), 1)</f>
        <v>2.5019515576861376E-4</v>
      </c>
      <c r="N13" s="7">
        <f>$B13 * IFERROR(VLOOKUP("buildings|NOx|Non-fatal heart attacks", US_national_yearly!$D:$AM, 22, FALSE) / VLOOKUP("buildings|NOx|Non-fatal heart attacks", US_national_yearly!$D:$AM, 10, FALSE), 1)</f>
        <v>2.5268967292288772E-4</v>
      </c>
      <c r="O13" s="7">
        <f>$B13 * IFERROR(VLOOKUP("buildings|NOx|Non-fatal heart attacks", US_national_yearly!$D:$AM, 23, FALSE) / VLOOKUP("buildings|NOx|Non-fatal heart attacks", US_national_yearly!$D:$AM, 10, FALSE), 1)</f>
        <v>2.5518419007716168E-4</v>
      </c>
      <c r="P13" s="7">
        <f>$B13 * IFERROR(VLOOKUP("buildings|NOx|Non-fatal heart attacks", US_national_yearly!$D:$AM, 24, FALSE) / VLOOKUP("buildings|NOx|Non-fatal heart attacks", US_national_yearly!$D:$AM, 10, FALSE), 1)</f>
        <v>2.576787072314357E-4</v>
      </c>
      <c r="Q13" s="7">
        <f>$B13 * IFERROR(VLOOKUP("buildings|NOx|Non-fatal heart attacks", US_national_yearly!$D:$AM, 25, FALSE) / VLOOKUP("buildings|NOx|Non-fatal heart attacks", US_national_yearly!$D:$AM, 10, FALSE), 1)</f>
        <v>2.6017322438570966E-4</v>
      </c>
      <c r="R13" s="7">
        <f>$B13 * IFERROR(VLOOKUP("buildings|NOx|Non-fatal heart attacks", US_national_yearly!$D:$AM, 26, FALSE) / VLOOKUP("buildings|NOx|Non-fatal heart attacks", US_national_yearly!$D:$AM, 10, FALSE), 1)</f>
        <v>2.6266774153998362E-4</v>
      </c>
      <c r="S13" s="7">
        <f>$B13 * IFERROR(VLOOKUP("buildings|NOx|Non-fatal heart attacks", US_national_yearly!$D:$AM, 27, FALSE) / VLOOKUP("buildings|NOx|Non-fatal heart attacks", US_national_yearly!$D:$AM, 10, FALSE), 1)</f>
        <v>2.6380134799517866E-4</v>
      </c>
      <c r="T13" s="7">
        <f>$B13 * IFERROR(VLOOKUP("buildings|NOx|Non-fatal heart attacks", US_national_yearly!$D:$AM, 28, FALSE) / VLOOKUP("buildings|NOx|Non-fatal heart attacks", US_national_yearly!$D:$AM, 10, FALSE), 1)</f>
        <v>2.6493495445037386E-4</v>
      </c>
      <c r="U13" s="7">
        <f>$B13 * IFERROR(VLOOKUP("buildings|NOx|Non-fatal heart attacks", US_national_yearly!$D:$AM, 29, FALSE) / VLOOKUP("buildings|NOx|Non-fatal heart attacks", US_national_yearly!$D:$AM, 10, FALSE), 1)</f>
        <v>2.660685609055689E-4</v>
      </c>
      <c r="V13" s="7">
        <f>$B13 * IFERROR(VLOOKUP("buildings|NOx|Non-fatal heart attacks", US_national_yearly!$D:$AM, 30, FALSE) / VLOOKUP("buildings|NOx|Non-fatal heart attacks", US_national_yearly!$D:$AM, 10, FALSE), 1)</f>
        <v>2.6720216736076394E-4</v>
      </c>
      <c r="W13" s="7">
        <f>$B13 * IFERROR(VLOOKUP("buildings|NOx|Non-fatal heart attacks", US_national_yearly!$D:$AM, 31, FALSE) / VLOOKUP("buildings|NOx|Non-fatal heart attacks", US_national_yearly!$D:$AM, 10, FALSE), 1)</f>
        <v>2.6833577381595909E-4</v>
      </c>
      <c r="X13" s="7">
        <f>$B13 * IFERROR(VLOOKUP("buildings|NOx|Non-fatal heart attacks", US_national_yearly!$D:$AM, 32, FALSE) / VLOOKUP("buildings|NOx|Non-fatal heart attacks", US_national_yearly!$D:$AM, 10, FALSE), 1)</f>
        <v>2.6909406422321198E-4</v>
      </c>
      <c r="Y13" s="7">
        <f>$B13 * IFERROR(VLOOKUP("buildings|NOx|Non-fatal heart attacks", US_national_yearly!$D:$AM, 33, FALSE) / VLOOKUP("buildings|NOx|Non-fatal heart attacks", US_national_yearly!$D:$AM, 10, FALSE), 1)</f>
        <v>2.6985235463046486E-4</v>
      </c>
      <c r="Z13" s="7">
        <f>$B13 * IFERROR(VLOOKUP("buildings|NOx|Non-fatal heart attacks", US_national_yearly!$D:$AM, 34, FALSE) / VLOOKUP("buildings|NOx|Non-fatal heart attacks", US_national_yearly!$D:$AM, 10, FALSE), 1)</f>
        <v>2.7061064503771786E-4</v>
      </c>
      <c r="AA13" s="7">
        <f>$B13 * IFERROR(VLOOKUP("buildings|NOx|Non-fatal heart attacks", US_national_yearly!$D:$AM, 35, FALSE) / VLOOKUP("buildings|NOx|Non-fatal heart attacks", US_national_yearly!$D:$AM, 10, FALSE), 1)</f>
        <v>2.7136893544497075E-4</v>
      </c>
      <c r="AB13" s="7">
        <f>$B13 * IFERROR(VLOOKUP("buildings|NOx|Non-fatal heart attacks", US_national_yearly!$D:$AM, 36, FALSE) / VLOOKUP("buildings|NOx|Non-fatal heart attacks", US_national_yearly!$D:$AM, 10, FALSE), 1)</f>
        <v>2.7212722585222363E-4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0.17597289133131777</v>
      </c>
      <c r="C14" s="7">
        <f>$B14 * IFERROR(VLOOKUP("buildings|NOx|Minor restricted activity days", US_national_yearly!$D:$AM, 11, FALSE) / VLOOKUP("buildings|NOx|Minor restricted activity days", US_national_yearly!$D:$AM, 10, FALSE), 1)</f>
        <v>0.17624595964232315</v>
      </c>
      <c r="D14" s="7">
        <f>$B14 * IFERROR(VLOOKUP("buildings|NOx|Minor restricted activity days", US_national_yearly!$D:$AM, 12, FALSE) / VLOOKUP("buildings|NOx|Minor restricted activity days", US_national_yearly!$D:$AM, 10, FALSE), 1)</f>
        <v>0.17651902795332852</v>
      </c>
      <c r="E14" s="7">
        <f>$B14 * IFERROR(VLOOKUP("buildings|NOx|Minor restricted activity days", US_national_yearly!$D:$AM, 13, FALSE) / VLOOKUP("buildings|NOx|Minor restricted activity days", US_national_yearly!$D:$AM, 10, FALSE), 1)</f>
        <v>0.1767920962643339</v>
      </c>
      <c r="F14" s="7">
        <f>$B14 * IFERROR(VLOOKUP("buildings|NOx|Minor restricted activity days", US_national_yearly!$D:$AM, 14, FALSE) / VLOOKUP("buildings|NOx|Minor restricted activity days", US_national_yearly!$D:$AM, 10, FALSE), 1)</f>
        <v>0.1770651645753393</v>
      </c>
      <c r="G14" s="7">
        <f>$B14 * IFERROR(VLOOKUP("buildings|NOx|Minor restricted activity days", US_national_yearly!$D:$AM, 15, FALSE) / VLOOKUP("buildings|NOx|Minor restricted activity days", US_national_yearly!$D:$AM, 10, FALSE), 1)</f>
        <v>0.17755573226992072</v>
      </c>
      <c r="H14" s="7">
        <f>$B14 * IFERROR(VLOOKUP("buildings|NOx|Minor restricted activity days", US_national_yearly!$D:$AM, 16, FALSE) / VLOOKUP("buildings|NOx|Minor restricted activity days", US_national_yearly!$D:$AM, 10, FALSE), 1)</f>
        <v>0.17804629996450216</v>
      </c>
      <c r="I14" s="7">
        <f>$B14 * IFERROR(VLOOKUP("buildings|NOx|Minor restricted activity days", US_national_yearly!$D:$AM, 17, FALSE) / VLOOKUP("buildings|NOx|Minor restricted activity days", US_national_yearly!$D:$AM, 10, FALSE), 1)</f>
        <v>0.17900276700926621</v>
      </c>
      <c r="J14" s="7">
        <f>$B14 * IFERROR(VLOOKUP("buildings|NOx|Minor restricted activity days", US_national_yearly!$D:$AM, 18, FALSE) / VLOOKUP("buildings|NOx|Minor restricted activity days", US_national_yearly!$D:$AM, 10, FALSE), 1)</f>
        <v>0.17995923405403028</v>
      </c>
      <c r="K14" s="7">
        <f>$B14 * IFERROR(VLOOKUP("buildings|NOx|Minor restricted activity days", US_national_yearly!$D:$AM, 19, FALSE) / VLOOKUP("buildings|NOx|Minor restricted activity days", US_national_yearly!$D:$AM, 10, FALSE), 1)</f>
        <v>0.18091570109879432</v>
      </c>
      <c r="L14" s="7">
        <f>$B14 * IFERROR(VLOOKUP("buildings|NOx|Minor restricted activity days", US_national_yearly!$D:$AM, 20, FALSE) / VLOOKUP("buildings|NOx|Minor restricted activity days", US_national_yearly!$D:$AM, 10, FALSE), 1)</f>
        <v>0.18187216814355836</v>
      </c>
      <c r="M14" s="7">
        <f>$B14 * IFERROR(VLOOKUP("buildings|NOx|Minor restricted activity days", US_national_yearly!$D:$AM, 21, FALSE) / VLOOKUP("buildings|NOx|Minor restricted activity days", US_national_yearly!$D:$AM, 10, FALSE), 1)</f>
        <v>0.1828286351883224</v>
      </c>
      <c r="N14" s="7">
        <f>$B14 * IFERROR(VLOOKUP("buildings|NOx|Minor restricted activity days", US_national_yearly!$D:$AM, 22, FALSE) / VLOOKUP("buildings|NOx|Minor restricted activity days", US_national_yearly!$D:$AM, 10, FALSE), 1)</f>
        <v>0.18419696486694304</v>
      </c>
      <c r="O14" s="7">
        <f>$B14 * IFERROR(VLOOKUP("buildings|NOx|Minor restricted activity days", US_national_yearly!$D:$AM, 23, FALSE) / VLOOKUP("buildings|NOx|Minor restricted activity days", US_national_yearly!$D:$AM, 10, FALSE), 1)</f>
        <v>0.18556529454556364</v>
      </c>
      <c r="P14" s="7">
        <f>$B14 * IFERROR(VLOOKUP("buildings|NOx|Minor restricted activity days", US_national_yearly!$D:$AM, 24, FALSE) / VLOOKUP("buildings|NOx|Minor restricted activity days", US_national_yearly!$D:$AM, 10, FALSE), 1)</f>
        <v>0.18693362422418425</v>
      </c>
      <c r="Q14" s="7">
        <f>$B14 * IFERROR(VLOOKUP("buildings|NOx|Minor restricted activity days", US_national_yearly!$D:$AM, 25, FALSE) / VLOOKUP("buildings|NOx|Minor restricted activity days", US_national_yearly!$D:$AM, 10, FALSE), 1)</f>
        <v>0.18830195390280485</v>
      </c>
      <c r="R14" s="7">
        <f>$B14 * IFERROR(VLOOKUP("buildings|NOx|Minor restricted activity days", US_national_yearly!$D:$AM, 26, FALSE) / VLOOKUP("buildings|NOx|Minor restricted activity days", US_national_yearly!$D:$AM, 10, FALSE), 1)</f>
        <v>0.18967028358142543</v>
      </c>
      <c r="S14" s="7">
        <f>$B14 * IFERROR(VLOOKUP("buildings|NOx|Minor restricted activity days", US_national_yearly!$D:$AM, 27, FALSE) / VLOOKUP("buildings|NOx|Minor restricted activity days", US_national_yearly!$D:$AM, 10, FALSE), 1)</f>
        <v>0.19103821935508356</v>
      </c>
      <c r="T14" s="7">
        <f>$B14 * IFERROR(VLOOKUP("buildings|NOx|Minor restricted activity days", US_national_yearly!$D:$AM, 28, FALSE) / VLOOKUP("buildings|NOx|Minor restricted activity days", US_national_yearly!$D:$AM, 10, FALSE), 1)</f>
        <v>0.19240615512874165</v>
      </c>
      <c r="U14" s="7">
        <f>$B14 * IFERROR(VLOOKUP("buildings|NOx|Minor restricted activity days", US_national_yearly!$D:$AM, 29, FALSE) / VLOOKUP("buildings|NOx|Minor restricted activity days", US_national_yearly!$D:$AM, 10, FALSE), 1)</f>
        <v>0.19377409090239978</v>
      </c>
      <c r="V14" s="7">
        <f>$B14 * IFERROR(VLOOKUP("buildings|NOx|Minor restricted activity days", US_national_yearly!$D:$AM, 30, FALSE) / VLOOKUP("buildings|NOx|Minor restricted activity days", US_national_yearly!$D:$AM, 10, FALSE), 1)</f>
        <v>0.19514202667605787</v>
      </c>
      <c r="W14" s="7">
        <f>$B14 * IFERROR(VLOOKUP("buildings|NOx|Minor restricted activity days", US_national_yearly!$D:$AM, 31, FALSE) / VLOOKUP("buildings|NOx|Minor restricted activity days", US_national_yearly!$D:$AM, 10, FALSE), 1)</f>
        <v>0.196509962449716</v>
      </c>
      <c r="X14" s="7">
        <f>$B14 * IFERROR(VLOOKUP("buildings|NOx|Minor restricted activity days", US_national_yearly!$D:$AM, 32, FALSE) / VLOOKUP("buildings|NOx|Minor restricted activity days", US_national_yearly!$D:$AM, 10, FALSE), 1)</f>
        <v>0.1976668819240382</v>
      </c>
      <c r="Y14" s="7">
        <f>$B14 * IFERROR(VLOOKUP("buildings|NOx|Minor restricted activity days", US_national_yearly!$D:$AM, 33, FALSE) / VLOOKUP("buildings|NOx|Minor restricted activity days", US_national_yearly!$D:$AM, 10, FALSE), 1)</f>
        <v>0.19882380139836042</v>
      </c>
      <c r="Z14" s="7">
        <f>$B14 * IFERROR(VLOOKUP("buildings|NOx|Minor restricted activity days", US_national_yearly!$D:$AM, 34, FALSE) / VLOOKUP("buildings|NOx|Minor restricted activity days", US_national_yearly!$D:$AM, 10, FALSE), 1)</f>
        <v>0.19998072087268259</v>
      </c>
      <c r="AA14" s="7">
        <f>$B14 * IFERROR(VLOOKUP("buildings|NOx|Minor restricted activity days", US_national_yearly!$D:$AM, 35, FALSE) / VLOOKUP("buildings|NOx|Minor restricted activity days", US_national_yearly!$D:$AM, 10, FALSE), 1)</f>
        <v>0.20113764034700485</v>
      </c>
      <c r="AB14" s="7">
        <f>$B14 * IFERROR(VLOOKUP("buildings|NOx|Minor restricted activity days", US_national_yearly!$D:$AM, 36, FALSE) / VLOOKUP("buildings|NOx|Minor restricted activity days", US_national_yearly!$D:$AM, 10, FALSE), 1)</f>
        <v>0.20229455982132705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2.9893902268497342E-2</v>
      </c>
      <c r="C15" s="7">
        <f>$B15 * IFERROR(VLOOKUP("buildings|NOx|Work loss days", US_national_yearly!$D:$AM, 11, FALSE) / VLOOKUP("buildings|NOx|Work loss days", US_national_yearly!$D:$AM, 10, FALSE), 1)</f>
        <v>2.9960916477335592E-2</v>
      </c>
      <c r="D15" s="7">
        <f>$B15 * IFERROR(VLOOKUP("buildings|NOx|Work loss days", US_national_yearly!$D:$AM, 12, FALSE) / VLOOKUP("buildings|NOx|Work loss days", US_national_yearly!$D:$AM, 10, FALSE), 1)</f>
        <v>3.0027930686173834E-2</v>
      </c>
      <c r="E15" s="7">
        <f>$B15 * IFERROR(VLOOKUP("buildings|NOx|Work loss days", US_national_yearly!$D:$AM, 13, FALSE) / VLOOKUP("buildings|NOx|Work loss days", US_national_yearly!$D:$AM, 10, FALSE), 1)</f>
        <v>3.0094944895012077E-2</v>
      </c>
      <c r="F15" s="7">
        <f>$B15 * IFERROR(VLOOKUP("buildings|NOx|Work loss days", US_national_yearly!$D:$AM, 14, FALSE) / VLOOKUP("buildings|NOx|Work loss days", US_national_yearly!$D:$AM, 10, FALSE), 1)</f>
        <v>3.0161959103850323E-2</v>
      </c>
      <c r="G15" s="7">
        <f>$B15 * IFERROR(VLOOKUP("buildings|NOx|Work loss days", US_national_yearly!$D:$AM, 15, FALSE) / VLOOKUP("buildings|NOx|Work loss days", US_national_yearly!$D:$AM, 10, FALSE), 1)</f>
        <v>3.0259572812327145E-2</v>
      </c>
      <c r="H15" s="7">
        <f>$B15 * IFERROR(VLOOKUP("buildings|NOx|Work loss days", US_national_yearly!$D:$AM, 16, FALSE) / VLOOKUP("buildings|NOx|Work loss days", US_national_yearly!$D:$AM, 10, FALSE), 1)</f>
        <v>3.0357186520803967E-2</v>
      </c>
      <c r="I15" s="7">
        <f>$B15 * IFERROR(VLOOKUP("buildings|NOx|Work loss days", US_national_yearly!$D:$AM, 17, FALSE) / VLOOKUP("buildings|NOx|Work loss days", US_national_yearly!$D:$AM, 10, FALSE), 1)</f>
        <v>3.0515057309939059E-2</v>
      </c>
      <c r="J15" s="7">
        <f>$B15 * IFERROR(VLOOKUP("buildings|NOx|Work loss days", US_national_yearly!$D:$AM, 18, FALSE) / VLOOKUP("buildings|NOx|Work loss days", US_national_yearly!$D:$AM, 10, FALSE), 1)</f>
        <v>3.0672928099074143E-2</v>
      </c>
      <c r="K15" s="7">
        <f>$B15 * IFERROR(VLOOKUP("buildings|NOx|Work loss days", US_national_yearly!$D:$AM, 19, FALSE) / VLOOKUP("buildings|NOx|Work loss days", US_national_yearly!$D:$AM, 10, FALSE), 1)</f>
        <v>3.0830798888209235E-2</v>
      </c>
      <c r="L15" s="7">
        <f>$B15 * IFERROR(VLOOKUP("buildings|NOx|Work loss days", US_national_yearly!$D:$AM, 20, FALSE) / VLOOKUP("buildings|NOx|Work loss days", US_national_yearly!$D:$AM, 10, FALSE), 1)</f>
        <v>3.0988669677344326E-2</v>
      </c>
      <c r="M15" s="7">
        <f>$B15 * IFERROR(VLOOKUP("buildings|NOx|Work loss days", US_national_yearly!$D:$AM, 21, FALSE) / VLOOKUP("buildings|NOx|Work loss days", US_national_yearly!$D:$AM, 10, FALSE), 1)</f>
        <v>3.1146540466479411E-2</v>
      </c>
      <c r="N15" s="7">
        <f>$B15 * IFERROR(VLOOKUP("buildings|NOx|Work loss days", US_national_yearly!$D:$AM, 22, FALSE) / VLOOKUP("buildings|NOx|Work loss days", US_national_yearly!$D:$AM, 10, FALSE), 1)</f>
        <v>3.1351930623549476E-2</v>
      </c>
      <c r="O15" s="7">
        <f>$B15 * IFERROR(VLOOKUP("buildings|NOx|Work loss days", US_national_yearly!$D:$AM, 23, FALSE) / VLOOKUP("buildings|NOx|Work loss days", US_national_yearly!$D:$AM, 10, FALSE), 1)</f>
        <v>3.1557320780619548E-2</v>
      </c>
      <c r="P15" s="7">
        <f>$B15 * IFERROR(VLOOKUP("buildings|NOx|Work loss days", US_national_yearly!$D:$AM, 24, FALSE) / VLOOKUP("buildings|NOx|Work loss days", US_national_yearly!$D:$AM, 10, FALSE), 1)</f>
        <v>3.1762710937689613E-2</v>
      </c>
      <c r="Q15" s="7">
        <f>$B15 * IFERROR(VLOOKUP("buildings|NOx|Work loss days", US_national_yearly!$D:$AM, 25, FALSE) / VLOOKUP("buildings|NOx|Work loss days", US_national_yearly!$D:$AM, 10, FALSE), 1)</f>
        <v>3.1968101094759685E-2</v>
      </c>
      <c r="R15" s="7">
        <f>$B15 * IFERROR(VLOOKUP("buildings|NOx|Work loss days", US_national_yearly!$D:$AM, 26, FALSE) / VLOOKUP("buildings|NOx|Work loss days", US_national_yearly!$D:$AM, 10, FALSE), 1)</f>
        <v>3.2173491251829757E-2</v>
      </c>
      <c r="S15" s="7">
        <f>$B15 * IFERROR(VLOOKUP("buildings|NOx|Work loss days", US_national_yearly!$D:$AM, 27, FALSE) / VLOOKUP("buildings|NOx|Work loss days", US_national_yearly!$D:$AM, 10, FALSE), 1)</f>
        <v>3.2402362587531534E-2</v>
      </c>
      <c r="T15" s="7">
        <f>$B15 * IFERROR(VLOOKUP("buildings|NOx|Work loss days", US_national_yearly!$D:$AM, 28, FALSE) / VLOOKUP("buildings|NOx|Work loss days", US_national_yearly!$D:$AM, 10, FALSE), 1)</f>
        <v>3.2631233923233312E-2</v>
      </c>
      <c r="U15" s="7">
        <f>$B15 * IFERROR(VLOOKUP("buildings|NOx|Work loss days", US_national_yearly!$D:$AM, 29, FALSE) / VLOOKUP("buildings|NOx|Work loss days", US_national_yearly!$D:$AM, 10, FALSE), 1)</f>
        <v>3.2860105258935089E-2</v>
      </c>
      <c r="V15" s="7">
        <f>$B15 * IFERROR(VLOOKUP("buildings|NOx|Work loss days", US_national_yearly!$D:$AM, 30, FALSE) / VLOOKUP("buildings|NOx|Work loss days", US_national_yearly!$D:$AM, 10, FALSE), 1)</f>
        <v>3.3088976594636867E-2</v>
      </c>
      <c r="W15" s="7">
        <f>$B15 * IFERROR(VLOOKUP("buildings|NOx|Work loss days", US_national_yearly!$D:$AM, 31, FALSE) / VLOOKUP("buildings|NOx|Work loss days", US_national_yearly!$D:$AM, 10, FALSE), 1)</f>
        <v>3.3317847930338644E-2</v>
      </c>
      <c r="X15" s="7">
        <f>$B15 * IFERROR(VLOOKUP("buildings|NOx|Work loss days", US_national_yearly!$D:$AM, 32, FALSE) / VLOOKUP("buildings|NOx|Work loss days", US_national_yearly!$D:$AM, 10, FALSE), 1)</f>
        <v>3.351655606947021E-2</v>
      </c>
      <c r="Y15" s="7">
        <f>$B15 * IFERROR(VLOOKUP("buildings|NOx|Work loss days", US_national_yearly!$D:$AM, 33, FALSE) / VLOOKUP("buildings|NOx|Work loss days", US_national_yearly!$D:$AM, 10, FALSE), 1)</f>
        <v>3.371526420860177E-2</v>
      </c>
      <c r="Z15" s="7">
        <f>$B15 * IFERROR(VLOOKUP("buildings|NOx|Work loss days", US_national_yearly!$D:$AM, 34, FALSE) / VLOOKUP("buildings|NOx|Work loss days", US_national_yearly!$D:$AM, 10, FALSE), 1)</f>
        <v>3.3913972347733329E-2</v>
      </c>
      <c r="AA15" s="7">
        <f>$B15 * IFERROR(VLOOKUP("buildings|NOx|Work loss days", US_national_yearly!$D:$AM, 35, FALSE) / VLOOKUP("buildings|NOx|Work loss days", US_national_yearly!$D:$AM, 10, FALSE), 1)</f>
        <v>3.4112680486864888E-2</v>
      </c>
      <c r="AB15" s="7">
        <f>$B15 * IFERROR(VLOOKUP("buildings|NOx|Work loss days", US_national_yearly!$D:$AM, 36, FALSE) / VLOOKUP("buildings|NOx|Work loss days", US_national_yearly!$D:$AM, 10, FALSE), 1)</f>
        <v>3.4311388625996447E-2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5.8325310155391782E-5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6.0040079456701053E-5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6.1754848758010345E-5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6.346961805931961E-5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6.5184387360628889E-5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6.6813387009335412E-5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6.8442386658041922E-5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6.9813029031001294E-5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7.1183671403960666E-5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7.2554313776920025E-5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7.3924956149879398E-5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7.5295598522838743E-5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7.6152982147240623E-5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7.7010365771642476E-5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7.7867749396044343E-5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7.8725133020446196E-5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7.9582516644848049E-5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7.9974279617936068E-5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8.0366042591024087E-5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8.0757805564112106E-5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8.1149568537200125E-5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8.1541331510288144E-5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8.1759696235922676E-5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8.1978060961557207E-5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8.2196425687191738E-5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8.2414790412826269E-5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8.26331551384608E-5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8.7789967607019832E-4</v>
      </c>
      <c r="C2" s="7">
        <f>$B2 * IFERROR(VLOOKUP("buildings|SO2|Premature mortality", US_national_yearly!$D:$AM, 11, FALSE) / VLOOKUP("buildings|SO2|Premature mortality", US_national_yearly!$D:$AM, 10, FALSE), 1)</f>
        <v>8.8902127071608229E-4</v>
      </c>
      <c r="D2" s="7">
        <f>$B2 * IFERROR(VLOOKUP("buildings|SO2|Premature mortality", US_national_yearly!$D:$AM, 12, FALSE) / VLOOKUP("buildings|SO2|Premature mortality", US_national_yearly!$D:$AM, 10, FALSE), 1)</f>
        <v>9.0014286536196616E-4</v>
      </c>
      <c r="E2" s="7">
        <f>$B2 * IFERROR(VLOOKUP("buildings|SO2|Premature mortality", US_national_yearly!$D:$AM, 13, FALSE) / VLOOKUP("buildings|SO2|Premature mortality", US_national_yearly!$D:$AM, 10, FALSE), 1)</f>
        <v>9.1126446000785013E-4</v>
      </c>
      <c r="F2" s="7">
        <f>$B2 * IFERROR(VLOOKUP("buildings|SO2|Premature mortality", US_national_yearly!$D:$AM, 14, FALSE) / VLOOKUP("buildings|SO2|Premature mortality", US_national_yearly!$D:$AM, 10, FALSE), 1)</f>
        <v>9.223860546537342E-4</v>
      </c>
      <c r="G2" s="7">
        <f>$B2 * IFERROR(VLOOKUP("buildings|SO2|Premature mortality", US_national_yearly!$D:$AM, 15, FALSE) / VLOOKUP("buildings|SO2|Premature mortality", US_national_yearly!$D:$AM, 10, FALSE), 1)</f>
        <v>9.4381511088526134E-4</v>
      </c>
      <c r="H2" s="7">
        <f>$B2 * IFERROR(VLOOKUP("buildings|SO2|Premature mortality", US_national_yearly!$D:$AM, 16, FALSE) / VLOOKUP("buildings|SO2|Premature mortality", US_national_yearly!$D:$AM, 10, FALSE), 1)</f>
        <v>9.652441671167887E-4</v>
      </c>
      <c r="I2" s="7">
        <f>$B2 * IFERROR(VLOOKUP("buildings|SO2|Premature mortality", US_national_yearly!$D:$AM, 17, FALSE) / VLOOKUP("buildings|SO2|Premature mortality", US_national_yearly!$D:$AM, 10, FALSE), 1)</f>
        <v>9.7941293601215497E-4</v>
      </c>
      <c r="J2" s="7">
        <f>$B2 * IFERROR(VLOOKUP("buildings|SO2|Premature mortality", US_national_yearly!$D:$AM, 18, FALSE) / VLOOKUP("buildings|SO2|Premature mortality", US_national_yearly!$D:$AM, 10, FALSE), 1)</f>
        <v>9.9358170490752092E-4</v>
      </c>
      <c r="K2" s="7">
        <f>$B2 * IFERROR(VLOOKUP("buildings|SO2|Premature mortality", US_national_yearly!$D:$AM, 19, FALSE) / VLOOKUP("buildings|SO2|Premature mortality", US_national_yearly!$D:$AM, 10, FALSE), 1)</f>
        <v>1.0077504738028871E-3</v>
      </c>
      <c r="L2" s="7">
        <f>$B2 * IFERROR(VLOOKUP("buildings|SO2|Premature mortality", US_national_yearly!$D:$AM, 20, FALSE) / VLOOKUP("buildings|SO2|Premature mortality", US_national_yearly!$D:$AM, 10, FALSE), 1)</f>
        <v>1.0219192426982532E-3</v>
      </c>
      <c r="M2" s="7">
        <f>$B2 * IFERROR(VLOOKUP("buildings|SO2|Premature mortality", US_national_yearly!$D:$AM, 21, FALSE) / VLOOKUP("buildings|SO2|Premature mortality", US_national_yearly!$D:$AM, 10, FALSE), 1)</f>
        <v>1.0360880115936194E-3</v>
      </c>
      <c r="N2" s="7">
        <f>$B2 * IFERROR(VLOOKUP("buildings|SO2|Premature mortality", US_national_yearly!$D:$AM, 22, FALSE) / VLOOKUP("buildings|SO2|Premature mortality", US_national_yearly!$D:$AM, 10, FALSE), 1)</f>
        <v>1.0471561561664255E-3</v>
      </c>
      <c r="O2" s="7">
        <f>$B2 * IFERROR(VLOOKUP("buildings|SO2|Premature mortality", US_national_yearly!$D:$AM, 23, FALSE) / VLOOKUP("buildings|SO2|Premature mortality", US_national_yearly!$D:$AM, 10, FALSE), 1)</f>
        <v>1.0582243007392312E-3</v>
      </c>
      <c r="P2" s="7">
        <f>$B2 * IFERROR(VLOOKUP("buildings|SO2|Premature mortality", US_national_yearly!$D:$AM, 24, FALSE) / VLOOKUP("buildings|SO2|Premature mortality", US_national_yearly!$D:$AM, 10, FALSE), 1)</f>
        <v>1.0692924453120371E-3</v>
      </c>
      <c r="Q2" s="7">
        <f>$B2 * IFERROR(VLOOKUP("buildings|SO2|Premature mortality", US_national_yearly!$D:$AM, 25, FALSE) / VLOOKUP("buildings|SO2|Premature mortality", US_national_yearly!$D:$AM, 10, FALSE), 1)</f>
        <v>1.0803605898848428E-3</v>
      </c>
      <c r="R2" s="7">
        <f>$B2 * IFERROR(VLOOKUP("buildings|SO2|Premature mortality", US_national_yearly!$D:$AM, 26, FALSE) / VLOOKUP("buildings|SO2|Premature mortality", US_national_yearly!$D:$AM, 10, FALSE), 1)</f>
        <v>1.0914287344576488E-3</v>
      </c>
      <c r="S2" s="7">
        <f>$B2 * IFERROR(VLOOKUP("buildings|SO2|Premature mortality", US_national_yearly!$D:$AM, 27, FALSE) / VLOOKUP("buildings|SO2|Premature mortality", US_national_yearly!$D:$AM, 10, FALSE), 1)</f>
        <v>1.0973525317730193E-3</v>
      </c>
      <c r="T2" s="7">
        <f>$B2 * IFERROR(VLOOKUP("buildings|SO2|Premature mortality", US_national_yearly!$D:$AM, 28, FALSE) / VLOOKUP("buildings|SO2|Premature mortality", US_national_yearly!$D:$AM, 10, FALSE), 1)</f>
        <v>1.10327632908839E-3</v>
      </c>
      <c r="U2" s="7">
        <f>$B2 * IFERROR(VLOOKUP("buildings|SO2|Premature mortality", US_national_yearly!$D:$AM, 29, FALSE) / VLOOKUP("buildings|SO2|Premature mortality", US_national_yearly!$D:$AM, 10, FALSE), 1)</f>
        <v>1.1092001264037604E-3</v>
      </c>
      <c r="V2" s="7">
        <f>$B2 * IFERROR(VLOOKUP("buildings|SO2|Premature mortality", US_national_yearly!$D:$AM, 30, FALSE) / VLOOKUP("buildings|SO2|Premature mortality", US_national_yearly!$D:$AM, 10, FALSE), 1)</f>
        <v>1.1151239237191311E-3</v>
      </c>
      <c r="W2" s="7">
        <f>$B2 * IFERROR(VLOOKUP("buildings|SO2|Premature mortality", US_national_yearly!$D:$AM, 31, FALSE) / VLOOKUP("buildings|SO2|Premature mortality", US_national_yearly!$D:$AM, 10, FALSE), 1)</f>
        <v>1.1210477210345017E-3</v>
      </c>
      <c r="X2" s="7">
        <f>$B2 * IFERROR(VLOOKUP("buildings|SO2|Premature mortality", US_national_yearly!$D:$AM, 32, FALSE) / VLOOKUP("buildings|SO2|Premature mortality", US_national_yearly!$D:$AM, 10, FALSE), 1)</f>
        <v>1.1222447128787485E-3</v>
      </c>
      <c r="Y2" s="7">
        <f>$B2 * IFERROR(VLOOKUP("buildings|SO2|Premature mortality", US_national_yearly!$D:$AM, 33, FALSE) / VLOOKUP("buildings|SO2|Premature mortality", US_national_yearly!$D:$AM, 10, FALSE), 1)</f>
        <v>1.1234417047229952E-3</v>
      </c>
      <c r="Z2" s="7">
        <f>$B2 * IFERROR(VLOOKUP("buildings|SO2|Premature mortality", US_national_yearly!$D:$AM, 34, FALSE) / VLOOKUP("buildings|SO2|Premature mortality", US_national_yearly!$D:$AM, 10, FALSE), 1)</f>
        <v>1.1246386965672419E-3</v>
      </c>
      <c r="AA2" s="7">
        <f>$B2 * IFERROR(VLOOKUP("buildings|SO2|Premature mortality", US_national_yearly!$D:$AM, 35, FALSE) / VLOOKUP("buildings|SO2|Premature mortality", US_national_yearly!$D:$AM, 10, FALSE), 1)</f>
        <v>1.1258356884114888E-3</v>
      </c>
      <c r="AB2" s="7">
        <f>$B2 * IFERROR(VLOOKUP("buildings|SO2|Premature mortality", US_national_yearly!$D:$AM, 36, FALSE) / VLOOKUP("buildings|SO2|Premature mortality", US_national_yearly!$D:$AM, 10, FALSE), 1)</f>
        <v>1.1270326802557355E-3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2.1376911017947364E-6</v>
      </c>
      <c r="C3" s="7">
        <f>$B3 * IFERROR(VLOOKUP("buildings|SO2|Infant mortality", US_national_yearly!$D:$AM, 11, FALSE) / VLOOKUP("buildings|SO2|Infant mortality", US_national_yearly!$D:$AM, 10, FALSE), 1)</f>
        <v>2.1193680808856846E-6</v>
      </c>
      <c r="D3" s="7">
        <f>$B3 * IFERROR(VLOOKUP("buildings|SO2|Infant mortality", US_national_yearly!$D:$AM, 12, FALSE) / VLOOKUP("buildings|SO2|Infant mortality", US_national_yearly!$D:$AM, 10, FALSE), 1)</f>
        <v>2.1010450599766328E-6</v>
      </c>
      <c r="E3" s="7">
        <f>$B3 * IFERROR(VLOOKUP("buildings|SO2|Infant mortality", US_national_yearly!$D:$AM, 13, FALSE) / VLOOKUP("buildings|SO2|Infant mortality", US_national_yearly!$D:$AM, 10, FALSE), 1)</f>
        <v>2.0827220390675809E-6</v>
      </c>
      <c r="F3" s="7">
        <f>$B3 * IFERROR(VLOOKUP("buildings|SO2|Infant mortality", US_national_yearly!$D:$AM, 14, FALSE) / VLOOKUP("buildings|SO2|Infant mortality", US_national_yearly!$D:$AM, 10, FALSE), 1)</f>
        <v>2.0643990181585295E-6</v>
      </c>
      <c r="G3" s="7">
        <f>$B3 * IFERROR(VLOOKUP("buildings|SO2|Infant mortality", US_national_yearly!$D:$AM, 15, FALSE) / VLOOKUP("buildings|SO2|Infant mortality", US_national_yearly!$D:$AM, 10, FALSE), 1)</f>
        <v>1.3748079613274315E-6</v>
      </c>
      <c r="H3" s="7">
        <f>$B3 * IFERROR(VLOOKUP("buildings|SO2|Infant mortality", US_national_yearly!$D:$AM, 16, FALSE) / VLOOKUP("buildings|SO2|Infant mortality", US_national_yearly!$D:$AM, 10, FALSE), 1)</f>
        <v>6.8521690449633392E-7</v>
      </c>
      <c r="I3" s="7">
        <f>$B3 * IFERROR(VLOOKUP("buildings|SO2|Infant mortality", US_national_yearly!$D:$AM, 17, FALSE) / VLOOKUP("buildings|SO2|Infant mortality", US_national_yearly!$D:$AM, 10, FALSE), 1)</f>
        <v>6.8091777796904542E-7</v>
      </c>
      <c r="J3" s="7">
        <f>$B3 * IFERROR(VLOOKUP("buildings|SO2|Infant mortality", US_national_yearly!$D:$AM, 18, FALSE) / VLOOKUP("buildings|SO2|Infant mortality", US_national_yearly!$D:$AM, 10, FALSE), 1)</f>
        <v>6.766186514417567E-7</v>
      </c>
      <c r="K3" s="7">
        <f>$B3 * IFERROR(VLOOKUP("buildings|SO2|Infant mortality", US_national_yearly!$D:$AM, 19, FALSE) / VLOOKUP("buildings|SO2|Infant mortality", US_national_yearly!$D:$AM, 10, FALSE), 1)</f>
        <v>6.7231952491446809E-7</v>
      </c>
      <c r="L3" s="7">
        <f>$B3 * IFERROR(VLOOKUP("buildings|SO2|Infant mortality", US_national_yearly!$D:$AM, 20, FALSE) / VLOOKUP("buildings|SO2|Infant mortality", US_national_yearly!$D:$AM, 10, FALSE), 1)</f>
        <v>6.6802039838717948E-7</v>
      </c>
      <c r="M3" s="7">
        <f>$B3 * IFERROR(VLOOKUP("buildings|SO2|Infant mortality", US_national_yearly!$D:$AM, 21, FALSE) / VLOOKUP("buildings|SO2|Infant mortality", US_national_yearly!$D:$AM, 10, FALSE), 1)</f>
        <v>6.6372127185989088E-7</v>
      </c>
      <c r="N3" s="7">
        <f>$B3 * IFERROR(VLOOKUP("buildings|SO2|Infant mortality", US_national_yearly!$D:$AM, 22, FALSE) / VLOOKUP("buildings|SO2|Infant mortality", US_national_yearly!$D:$AM, 10, FALSE), 1)</f>
        <v>6.6102617623219247E-7</v>
      </c>
      <c r="O3" s="7">
        <f>$B3 * IFERROR(VLOOKUP("buildings|SO2|Infant mortality", US_national_yearly!$D:$AM, 23, FALSE) / VLOOKUP("buildings|SO2|Infant mortality", US_national_yearly!$D:$AM, 10, FALSE), 1)</f>
        <v>6.5833108060449406E-7</v>
      </c>
      <c r="P3" s="7">
        <f>$B3 * IFERROR(VLOOKUP("buildings|SO2|Infant mortality", US_national_yearly!$D:$AM, 24, FALSE) / VLOOKUP("buildings|SO2|Infant mortality", US_national_yearly!$D:$AM, 10, FALSE), 1)</f>
        <v>6.5563598497679565E-7</v>
      </c>
      <c r="Q3" s="7">
        <f>$B3 * IFERROR(VLOOKUP("buildings|SO2|Infant mortality", US_national_yearly!$D:$AM, 25, FALSE) / VLOOKUP("buildings|SO2|Infant mortality", US_national_yearly!$D:$AM, 10, FALSE), 1)</f>
        <v>6.5294088934909713E-7</v>
      </c>
      <c r="R3" s="7">
        <f>$B3 * IFERROR(VLOOKUP("buildings|SO2|Infant mortality", US_national_yearly!$D:$AM, 26, FALSE) / VLOOKUP("buildings|SO2|Infant mortality", US_national_yearly!$D:$AM, 10, FALSE), 1)</f>
        <v>6.5024579372139872E-7</v>
      </c>
      <c r="S3" s="7">
        <f>$B3 * IFERROR(VLOOKUP("buildings|SO2|Infant mortality", US_national_yearly!$D:$AM, 27, FALSE) / VLOOKUP("buildings|SO2|Infant mortality", US_national_yearly!$D:$AM, 10, FALSE), 1)</f>
        <v>6.4686160804186552E-7</v>
      </c>
      <c r="T3" s="7">
        <f>$B3 * IFERROR(VLOOKUP("buildings|SO2|Infant mortality", US_national_yearly!$D:$AM, 28, FALSE) / VLOOKUP("buildings|SO2|Infant mortality", US_national_yearly!$D:$AM, 10, FALSE), 1)</f>
        <v>6.4347742236233233E-7</v>
      </c>
      <c r="U3" s="7">
        <f>$B3 * IFERROR(VLOOKUP("buildings|SO2|Infant mortality", US_national_yearly!$D:$AM, 29, FALSE) / VLOOKUP("buildings|SO2|Infant mortality", US_national_yearly!$D:$AM, 10, FALSE), 1)</f>
        <v>6.4009323668279902E-7</v>
      </c>
      <c r="V3" s="7">
        <f>$B3 * IFERROR(VLOOKUP("buildings|SO2|Infant mortality", US_national_yearly!$D:$AM, 30, FALSE) / VLOOKUP("buildings|SO2|Infant mortality", US_national_yearly!$D:$AM, 10, FALSE), 1)</f>
        <v>6.3670905100326583E-7</v>
      </c>
      <c r="W3" s="7">
        <f>$B3 * IFERROR(VLOOKUP("buildings|SO2|Infant mortality", US_national_yearly!$D:$AM, 31, FALSE) / VLOOKUP("buildings|SO2|Infant mortality", US_national_yearly!$D:$AM, 10, FALSE), 1)</f>
        <v>6.3332486532373263E-7</v>
      </c>
      <c r="X3" s="7">
        <f>$B3 * IFERROR(VLOOKUP("buildings|SO2|Infant mortality", US_national_yearly!$D:$AM, 32, FALSE) / VLOOKUP("buildings|SO2|Infant mortality", US_national_yearly!$D:$AM, 10, FALSE), 1)</f>
        <v>6.2962879833211944E-7</v>
      </c>
      <c r="Y3" s="7">
        <f>$B3 * IFERROR(VLOOKUP("buildings|SO2|Infant mortality", US_national_yearly!$D:$AM, 33, FALSE) / VLOOKUP("buildings|SO2|Infant mortality", US_national_yearly!$D:$AM, 10, FALSE), 1)</f>
        <v>6.2593273134050624E-7</v>
      </c>
      <c r="Z3" s="7">
        <f>$B3 * IFERROR(VLOOKUP("buildings|SO2|Infant mortality", US_national_yearly!$D:$AM, 34, FALSE) / VLOOKUP("buildings|SO2|Infant mortality", US_national_yearly!$D:$AM, 10, FALSE), 1)</f>
        <v>6.2223666434889315E-7</v>
      </c>
      <c r="AA3" s="7">
        <f>$B3 * IFERROR(VLOOKUP("buildings|SO2|Infant mortality", US_national_yearly!$D:$AM, 35, FALSE) / VLOOKUP("buildings|SO2|Infant mortality", US_national_yearly!$D:$AM, 10, FALSE), 1)</f>
        <v>6.1854059735727985E-7</v>
      </c>
      <c r="AB3" s="7">
        <f>$B3 * IFERROR(VLOOKUP("buildings|SO2|Infant mortality", US_national_yearly!$D:$AM, 36, FALSE) / VLOOKUP("buildings|SO2|Infant mortality", US_national_yearly!$D:$AM, 10, FALSE), 1)</f>
        <v>6.1484453036566676E-7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2.2762468111503162E-3</v>
      </c>
      <c r="C6" s="7">
        <f>$B6 * IFERROR(VLOOKUP("buildings|SO2|Asthma symptoms cough", US_national_yearly!$D:$AM, 11, FALSE) / VLOOKUP("buildings|SO2|Asthma symptoms cough", US_national_yearly!$D:$AM, 10, FALSE), 1)</f>
        <v>2.2762468111503162E-3</v>
      </c>
      <c r="D6" s="7">
        <f>$B6 * IFERROR(VLOOKUP("buildings|SO2|Asthma symptoms cough", US_national_yearly!$D:$AM, 12, FALSE) / VLOOKUP("buildings|SO2|Asthma symptoms cough", US_national_yearly!$D:$AM, 10, FALSE), 1)</f>
        <v>2.2762468111503162E-3</v>
      </c>
      <c r="E6" s="7">
        <f>$B6 * IFERROR(VLOOKUP("buildings|SO2|Asthma symptoms cough", US_national_yearly!$D:$AM, 13, FALSE) / VLOOKUP("buildings|SO2|Asthma symptoms cough", US_national_yearly!$D:$AM, 10, FALSE), 1)</f>
        <v>2.2762468111503162E-3</v>
      </c>
      <c r="F6" s="7">
        <f>$B6 * IFERROR(VLOOKUP("buildings|SO2|Asthma symptoms cough", US_national_yearly!$D:$AM, 14, FALSE) / VLOOKUP("buildings|SO2|Asthma symptoms cough", US_national_yearly!$D:$AM, 10, FALSE), 1)</f>
        <v>2.2762468111503162E-3</v>
      </c>
      <c r="G6" s="7">
        <f>$B6 * IFERROR(VLOOKUP("buildings|SO2|Asthma symptoms cough", US_national_yearly!$D:$AM, 15, FALSE) / VLOOKUP("buildings|SO2|Asthma symptoms cough", US_national_yearly!$D:$AM, 10, FALSE), 1)</f>
        <v>2.2762468111503162E-3</v>
      </c>
      <c r="H6" s="7">
        <f>$B6 * IFERROR(VLOOKUP("buildings|SO2|Asthma symptoms cough", US_national_yearly!$D:$AM, 16, FALSE) / VLOOKUP("buildings|SO2|Asthma symptoms cough", US_national_yearly!$D:$AM, 10, FALSE), 1)</f>
        <v>2.2762468111503162E-3</v>
      </c>
      <c r="I6" s="7">
        <f>$B6 * IFERROR(VLOOKUP("buildings|SO2|Asthma symptoms cough", US_national_yearly!$D:$AM, 17, FALSE) / VLOOKUP("buildings|SO2|Asthma symptoms cough", US_national_yearly!$D:$AM, 10, FALSE), 1)</f>
        <v>2.2762468111503162E-3</v>
      </c>
      <c r="J6" s="7">
        <f>$B6 * IFERROR(VLOOKUP("buildings|SO2|Asthma symptoms cough", US_national_yearly!$D:$AM, 18, FALSE) / VLOOKUP("buildings|SO2|Asthma symptoms cough", US_national_yearly!$D:$AM, 10, FALSE), 1)</f>
        <v>2.2762468111503162E-3</v>
      </c>
      <c r="K6" s="7">
        <f>$B6 * IFERROR(VLOOKUP("buildings|SO2|Asthma symptoms cough", US_national_yearly!$D:$AM, 19, FALSE) / VLOOKUP("buildings|SO2|Asthma symptoms cough", US_national_yearly!$D:$AM, 10, FALSE), 1)</f>
        <v>2.2762468111503162E-3</v>
      </c>
      <c r="L6" s="7">
        <f>$B6 * IFERROR(VLOOKUP("buildings|SO2|Asthma symptoms cough", US_national_yearly!$D:$AM, 20, FALSE) / VLOOKUP("buildings|SO2|Asthma symptoms cough", US_national_yearly!$D:$AM, 10, FALSE), 1)</f>
        <v>2.2762468111503162E-3</v>
      </c>
      <c r="M6" s="7">
        <f>$B6 * IFERROR(VLOOKUP("buildings|SO2|Asthma symptoms cough", US_national_yearly!$D:$AM, 21, FALSE) / VLOOKUP("buildings|SO2|Asthma symptoms cough", US_national_yearly!$D:$AM, 10, FALSE), 1)</f>
        <v>2.2762468111503162E-3</v>
      </c>
      <c r="N6" s="7">
        <f>$B6 * IFERROR(VLOOKUP("buildings|SO2|Asthma symptoms cough", US_national_yearly!$D:$AM, 22, FALSE) / VLOOKUP("buildings|SO2|Asthma symptoms cough", US_national_yearly!$D:$AM, 10, FALSE), 1)</f>
        <v>2.2762468111503162E-3</v>
      </c>
      <c r="O6" s="7">
        <f>$B6 * IFERROR(VLOOKUP("buildings|SO2|Asthma symptoms cough", US_national_yearly!$D:$AM, 23, FALSE) / VLOOKUP("buildings|SO2|Asthma symptoms cough", US_national_yearly!$D:$AM, 10, FALSE), 1)</f>
        <v>2.2762468111503162E-3</v>
      </c>
      <c r="P6" s="7">
        <f>$B6 * IFERROR(VLOOKUP("buildings|SO2|Asthma symptoms cough", US_national_yearly!$D:$AM, 24, FALSE) / VLOOKUP("buildings|SO2|Asthma symptoms cough", US_national_yearly!$D:$AM, 10, FALSE), 1)</f>
        <v>2.2762468111503162E-3</v>
      </c>
      <c r="Q6" s="7">
        <f>$B6 * IFERROR(VLOOKUP("buildings|SO2|Asthma symptoms cough", US_national_yearly!$D:$AM, 25, FALSE) / VLOOKUP("buildings|SO2|Asthma symptoms cough", US_national_yearly!$D:$AM, 10, FALSE), 1)</f>
        <v>2.2762468111503162E-3</v>
      </c>
      <c r="R6" s="7">
        <f>$B6 * IFERROR(VLOOKUP("buildings|SO2|Asthma symptoms cough", US_national_yearly!$D:$AM, 26, FALSE) / VLOOKUP("buildings|SO2|Asthma symptoms cough", US_national_yearly!$D:$AM, 10, FALSE), 1)</f>
        <v>2.2762468111503162E-3</v>
      </c>
      <c r="S6" s="7">
        <f>$B6 * IFERROR(VLOOKUP("buildings|SO2|Asthma symptoms cough", US_national_yearly!$D:$AM, 27, FALSE) / VLOOKUP("buildings|SO2|Asthma symptoms cough", US_national_yearly!$D:$AM, 10, FALSE), 1)</f>
        <v>2.2762468111503162E-3</v>
      </c>
      <c r="T6" s="7">
        <f>$B6 * IFERROR(VLOOKUP("buildings|SO2|Asthma symptoms cough", US_national_yearly!$D:$AM, 28, FALSE) / VLOOKUP("buildings|SO2|Asthma symptoms cough", US_national_yearly!$D:$AM, 10, FALSE), 1)</f>
        <v>2.2762468111503162E-3</v>
      </c>
      <c r="U6" s="7">
        <f>$B6 * IFERROR(VLOOKUP("buildings|SO2|Asthma symptoms cough", US_national_yearly!$D:$AM, 29, FALSE) / VLOOKUP("buildings|SO2|Asthma symptoms cough", US_national_yearly!$D:$AM, 10, FALSE), 1)</f>
        <v>2.2762468111503162E-3</v>
      </c>
      <c r="V6" s="7">
        <f>$B6 * IFERROR(VLOOKUP("buildings|SO2|Asthma symptoms cough", US_national_yearly!$D:$AM, 30, FALSE) / VLOOKUP("buildings|SO2|Asthma symptoms cough", US_national_yearly!$D:$AM, 10, FALSE), 1)</f>
        <v>2.2762468111503162E-3</v>
      </c>
      <c r="W6" s="7">
        <f>$B6 * IFERROR(VLOOKUP("buildings|SO2|Asthma symptoms cough", US_national_yearly!$D:$AM, 31, FALSE) / VLOOKUP("buildings|SO2|Asthma symptoms cough", US_national_yearly!$D:$AM, 10, FALSE), 1)</f>
        <v>2.2762468111503162E-3</v>
      </c>
      <c r="X6" s="7">
        <f>$B6 * IFERROR(VLOOKUP("buildings|SO2|Asthma symptoms cough", US_national_yearly!$D:$AM, 32, FALSE) / VLOOKUP("buildings|SO2|Asthma symptoms cough", US_national_yearly!$D:$AM, 10, FALSE), 1)</f>
        <v>2.2762468111503162E-3</v>
      </c>
      <c r="Y6" s="7">
        <f>$B6 * IFERROR(VLOOKUP("buildings|SO2|Asthma symptoms cough", US_national_yearly!$D:$AM, 33, FALSE) / VLOOKUP("buildings|SO2|Asthma symptoms cough", US_national_yearly!$D:$AM, 10, FALSE), 1)</f>
        <v>2.2762468111503162E-3</v>
      </c>
      <c r="Z6" s="7">
        <f>$B6 * IFERROR(VLOOKUP("buildings|SO2|Asthma symptoms cough", US_national_yearly!$D:$AM, 34, FALSE) / VLOOKUP("buildings|SO2|Asthma symptoms cough", US_national_yearly!$D:$AM, 10, FALSE), 1)</f>
        <v>2.2762468111503162E-3</v>
      </c>
      <c r="AA6" s="7">
        <f>$B6 * IFERROR(VLOOKUP("buildings|SO2|Asthma symptoms cough", US_national_yearly!$D:$AM, 35, FALSE) / VLOOKUP("buildings|SO2|Asthma symptoms cough", US_national_yearly!$D:$AM, 10, FALSE), 1)</f>
        <v>2.2762468111503162E-3</v>
      </c>
      <c r="AB6" s="7">
        <f>$B6 * IFERROR(VLOOKUP("buildings|SO2|Asthma symptoms cough", US_national_yearly!$D:$AM, 36, FALSE) / VLOOKUP("buildings|SO2|Asthma symptoms cough", US_national_yearly!$D:$AM, 10, FALSE), 1)</f>
        <v>2.2762468111503162E-3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3.0653010197568761E-3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3.0653010197568761E-3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3.0653010197568761E-3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3.0653010197568761E-3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3.0653010197568761E-3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3.0653010197568761E-3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3.0653010197568761E-3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3.0653010197568761E-3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3.0653010197568761E-3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3.0653010197568761E-3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3.0653010197568761E-3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3.0653010197568761E-3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3.0653010197568761E-3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3.0653010197568761E-3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3.0653010197568761E-3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3.0653010197568761E-3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3.0653010197568761E-3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3.0653010197568761E-3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3.0653010197568761E-3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3.0653010197568761E-3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3.0653010197568761E-3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3.0653010197568761E-3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3.0653010197568761E-3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3.0653010197568761E-3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3.0653010197568761E-3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3.0653010197568761E-3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3.0653010197568761E-3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4.6832458875262564E-3</v>
      </c>
      <c r="C8" s="7">
        <f>$B8 * IFERROR(VLOOKUP("buildings|SO2|Asthma symptoms wheeze", US_national_yearly!$D:$AM, 11, FALSE) / VLOOKUP("buildings|SO2|Asthma symptoms wheeze", US_national_yearly!$D:$AM, 10, FALSE), 1)</f>
        <v>4.6832458875262564E-3</v>
      </c>
      <c r="D8" s="7">
        <f>$B8 * IFERROR(VLOOKUP("buildings|SO2|Asthma symptoms wheeze", US_national_yearly!$D:$AM, 12, FALSE) / VLOOKUP("buildings|SO2|Asthma symptoms wheeze", US_national_yearly!$D:$AM, 10, FALSE), 1)</f>
        <v>4.6832458875262564E-3</v>
      </c>
      <c r="E8" s="7">
        <f>$B8 * IFERROR(VLOOKUP("buildings|SO2|Asthma symptoms wheeze", US_national_yearly!$D:$AM, 13, FALSE) / VLOOKUP("buildings|SO2|Asthma symptoms wheeze", US_national_yearly!$D:$AM, 10, FALSE), 1)</f>
        <v>4.6832458875262564E-3</v>
      </c>
      <c r="F8" s="7">
        <f>$B8 * IFERROR(VLOOKUP("buildings|SO2|Asthma symptoms wheeze", US_national_yearly!$D:$AM, 14, FALSE) / VLOOKUP("buildings|SO2|Asthma symptoms wheeze", US_national_yearly!$D:$AM, 10, FALSE), 1)</f>
        <v>4.6832458875262564E-3</v>
      </c>
      <c r="G8" s="7">
        <f>$B8 * IFERROR(VLOOKUP("buildings|SO2|Asthma symptoms wheeze", US_national_yearly!$D:$AM, 15, FALSE) / VLOOKUP("buildings|SO2|Asthma symptoms wheeze", US_national_yearly!$D:$AM, 10, FALSE), 1)</f>
        <v>4.6832458875262564E-3</v>
      </c>
      <c r="H8" s="7">
        <f>$B8 * IFERROR(VLOOKUP("buildings|SO2|Asthma symptoms wheeze", US_national_yearly!$D:$AM, 16, FALSE) / VLOOKUP("buildings|SO2|Asthma symptoms wheeze", US_national_yearly!$D:$AM, 10, FALSE), 1)</f>
        <v>4.6832458875262564E-3</v>
      </c>
      <c r="I8" s="7">
        <f>$B8 * IFERROR(VLOOKUP("buildings|SO2|Asthma symptoms wheeze", US_national_yearly!$D:$AM, 17, FALSE) / VLOOKUP("buildings|SO2|Asthma symptoms wheeze", US_national_yearly!$D:$AM, 10, FALSE), 1)</f>
        <v>4.6832458875262564E-3</v>
      </c>
      <c r="J8" s="7">
        <f>$B8 * IFERROR(VLOOKUP("buildings|SO2|Asthma symptoms wheeze", US_national_yearly!$D:$AM, 18, FALSE) / VLOOKUP("buildings|SO2|Asthma symptoms wheeze", US_national_yearly!$D:$AM, 10, FALSE), 1)</f>
        <v>4.6832458875262564E-3</v>
      </c>
      <c r="K8" s="7">
        <f>$B8 * IFERROR(VLOOKUP("buildings|SO2|Asthma symptoms wheeze", US_national_yearly!$D:$AM, 19, FALSE) / VLOOKUP("buildings|SO2|Asthma symptoms wheeze", US_national_yearly!$D:$AM, 10, FALSE), 1)</f>
        <v>4.6832458875262564E-3</v>
      </c>
      <c r="L8" s="7">
        <f>$B8 * IFERROR(VLOOKUP("buildings|SO2|Asthma symptoms wheeze", US_national_yearly!$D:$AM, 20, FALSE) / VLOOKUP("buildings|SO2|Asthma symptoms wheeze", US_national_yearly!$D:$AM, 10, FALSE), 1)</f>
        <v>4.6832458875262564E-3</v>
      </c>
      <c r="M8" s="7">
        <f>$B8 * IFERROR(VLOOKUP("buildings|SO2|Asthma symptoms wheeze", US_national_yearly!$D:$AM, 21, FALSE) / VLOOKUP("buildings|SO2|Asthma symptoms wheeze", US_national_yearly!$D:$AM, 10, FALSE), 1)</f>
        <v>4.6832458875262564E-3</v>
      </c>
      <c r="N8" s="7">
        <f>$B8 * IFERROR(VLOOKUP("buildings|SO2|Asthma symptoms wheeze", US_national_yearly!$D:$AM, 22, FALSE) / VLOOKUP("buildings|SO2|Asthma symptoms wheeze", US_national_yearly!$D:$AM, 10, FALSE), 1)</f>
        <v>4.6832458875262564E-3</v>
      </c>
      <c r="O8" s="7">
        <f>$B8 * IFERROR(VLOOKUP("buildings|SO2|Asthma symptoms wheeze", US_national_yearly!$D:$AM, 23, FALSE) / VLOOKUP("buildings|SO2|Asthma symptoms wheeze", US_national_yearly!$D:$AM, 10, FALSE), 1)</f>
        <v>4.6832458875262564E-3</v>
      </c>
      <c r="P8" s="7">
        <f>$B8 * IFERROR(VLOOKUP("buildings|SO2|Asthma symptoms wheeze", US_national_yearly!$D:$AM, 24, FALSE) / VLOOKUP("buildings|SO2|Asthma symptoms wheeze", US_national_yearly!$D:$AM, 10, FALSE), 1)</f>
        <v>4.6832458875262564E-3</v>
      </c>
      <c r="Q8" s="7">
        <f>$B8 * IFERROR(VLOOKUP("buildings|SO2|Asthma symptoms wheeze", US_national_yearly!$D:$AM, 25, FALSE) / VLOOKUP("buildings|SO2|Asthma symptoms wheeze", US_national_yearly!$D:$AM, 10, FALSE), 1)</f>
        <v>4.6832458875262564E-3</v>
      </c>
      <c r="R8" s="7">
        <f>$B8 * IFERROR(VLOOKUP("buildings|SO2|Asthma symptoms wheeze", US_national_yearly!$D:$AM, 26, FALSE) / VLOOKUP("buildings|SO2|Asthma symptoms wheeze", US_national_yearly!$D:$AM, 10, FALSE), 1)</f>
        <v>4.6832458875262564E-3</v>
      </c>
      <c r="S8" s="7">
        <f>$B8 * IFERROR(VLOOKUP("buildings|SO2|Asthma symptoms wheeze", US_national_yearly!$D:$AM, 27, FALSE) / VLOOKUP("buildings|SO2|Asthma symptoms wheeze", US_national_yearly!$D:$AM, 10, FALSE), 1)</f>
        <v>4.6832458875262564E-3</v>
      </c>
      <c r="T8" s="7">
        <f>$B8 * IFERROR(VLOOKUP("buildings|SO2|Asthma symptoms wheeze", US_national_yearly!$D:$AM, 28, FALSE) / VLOOKUP("buildings|SO2|Asthma symptoms wheeze", US_national_yearly!$D:$AM, 10, FALSE), 1)</f>
        <v>4.6832458875262564E-3</v>
      </c>
      <c r="U8" s="7">
        <f>$B8 * IFERROR(VLOOKUP("buildings|SO2|Asthma symptoms wheeze", US_national_yearly!$D:$AM, 29, FALSE) / VLOOKUP("buildings|SO2|Asthma symptoms wheeze", US_national_yearly!$D:$AM, 10, FALSE), 1)</f>
        <v>4.6832458875262564E-3</v>
      </c>
      <c r="V8" s="7">
        <f>$B8 * IFERROR(VLOOKUP("buildings|SO2|Asthma symptoms wheeze", US_national_yearly!$D:$AM, 30, FALSE) / VLOOKUP("buildings|SO2|Asthma symptoms wheeze", US_national_yearly!$D:$AM, 10, FALSE), 1)</f>
        <v>4.6832458875262564E-3</v>
      </c>
      <c r="W8" s="7">
        <f>$B8 * IFERROR(VLOOKUP("buildings|SO2|Asthma symptoms wheeze", US_national_yearly!$D:$AM, 31, FALSE) / VLOOKUP("buildings|SO2|Asthma symptoms wheeze", US_national_yearly!$D:$AM, 10, FALSE), 1)</f>
        <v>4.6832458875262564E-3</v>
      </c>
      <c r="X8" s="7">
        <f>$B8 * IFERROR(VLOOKUP("buildings|SO2|Asthma symptoms wheeze", US_national_yearly!$D:$AM, 32, FALSE) / VLOOKUP("buildings|SO2|Asthma symptoms wheeze", US_national_yearly!$D:$AM, 10, FALSE), 1)</f>
        <v>4.6832458875262564E-3</v>
      </c>
      <c r="Y8" s="7">
        <f>$B8 * IFERROR(VLOOKUP("buildings|SO2|Asthma symptoms wheeze", US_national_yearly!$D:$AM, 33, FALSE) / VLOOKUP("buildings|SO2|Asthma symptoms wheeze", US_national_yearly!$D:$AM, 10, FALSE), 1)</f>
        <v>4.6832458875262564E-3</v>
      </c>
      <c r="Z8" s="7">
        <f>$B8 * IFERROR(VLOOKUP("buildings|SO2|Asthma symptoms wheeze", US_national_yearly!$D:$AM, 34, FALSE) / VLOOKUP("buildings|SO2|Asthma symptoms wheeze", US_national_yearly!$D:$AM, 10, FALSE), 1)</f>
        <v>4.6832458875262564E-3</v>
      </c>
      <c r="AA8" s="7">
        <f>$B8 * IFERROR(VLOOKUP("buildings|SO2|Asthma symptoms wheeze", US_national_yearly!$D:$AM, 35, FALSE) / VLOOKUP("buildings|SO2|Asthma symptoms wheeze", US_national_yearly!$D:$AM, 10, FALSE), 1)</f>
        <v>4.6832458875262564E-3</v>
      </c>
      <c r="AB8" s="7">
        <f>$B8 * IFERROR(VLOOKUP("buildings|SO2|Asthma symptoms wheeze", US_national_yearly!$D:$AM, 36, FALSE) / VLOOKUP("buildings|SO2|Asthma symptoms wheeze", US_national_yearly!$D:$AM, 10, FALSE), 1)</f>
        <v>4.6832458875262564E-3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5.3801763947514422E-5</v>
      </c>
      <c r="C12" s="7">
        <f>$B12 * IFERROR(VLOOKUP("buildings|SO2|Respiratory hospital admissions", US_national_yearly!$D:$AM, 11, FALSE) / VLOOKUP("buildings|SO2|Respiratory hospital admissions", US_national_yearly!$D:$AM, 10, FALSE), 1)</f>
        <v>5.4119537772556719E-5</v>
      </c>
      <c r="D12" s="7">
        <f>$B12 * IFERROR(VLOOKUP("buildings|SO2|Respiratory hospital admissions", US_national_yearly!$D:$AM, 12, FALSE) / VLOOKUP("buildings|SO2|Respiratory hospital admissions", US_national_yearly!$D:$AM, 10, FALSE), 1)</f>
        <v>5.4437311597599015E-5</v>
      </c>
      <c r="E12" s="7">
        <f>$B12 * IFERROR(VLOOKUP("buildings|SO2|Respiratory hospital admissions", US_national_yearly!$D:$AM, 13, FALSE) / VLOOKUP("buildings|SO2|Respiratory hospital admissions", US_national_yearly!$D:$AM, 10, FALSE), 1)</f>
        <v>5.4755085422641312E-5</v>
      </c>
      <c r="F12" s="7">
        <f>$B12 * IFERROR(VLOOKUP("buildings|SO2|Respiratory hospital admissions", US_national_yearly!$D:$AM, 14, FALSE) / VLOOKUP("buildings|SO2|Respiratory hospital admissions", US_national_yearly!$D:$AM, 10, FALSE), 1)</f>
        <v>5.5072859247683595E-5</v>
      </c>
      <c r="G12" s="7">
        <f>$B12 * IFERROR(VLOOKUP("buildings|SO2|Respiratory hospital admissions", US_national_yearly!$D:$AM, 15, FALSE) / VLOOKUP("buildings|SO2|Respiratory hospital admissions", US_national_yearly!$D:$AM, 10, FALSE), 1)</f>
        <v>5.5419192681926647E-5</v>
      </c>
      <c r="H12" s="7">
        <f>$B12 * IFERROR(VLOOKUP("buildings|SO2|Respiratory hospital admissions", US_national_yearly!$D:$AM, 16, FALSE) / VLOOKUP("buildings|SO2|Respiratory hospital admissions", US_national_yearly!$D:$AM, 10, FALSE), 1)</f>
        <v>5.5765526116169699E-5</v>
      </c>
      <c r="I12" s="7">
        <f>$B12 * IFERROR(VLOOKUP("buildings|SO2|Respiratory hospital admissions", US_national_yearly!$D:$AM, 17, FALSE) / VLOOKUP("buildings|SO2|Respiratory hospital admissions", US_national_yearly!$D:$AM, 10, FALSE), 1)</f>
        <v>5.61063564230411E-5</v>
      </c>
      <c r="J12" s="7">
        <f>$B12 * IFERROR(VLOOKUP("buildings|SO2|Respiratory hospital admissions", US_national_yearly!$D:$AM, 18, FALSE) / VLOOKUP("buildings|SO2|Respiratory hospital admissions", US_national_yearly!$D:$AM, 10, FALSE), 1)</f>
        <v>5.6447186729912515E-5</v>
      </c>
      <c r="K12" s="7">
        <f>$B12 * IFERROR(VLOOKUP("buildings|SO2|Respiratory hospital admissions", US_national_yearly!$D:$AM, 19, FALSE) / VLOOKUP("buildings|SO2|Respiratory hospital admissions", US_national_yearly!$D:$AM, 10, FALSE), 1)</f>
        <v>5.6788017036783916E-5</v>
      </c>
      <c r="L12" s="7">
        <f>$B12 * IFERROR(VLOOKUP("buildings|SO2|Respiratory hospital admissions", US_national_yearly!$D:$AM, 20, FALSE) / VLOOKUP("buildings|SO2|Respiratory hospital admissions", US_national_yearly!$D:$AM, 10, FALSE), 1)</f>
        <v>5.7128847343655317E-5</v>
      </c>
      <c r="M12" s="7">
        <f>$B12 * IFERROR(VLOOKUP("buildings|SO2|Respiratory hospital admissions", US_national_yearly!$D:$AM, 21, FALSE) / VLOOKUP("buildings|SO2|Respiratory hospital admissions", US_national_yearly!$D:$AM, 10, FALSE), 1)</f>
        <v>5.7469677650526731E-5</v>
      </c>
      <c r="N12" s="7">
        <f>$B12 * IFERROR(VLOOKUP("buildings|SO2|Respiratory hospital admissions", US_national_yearly!$D:$AM, 22, FALSE) / VLOOKUP("buildings|SO2|Respiratory hospital admissions", US_national_yearly!$D:$AM, 10, FALSE), 1)</f>
        <v>5.7718540195847606E-5</v>
      </c>
      <c r="O12" s="7">
        <f>$B12 * IFERROR(VLOOKUP("buildings|SO2|Respiratory hospital admissions", US_national_yearly!$D:$AM, 23, FALSE) / VLOOKUP("buildings|SO2|Respiratory hospital admissions", US_national_yearly!$D:$AM, 10, FALSE), 1)</f>
        <v>5.7967402741168488E-5</v>
      </c>
      <c r="P12" s="7">
        <f>$B12 * IFERROR(VLOOKUP("buildings|SO2|Respiratory hospital admissions", US_national_yearly!$D:$AM, 24, FALSE) / VLOOKUP("buildings|SO2|Respiratory hospital admissions", US_national_yearly!$D:$AM, 10, FALSE), 1)</f>
        <v>5.8216265286489363E-5</v>
      </c>
      <c r="Q12" s="7">
        <f>$B12 * IFERROR(VLOOKUP("buildings|SO2|Respiratory hospital admissions", US_national_yearly!$D:$AM, 25, FALSE) / VLOOKUP("buildings|SO2|Respiratory hospital admissions", US_national_yearly!$D:$AM, 10, FALSE), 1)</f>
        <v>5.8465127831810245E-5</v>
      </c>
      <c r="R12" s="7">
        <f>$B12 * IFERROR(VLOOKUP("buildings|SO2|Respiratory hospital admissions", US_national_yearly!$D:$AM, 26, FALSE) / VLOOKUP("buildings|SO2|Respiratory hospital admissions", US_national_yearly!$D:$AM, 10, FALSE), 1)</f>
        <v>5.871399037713112E-5</v>
      </c>
      <c r="S12" s="7">
        <f>$B12 * IFERROR(VLOOKUP("buildings|SO2|Respiratory hospital admissions", US_national_yearly!$D:$AM, 27, FALSE) / VLOOKUP("buildings|SO2|Respiratory hospital admissions", US_national_yearly!$D:$AM, 10, FALSE), 1)</f>
        <v>5.8951283735314552E-5</v>
      </c>
      <c r="T12" s="7">
        <f>$B12 * IFERROR(VLOOKUP("buildings|SO2|Respiratory hospital admissions", US_national_yearly!$D:$AM, 28, FALSE) / VLOOKUP("buildings|SO2|Respiratory hospital admissions", US_national_yearly!$D:$AM, 10, FALSE), 1)</f>
        <v>5.9188577093497999E-5</v>
      </c>
      <c r="U12" s="7">
        <f>$B12 * IFERROR(VLOOKUP("buildings|SO2|Respiratory hospital admissions", US_national_yearly!$D:$AM, 29, FALSE) / VLOOKUP("buildings|SO2|Respiratory hospital admissions", US_national_yearly!$D:$AM, 10, FALSE), 1)</f>
        <v>5.9425870451681438E-5</v>
      </c>
      <c r="V12" s="7">
        <f>$B12 * IFERROR(VLOOKUP("buildings|SO2|Respiratory hospital admissions", US_national_yearly!$D:$AM, 30, FALSE) / VLOOKUP("buildings|SO2|Respiratory hospital admissions", US_national_yearly!$D:$AM, 10, FALSE), 1)</f>
        <v>5.9663163809864871E-5</v>
      </c>
      <c r="W12" s="7">
        <f>$B12 * IFERROR(VLOOKUP("buildings|SO2|Respiratory hospital admissions", US_national_yearly!$D:$AM, 31, FALSE) / VLOOKUP("buildings|SO2|Respiratory hospital admissions", US_national_yearly!$D:$AM, 10, FALSE), 1)</f>
        <v>5.9900457168048317E-5</v>
      </c>
      <c r="X12" s="7">
        <f>$B12 * IFERROR(VLOOKUP("buildings|SO2|Respiratory hospital admissions", US_national_yearly!$D:$AM, 32, FALSE) / VLOOKUP("buildings|SO2|Respiratory hospital admissions", US_national_yearly!$D:$AM, 10, FALSE), 1)</f>
        <v>6.012594777142052E-5</v>
      </c>
      <c r="Y12" s="7">
        <f>$B12 * IFERROR(VLOOKUP("buildings|SO2|Respiratory hospital admissions", US_national_yearly!$D:$AM, 33, FALSE) / VLOOKUP("buildings|SO2|Respiratory hospital admissions", US_national_yearly!$D:$AM, 10, FALSE), 1)</f>
        <v>6.0351438374792743E-5</v>
      </c>
      <c r="Z12" s="7">
        <f>$B12 * IFERROR(VLOOKUP("buildings|SO2|Respiratory hospital admissions", US_national_yearly!$D:$AM, 34, FALSE) / VLOOKUP("buildings|SO2|Respiratory hospital admissions", US_national_yearly!$D:$AM, 10, FALSE), 1)</f>
        <v>6.0576928978164946E-5</v>
      </c>
      <c r="AA12" s="7">
        <f>$B12 * IFERROR(VLOOKUP("buildings|SO2|Respiratory hospital admissions", US_national_yearly!$D:$AM, 35, FALSE) / VLOOKUP("buildings|SO2|Respiratory hospital admissions", US_national_yearly!$D:$AM, 10, FALSE), 1)</f>
        <v>6.0802419581537156E-5</v>
      </c>
      <c r="AB12" s="7">
        <f>$B12 * IFERROR(VLOOKUP("buildings|SO2|Respiratory hospital admissions", US_national_yearly!$D:$AM, 36, FALSE) / VLOOKUP("buildings|SO2|Respiratory hospital admissions", US_national_yearly!$D:$AM, 10, FALSE), 1)</f>
        <v>6.1027910184909372E-5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3.0704480899880731E-4</v>
      </c>
      <c r="C13" s="7">
        <f>$B13 * IFERROR(VLOOKUP("buildings|SO2|Non-fatal heart attacks", US_national_yearly!$D:$AM, 11, FALSE) / VLOOKUP("buildings|SO2|Non-fatal heart attacks", US_national_yearly!$D:$AM, 10, FALSE), 1)</f>
        <v>3.160614435448943E-4</v>
      </c>
      <c r="D13" s="7">
        <f>$B13 * IFERROR(VLOOKUP("buildings|SO2|Non-fatal heart attacks", US_national_yearly!$D:$AM, 12, FALSE) / VLOOKUP("buildings|SO2|Non-fatal heart attacks", US_national_yearly!$D:$AM, 10, FALSE), 1)</f>
        <v>3.2507807809098118E-4</v>
      </c>
      <c r="E13" s="7">
        <f>$B13 * IFERROR(VLOOKUP("buildings|SO2|Non-fatal heart attacks", US_national_yearly!$D:$AM, 13, FALSE) / VLOOKUP("buildings|SO2|Non-fatal heart attacks", US_national_yearly!$D:$AM, 10, FALSE), 1)</f>
        <v>3.3409471263706807E-4</v>
      </c>
      <c r="F13" s="7">
        <f>$B13 * IFERROR(VLOOKUP("buildings|SO2|Non-fatal heart attacks", US_national_yearly!$D:$AM, 14, FALSE) / VLOOKUP("buildings|SO2|Non-fatal heart attacks", US_national_yearly!$D:$AM, 10, FALSE), 1)</f>
        <v>3.4311134718315506E-4</v>
      </c>
      <c r="G13" s="7">
        <f>$B13 * IFERROR(VLOOKUP("buildings|SO2|Non-fatal heart attacks", US_national_yearly!$D:$AM, 15, FALSE) / VLOOKUP("buildings|SO2|Non-fatal heart attacks", US_national_yearly!$D:$AM, 10, FALSE), 1)</f>
        <v>3.516154877655686E-4</v>
      </c>
      <c r="H13" s="7">
        <f>$B13 * IFERROR(VLOOKUP("buildings|SO2|Non-fatal heart attacks", US_national_yearly!$D:$AM, 16, FALSE) / VLOOKUP("buildings|SO2|Non-fatal heart attacks", US_national_yearly!$D:$AM, 10, FALSE), 1)</f>
        <v>3.6011962834798215E-4</v>
      </c>
      <c r="I13" s="7">
        <f>$B13 * IFERROR(VLOOKUP("buildings|SO2|Non-fatal heart attacks", US_national_yearly!$D:$AM, 17, FALSE) / VLOOKUP("buildings|SO2|Non-fatal heart attacks", US_national_yearly!$D:$AM, 10, FALSE), 1)</f>
        <v>3.6696489783032967E-4</v>
      </c>
      <c r="J13" s="7">
        <f>$B13 * IFERROR(VLOOKUP("buildings|SO2|Non-fatal heart attacks", US_national_yearly!$D:$AM, 18, FALSE) / VLOOKUP("buildings|SO2|Non-fatal heart attacks", US_national_yearly!$D:$AM, 10, FALSE), 1)</f>
        <v>3.7381016731267725E-4</v>
      </c>
      <c r="K13" s="7">
        <f>$B13 * IFERROR(VLOOKUP("buildings|SO2|Non-fatal heart attacks", US_national_yearly!$D:$AM, 19, FALSE) / VLOOKUP("buildings|SO2|Non-fatal heart attacks", US_national_yearly!$D:$AM, 10, FALSE), 1)</f>
        <v>3.8065543679502477E-4</v>
      </c>
      <c r="L13" s="7">
        <f>$B13 * IFERROR(VLOOKUP("buildings|SO2|Non-fatal heart attacks", US_national_yearly!$D:$AM, 20, FALSE) / VLOOKUP("buildings|SO2|Non-fatal heart attacks", US_national_yearly!$D:$AM, 10, FALSE), 1)</f>
        <v>3.875007062773724E-4</v>
      </c>
      <c r="M13" s="7">
        <f>$B13 * IFERROR(VLOOKUP("buildings|SO2|Non-fatal heart attacks", US_national_yearly!$D:$AM, 21, FALSE) / VLOOKUP("buildings|SO2|Non-fatal heart attacks", US_national_yearly!$D:$AM, 10, FALSE), 1)</f>
        <v>3.9434597575971998E-4</v>
      </c>
      <c r="N13" s="7">
        <f>$B13 * IFERROR(VLOOKUP("buildings|SO2|Non-fatal heart attacks", US_national_yearly!$D:$AM, 22, FALSE) / VLOOKUP("buildings|SO2|Non-fatal heart attacks", US_national_yearly!$D:$AM, 10, FALSE), 1)</f>
        <v>3.9878887386183632E-4</v>
      </c>
      <c r="O13" s="7">
        <f>$B13 * IFERROR(VLOOKUP("buildings|SO2|Non-fatal heart attacks", US_national_yearly!$D:$AM, 23, FALSE) / VLOOKUP("buildings|SO2|Non-fatal heart attacks", US_national_yearly!$D:$AM, 10, FALSE), 1)</f>
        <v>4.0323177196395271E-4</v>
      </c>
      <c r="P13" s="7">
        <f>$B13 * IFERROR(VLOOKUP("buildings|SO2|Non-fatal heart attacks", US_national_yearly!$D:$AM, 24, FALSE) / VLOOKUP("buildings|SO2|Non-fatal heart attacks", US_national_yearly!$D:$AM, 10, FALSE), 1)</f>
        <v>4.07674670066069E-4</v>
      </c>
      <c r="Q13" s="7">
        <f>$B13 * IFERROR(VLOOKUP("buildings|SO2|Non-fatal heart attacks", US_national_yearly!$D:$AM, 25, FALSE) / VLOOKUP("buildings|SO2|Non-fatal heart attacks", US_national_yearly!$D:$AM, 10, FALSE), 1)</f>
        <v>4.1211756816818534E-4</v>
      </c>
      <c r="R13" s="7">
        <f>$B13 * IFERROR(VLOOKUP("buildings|SO2|Non-fatal heart attacks", US_national_yearly!$D:$AM, 26, FALSE) / VLOOKUP("buildings|SO2|Non-fatal heart attacks", US_national_yearly!$D:$AM, 10, FALSE), 1)</f>
        <v>4.1656046627030168E-4</v>
      </c>
      <c r="S13" s="7">
        <f>$B13 * IFERROR(VLOOKUP("buildings|SO2|Non-fatal heart attacks", US_national_yearly!$D:$AM, 27, FALSE) / VLOOKUP("buildings|SO2|Non-fatal heart attacks", US_national_yearly!$D:$AM, 10, FALSE), 1)</f>
        <v>4.1888054038452858E-4</v>
      </c>
      <c r="T13" s="7">
        <f>$B13 * IFERROR(VLOOKUP("buildings|SO2|Non-fatal heart attacks", US_national_yearly!$D:$AM, 28, FALSE) / VLOOKUP("buildings|SO2|Non-fatal heart attacks", US_national_yearly!$D:$AM, 10, FALSE), 1)</f>
        <v>4.2120061449875542E-4</v>
      </c>
      <c r="U13" s="7">
        <f>$B13 * IFERROR(VLOOKUP("buildings|SO2|Non-fatal heart attacks", US_national_yearly!$D:$AM, 29, FALSE) / VLOOKUP("buildings|SO2|Non-fatal heart attacks", US_national_yearly!$D:$AM, 10, FALSE), 1)</f>
        <v>4.2352068861298216E-4</v>
      </c>
      <c r="V13" s="7">
        <f>$B13 * IFERROR(VLOOKUP("buildings|SO2|Non-fatal heart attacks", US_national_yearly!$D:$AM, 30, FALSE) / VLOOKUP("buildings|SO2|Non-fatal heart attacks", US_national_yearly!$D:$AM, 10, FALSE), 1)</f>
        <v>4.25840762727209E-4</v>
      </c>
      <c r="W13" s="7">
        <f>$B13 * IFERROR(VLOOKUP("buildings|SO2|Non-fatal heart attacks", US_national_yearly!$D:$AM, 31, FALSE) / VLOOKUP("buildings|SO2|Non-fatal heart attacks", US_national_yearly!$D:$AM, 10, FALSE), 1)</f>
        <v>4.2816083684143579E-4</v>
      </c>
      <c r="X13" s="7">
        <f>$B13 * IFERROR(VLOOKUP("buildings|SO2|Non-fatal heart attacks", US_national_yearly!$D:$AM, 32, FALSE) / VLOOKUP("buildings|SO2|Non-fatal heart attacks", US_national_yearly!$D:$AM, 10, FALSE), 1)</f>
        <v>4.2991312718600731E-4</v>
      </c>
      <c r="Y13" s="7">
        <f>$B13 * IFERROR(VLOOKUP("buildings|SO2|Non-fatal heart attacks", US_national_yearly!$D:$AM, 33, FALSE) / VLOOKUP("buildings|SO2|Non-fatal heart attacks", US_national_yearly!$D:$AM, 10, FALSE), 1)</f>
        <v>4.3166541753057876E-4</v>
      </c>
      <c r="Z13" s="7">
        <f>$B13 * IFERROR(VLOOKUP("buildings|SO2|Non-fatal heart attacks", US_national_yearly!$D:$AM, 34, FALSE) / VLOOKUP("buildings|SO2|Non-fatal heart attacks", US_national_yearly!$D:$AM, 10, FALSE), 1)</f>
        <v>4.3341770787515011E-4</v>
      </c>
      <c r="AA13" s="7">
        <f>$B13 * IFERROR(VLOOKUP("buildings|SO2|Non-fatal heart attacks", US_national_yearly!$D:$AM, 35, FALSE) / VLOOKUP("buildings|SO2|Non-fatal heart attacks", US_national_yearly!$D:$AM, 10, FALSE), 1)</f>
        <v>4.3516999821972157E-4</v>
      </c>
      <c r="AB13" s="7">
        <f>$B13 * IFERROR(VLOOKUP("buildings|SO2|Non-fatal heart attacks", US_national_yearly!$D:$AM, 36, FALSE) / VLOOKUP("buildings|SO2|Non-fatal heart attacks", US_national_yearly!$D:$AM, 10, FALSE), 1)</f>
        <v>4.3692228856429297E-4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0.27647490828054044</v>
      </c>
      <c r="C14" s="7">
        <f>$B14 * IFERROR(VLOOKUP("buildings|SO2|Minor restricted activity days", US_national_yearly!$D:$AM, 11, FALSE) / VLOOKUP("buildings|SO2|Minor restricted activity days", US_national_yearly!$D:$AM, 10, FALSE), 1)</f>
        <v>0.2771747899466292</v>
      </c>
      <c r="D14" s="7">
        <f>$B14 * IFERROR(VLOOKUP("buildings|SO2|Minor restricted activity days", US_national_yearly!$D:$AM, 12, FALSE) / VLOOKUP("buildings|SO2|Minor restricted activity days", US_national_yearly!$D:$AM, 10, FALSE), 1)</f>
        <v>0.277874671612718</v>
      </c>
      <c r="E14" s="7">
        <f>$B14 * IFERROR(VLOOKUP("buildings|SO2|Minor restricted activity days", US_national_yearly!$D:$AM, 13, FALSE) / VLOOKUP("buildings|SO2|Minor restricted activity days", US_national_yearly!$D:$AM, 10, FALSE), 1)</f>
        <v>0.27857455327880681</v>
      </c>
      <c r="F14" s="7">
        <f>$B14 * IFERROR(VLOOKUP("buildings|SO2|Minor restricted activity days", US_national_yearly!$D:$AM, 14, FALSE) / VLOOKUP("buildings|SO2|Minor restricted activity days", US_national_yearly!$D:$AM, 10, FALSE), 1)</f>
        <v>0.27927443494489557</v>
      </c>
      <c r="G14" s="7">
        <f>$B14 * IFERROR(VLOOKUP("buildings|SO2|Minor restricted activity days", US_national_yearly!$D:$AM, 15, FALSE) / VLOOKUP("buildings|SO2|Minor restricted activity days", US_national_yearly!$D:$AM, 10, FALSE), 1)</f>
        <v>0.28030353830386129</v>
      </c>
      <c r="H14" s="7">
        <f>$B14 * IFERROR(VLOOKUP("buildings|SO2|Minor restricted activity days", US_national_yearly!$D:$AM, 16, FALSE) / VLOOKUP("buildings|SO2|Minor restricted activity days", US_national_yearly!$D:$AM, 10, FALSE), 1)</f>
        <v>0.28133264166282707</v>
      </c>
      <c r="I14" s="7">
        <f>$B14 * IFERROR(VLOOKUP("buildings|SO2|Minor restricted activity days", US_national_yearly!$D:$AM, 17, FALSE) / VLOOKUP("buildings|SO2|Minor restricted activity days", US_national_yearly!$D:$AM, 10, FALSE), 1)</f>
        <v>0.28308530824755118</v>
      </c>
      <c r="J14" s="7">
        <f>$B14 * IFERROR(VLOOKUP("buildings|SO2|Minor restricted activity days", US_national_yearly!$D:$AM, 18, FALSE) / VLOOKUP("buildings|SO2|Minor restricted activity days", US_national_yearly!$D:$AM, 10, FALSE), 1)</f>
        <v>0.28483797483227541</v>
      </c>
      <c r="K14" s="7">
        <f>$B14 * IFERROR(VLOOKUP("buildings|SO2|Minor restricted activity days", US_national_yearly!$D:$AM, 19, FALSE) / VLOOKUP("buildings|SO2|Minor restricted activity days", US_national_yearly!$D:$AM, 10, FALSE), 1)</f>
        <v>0.28659064141699953</v>
      </c>
      <c r="L14" s="7">
        <f>$B14 * IFERROR(VLOOKUP("buildings|SO2|Minor restricted activity days", US_national_yearly!$D:$AM, 20, FALSE) / VLOOKUP("buildings|SO2|Minor restricted activity days", US_national_yearly!$D:$AM, 10, FALSE), 1)</f>
        <v>0.2883433080017237</v>
      </c>
      <c r="M14" s="7">
        <f>$B14 * IFERROR(VLOOKUP("buildings|SO2|Minor restricted activity days", US_national_yearly!$D:$AM, 21, FALSE) / VLOOKUP("buildings|SO2|Minor restricted activity days", US_national_yearly!$D:$AM, 10, FALSE), 1)</f>
        <v>0.29009597458644787</v>
      </c>
      <c r="N14" s="7">
        <f>$B14 * IFERROR(VLOOKUP("buildings|SO2|Minor restricted activity days", US_national_yearly!$D:$AM, 22, FALSE) / VLOOKUP("buildings|SO2|Minor restricted activity days", US_national_yearly!$D:$AM, 10, FALSE), 1)</f>
        <v>0.29249265403985236</v>
      </c>
      <c r="O14" s="7">
        <f>$B14 * IFERROR(VLOOKUP("buildings|SO2|Minor restricted activity days", US_national_yearly!$D:$AM, 23, FALSE) / VLOOKUP("buildings|SO2|Minor restricted activity days", US_national_yearly!$D:$AM, 10, FALSE), 1)</f>
        <v>0.29488933349325691</v>
      </c>
      <c r="P14" s="7">
        <f>$B14 * IFERROR(VLOOKUP("buildings|SO2|Minor restricted activity days", US_national_yearly!$D:$AM, 24, FALSE) / VLOOKUP("buildings|SO2|Minor restricted activity days", US_national_yearly!$D:$AM, 10, FALSE), 1)</f>
        <v>0.29728601294666135</v>
      </c>
      <c r="Q14" s="7">
        <f>$B14 * IFERROR(VLOOKUP("buildings|SO2|Minor restricted activity days", US_national_yearly!$D:$AM, 25, FALSE) / VLOOKUP("buildings|SO2|Minor restricted activity days", US_national_yearly!$D:$AM, 10, FALSE), 1)</f>
        <v>0.2996826924000659</v>
      </c>
      <c r="R14" s="7">
        <f>$B14 * IFERROR(VLOOKUP("buildings|SO2|Minor restricted activity days", US_national_yearly!$D:$AM, 26, FALSE) / VLOOKUP("buildings|SO2|Minor restricted activity days", US_national_yearly!$D:$AM, 10, FALSE), 1)</f>
        <v>0.30207937185347039</v>
      </c>
      <c r="S14" s="7">
        <f>$B14 * IFERROR(VLOOKUP("buildings|SO2|Minor restricted activity days", US_national_yearly!$D:$AM, 27, FALSE) / VLOOKUP("buildings|SO2|Minor restricted activity days", US_national_yearly!$D:$AM, 10, FALSE), 1)</f>
        <v>0.3045226309596285</v>
      </c>
      <c r="T14" s="7">
        <f>$B14 * IFERROR(VLOOKUP("buildings|SO2|Minor restricted activity days", US_national_yearly!$D:$AM, 28, FALSE) / VLOOKUP("buildings|SO2|Minor restricted activity days", US_national_yearly!$D:$AM, 10, FALSE), 1)</f>
        <v>0.30696589006578656</v>
      </c>
      <c r="U14" s="7">
        <f>$B14 * IFERROR(VLOOKUP("buildings|SO2|Minor restricted activity days", US_national_yearly!$D:$AM, 29, FALSE) / VLOOKUP("buildings|SO2|Minor restricted activity days", US_national_yearly!$D:$AM, 10, FALSE), 1)</f>
        <v>0.30940914917194462</v>
      </c>
      <c r="V14" s="7">
        <f>$B14 * IFERROR(VLOOKUP("buildings|SO2|Minor restricted activity days", US_national_yearly!$D:$AM, 30, FALSE) / VLOOKUP("buildings|SO2|Minor restricted activity days", US_national_yearly!$D:$AM, 10, FALSE), 1)</f>
        <v>0.31185240827810273</v>
      </c>
      <c r="W14" s="7">
        <f>$B14 * IFERROR(VLOOKUP("buildings|SO2|Minor restricted activity days", US_national_yearly!$D:$AM, 31, FALSE) / VLOOKUP("buildings|SO2|Minor restricted activity days", US_national_yearly!$D:$AM, 10, FALSE), 1)</f>
        <v>0.31429566738426085</v>
      </c>
      <c r="X14" s="7">
        <f>$B14 * IFERROR(VLOOKUP("buildings|SO2|Minor restricted activity days", US_national_yearly!$D:$AM, 32, FALSE) / VLOOKUP("buildings|SO2|Minor restricted activity days", US_national_yearly!$D:$AM, 10, FALSE), 1)</f>
        <v>0.31644437237434209</v>
      </c>
      <c r="Y14" s="7">
        <f>$B14 * IFERROR(VLOOKUP("buildings|SO2|Minor restricted activity days", US_national_yearly!$D:$AM, 33, FALSE) / VLOOKUP("buildings|SO2|Minor restricted activity days", US_national_yearly!$D:$AM, 10, FALSE), 1)</f>
        <v>0.31859307736442333</v>
      </c>
      <c r="Z14" s="7">
        <f>$B14 * IFERROR(VLOOKUP("buildings|SO2|Minor restricted activity days", US_national_yearly!$D:$AM, 34, FALSE) / VLOOKUP("buildings|SO2|Minor restricted activity days", US_national_yearly!$D:$AM, 10, FALSE), 1)</f>
        <v>0.32074178235450451</v>
      </c>
      <c r="AA14" s="7">
        <f>$B14 * IFERROR(VLOOKUP("buildings|SO2|Minor restricted activity days", US_national_yearly!$D:$AM, 35, FALSE) / VLOOKUP("buildings|SO2|Minor restricted activity days", US_national_yearly!$D:$AM, 10, FALSE), 1)</f>
        <v>0.32289048734458575</v>
      </c>
      <c r="AB14" s="7">
        <f>$B14 * IFERROR(VLOOKUP("buildings|SO2|Minor restricted activity days", US_national_yearly!$D:$AM, 36, FALSE) / VLOOKUP("buildings|SO2|Minor restricted activity days", US_national_yearly!$D:$AM, 10, FALSE), 1)</f>
        <v>0.32503919233466694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4.6977312196190349E-2</v>
      </c>
      <c r="C15" s="7">
        <f>$B15 * IFERROR(VLOOKUP("buildings|SO2|Work loss days", US_national_yearly!$D:$AM, 11, FALSE) / VLOOKUP("buildings|SO2|Work loss days", US_national_yearly!$D:$AM, 10, FALSE), 1)</f>
        <v>4.7129940718474997E-2</v>
      </c>
      <c r="D15" s="7">
        <f>$B15 * IFERROR(VLOOKUP("buildings|SO2|Work loss days", US_national_yearly!$D:$AM, 12, FALSE) / VLOOKUP("buildings|SO2|Work loss days", US_national_yearly!$D:$AM, 10, FALSE), 1)</f>
        <v>4.7282569240759638E-2</v>
      </c>
      <c r="E15" s="7">
        <f>$B15 * IFERROR(VLOOKUP("buildings|SO2|Work loss days", US_national_yearly!$D:$AM, 13, FALSE) / VLOOKUP("buildings|SO2|Work loss days", US_national_yearly!$D:$AM, 10, FALSE), 1)</f>
        <v>4.7435197763044286E-2</v>
      </c>
      <c r="F15" s="7">
        <f>$B15 * IFERROR(VLOOKUP("buildings|SO2|Work loss days", US_national_yearly!$D:$AM, 14, FALSE) / VLOOKUP("buildings|SO2|Work loss days", US_national_yearly!$D:$AM, 10, FALSE), 1)</f>
        <v>4.758782628532892E-2</v>
      </c>
      <c r="G15" s="7">
        <f>$B15 * IFERROR(VLOOKUP("buildings|SO2|Work loss days", US_national_yearly!$D:$AM, 15, FALSE) / VLOOKUP("buildings|SO2|Work loss days", US_national_yearly!$D:$AM, 10, FALSE), 1)</f>
        <v>4.7787167581684609E-2</v>
      </c>
      <c r="H15" s="7">
        <f>$B15 * IFERROR(VLOOKUP("buildings|SO2|Work loss days", US_national_yearly!$D:$AM, 16, FALSE) / VLOOKUP("buildings|SO2|Work loss days", US_national_yearly!$D:$AM, 10, FALSE), 1)</f>
        <v>4.7986508878040311E-2</v>
      </c>
      <c r="I15" s="7">
        <f>$B15 * IFERROR(VLOOKUP("buildings|SO2|Work loss days", US_national_yearly!$D:$AM, 17, FALSE) / VLOOKUP("buildings|SO2|Work loss days", US_national_yearly!$D:$AM, 10, FALSE), 1)</f>
        <v>4.8277957010876518E-2</v>
      </c>
      <c r="J15" s="7">
        <f>$B15 * IFERROR(VLOOKUP("buildings|SO2|Work loss days", US_national_yearly!$D:$AM, 18, FALSE) / VLOOKUP("buildings|SO2|Work loss days", US_national_yearly!$D:$AM, 10, FALSE), 1)</f>
        <v>4.8569405143712718E-2</v>
      </c>
      <c r="K15" s="7">
        <f>$B15 * IFERROR(VLOOKUP("buildings|SO2|Work loss days", US_national_yearly!$D:$AM, 19, FALSE) / VLOOKUP("buildings|SO2|Work loss days", US_national_yearly!$D:$AM, 10, FALSE), 1)</f>
        <v>4.8860853276548918E-2</v>
      </c>
      <c r="L15" s="7">
        <f>$B15 * IFERROR(VLOOKUP("buildings|SO2|Work loss days", US_national_yearly!$D:$AM, 20, FALSE) / VLOOKUP("buildings|SO2|Work loss days", US_national_yearly!$D:$AM, 10, FALSE), 1)</f>
        <v>4.9152301409385118E-2</v>
      </c>
      <c r="M15" s="7">
        <f>$B15 * IFERROR(VLOOKUP("buildings|SO2|Work loss days", US_national_yearly!$D:$AM, 21, FALSE) / VLOOKUP("buildings|SO2|Work loss days", US_national_yearly!$D:$AM, 10, FALSE), 1)</f>
        <v>4.9443749542221312E-2</v>
      </c>
      <c r="N15" s="7">
        <f>$B15 * IFERROR(VLOOKUP("buildings|SO2|Work loss days", US_national_yearly!$D:$AM, 22, FALSE) / VLOOKUP("buildings|SO2|Work loss days", US_national_yearly!$D:$AM, 10, FALSE), 1)</f>
        <v>4.9809220726502929E-2</v>
      </c>
      <c r="O15" s="7">
        <f>$B15 * IFERROR(VLOOKUP("buildings|SO2|Work loss days", US_national_yearly!$D:$AM, 23, FALSE) / VLOOKUP("buildings|SO2|Work loss days", US_national_yearly!$D:$AM, 10, FALSE), 1)</f>
        <v>5.0174691910784538E-2</v>
      </c>
      <c r="P15" s="7">
        <f>$B15 * IFERROR(VLOOKUP("buildings|SO2|Work loss days", US_national_yearly!$D:$AM, 24, FALSE) / VLOOKUP("buildings|SO2|Work loss days", US_national_yearly!$D:$AM, 10, FALSE), 1)</f>
        <v>5.0540163095066148E-2</v>
      </c>
      <c r="Q15" s="7">
        <f>$B15 * IFERROR(VLOOKUP("buildings|SO2|Work loss days", US_national_yearly!$D:$AM, 25, FALSE) / VLOOKUP("buildings|SO2|Work loss days", US_national_yearly!$D:$AM, 10, FALSE), 1)</f>
        <v>5.0905634279347765E-2</v>
      </c>
      <c r="R15" s="7">
        <f>$B15 * IFERROR(VLOOKUP("buildings|SO2|Work loss days", US_national_yearly!$D:$AM, 26, FALSE) / VLOOKUP("buildings|SO2|Work loss days", US_national_yearly!$D:$AM, 10, FALSE), 1)</f>
        <v>5.1271105463629361E-2</v>
      </c>
      <c r="S15" s="7">
        <f>$B15 * IFERROR(VLOOKUP("buildings|SO2|Work loss days", US_national_yearly!$D:$AM, 27, FALSE) / VLOOKUP("buildings|SO2|Work loss days", US_national_yearly!$D:$AM, 10, FALSE), 1)</f>
        <v>5.1679368789746757E-2</v>
      </c>
      <c r="T15" s="7">
        <f>$B15 * IFERROR(VLOOKUP("buildings|SO2|Work loss days", US_national_yearly!$D:$AM, 28, FALSE) / VLOOKUP("buildings|SO2|Work loss days", US_national_yearly!$D:$AM, 10, FALSE), 1)</f>
        <v>5.2087632115864153E-2</v>
      </c>
      <c r="U15" s="7">
        <f>$B15 * IFERROR(VLOOKUP("buildings|SO2|Work loss days", US_national_yearly!$D:$AM, 29, FALSE) / VLOOKUP("buildings|SO2|Work loss days", US_national_yearly!$D:$AM, 10, FALSE), 1)</f>
        <v>5.2495895441981542E-2</v>
      </c>
      <c r="V15" s="7">
        <f>$B15 * IFERROR(VLOOKUP("buildings|SO2|Work loss days", US_national_yearly!$D:$AM, 30, FALSE) / VLOOKUP("buildings|SO2|Work loss days", US_national_yearly!$D:$AM, 10, FALSE), 1)</f>
        <v>5.2904158768098931E-2</v>
      </c>
      <c r="W15" s="7">
        <f>$B15 * IFERROR(VLOOKUP("buildings|SO2|Work loss days", US_national_yearly!$D:$AM, 31, FALSE) / VLOOKUP("buildings|SO2|Work loss days", US_national_yearly!$D:$AM, 10, FALSE), 1)</f>
        <v>5.3312422094216327E-2</v>
      </c>
      <c r="X15" s="7">
        <f>$B15 * IFERROR(VLOOKUP("buildings|SO2|Work loss days", US_national_yearly!$D:$AM, 32, FALSE) / VLOOKUP("buildings|SO2|Work loss days", US_national_yearly!$D:$AM, 10, FALSE), 1)</f>
        <v>5.3678994437459E-2</v>
      </c>
      <c r="Y15" s="7">
        <f>$B15 * IFERROR(VLOOKUP("buildings|SO2|Work loss days", US_national_yearly!$D:$AM, 33, FALSE) / VLOOKUP("buildings|SO2|Work loss days", US_national_yearly!$D:$AM, 10, FALSE), 1)</f>
        <v>5.4045566780701673E-2</v>
      </c>
      <c r="Z15" s="7">
        <f>$B15 * IFERROR(VLOOKUP("buildings|SO2|Work loss days", US_national_yearly!$D:$AM, 34, FALSE) / VLOOKUP("buildings|SO2|Work loss days", US_national_yearly!$D:$AM, 10, FALSE), 1)</f>
        <v>5.4412139123944339E-2</v>
      </c>
      <c r="AA15" s="7">
        <f>$B15 * IFERROR(VLOOKUP("buildings|SO2|Work loss days", US_national_yearly!$D:$AM, 35, FALSE) / VLOOKUP("buildings|SO2|Work loss days", US_national_yearly!$D:$AM, 10, FALSE), 1)</f>
        <v>5.4778711467187012E-2</v>
      </c>
      <c r="AB15" s="7">
        <f>$B15 * IFERROR(VLOOKUP("buildings|SO2|Work loss days", US_national_yearly!$D:$AM, 36, FALSE) / VLOOKUP("buildings|SO2|Work loss days", US_national_yearly!$D:$AM, 10, FALSE), 1)</f>
        <v>5.5145283810429678E-2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9.2648261920628129E-5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9.5450812409447796E-5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9.8253362898267463E-5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1.0105591338708716E-4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1.0385846387590682E-4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1.0654313937504578E-4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1.0922781487418472E-4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1.115285763687379E-4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1.1382933786329104E-4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1.1613009935784422E-4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1.1843086085239737E-4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1.2073162234695051E-4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1.2227653758072366E-4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1.2382145281449684E-4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1.2536636804826999E-4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1.2691128328204315E-4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1.2845619851581633E-4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1.2926863680135539E-4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1.3008107508689448E-4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1.3089351337243355E-4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1.3170595165797264E-4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1.3251838994351168E-4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1.3306394407864723E-4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1.3360949821378276E-4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1.3415505234891826E-4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1.3470060648405381E-4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1.3524616061918933E-4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5.2878146760287261E-3</v>
      </c>
      <c r="C2" s="7">
        <f>$B2 * IFERROR(VLOOKUP("industry|PM25|Premature mortality", US_national_yearly!$D:$AM, 11, FALSE) / VLOOKUP("industry|PM25|Premature mortality", US_national_yearly!$D:$AM, 10, FALSE), 1)</f>
        <v>5.3536652487655512E-3</v>
      </c>
      <c r="D2" s="7">
        <f>$B2 * IFERROR(VLOOKUP("industry|PM25|Premature mortality", US_national_yearly!$D:$AM, 12, FALSE) / VLOOKUP("industry|PM25|Premature mortality", US_national_yearly!$D:$AM, 10, FALSE), 1)</f>
        <v>5.4195158215023754E-3</v>
      </c>
      <c r="E2" s="7">
        <f>$B2 * IFERROR(VLOOKUP("industry|PM25|Premature mortality", US_national_yearly!$D:$AM, 13, FALSE) / VLOOKUP("industry|PM25|Premature mortality", US_national_yearly!$D:$AM, 10, FALSE), 1)</f>
        <v>5.4853663942392005E-3</v>
      </c>
      <c r="F2" s="7">
        <f>$B2 * IFERROR(VLOOKUP("industry|PM25|Premature mortality", US_national_yearly!$D:$AM, 14, FALSE) / VLOOKUP("industry|PM25|Premature mortality", US_national_yearly!$D:$AM, 10, FALSE), 1)</f>
        <v>5.5512169669760247E-3</v>
      </c>
      <c r="G2" s="7">
        <f>$B2 * IFERROR(VLOOKUP("industry|PM25|Premature mortality", US_national_yearly!$D:$AM, 15, FALSE) / VLOOKUP("industry|PM25|Premature mortality", US_national_yearly!$D:$AM, 10, FALSE), 1)</f>
        <v>5.6793282334149861E-3</v>
      </c>
      <c r="H2" s="7">
        <f>$B2 * IFERROR(VLOOKUP("industry|PM25|Premature mortality", US_national_yearly!$D:$AM, 16, FALSE) / VLOOKUP("industry|PM25|Premature mortality", US_national_yearly!$D:$AM, 10, FALSE), 1)</f>
        <v>5.8074394998539466E-3</v>
      </c>
      <c r="I2" s="7">
        <f>$B2 * IFERROR(VLOOKUP("industry|PM25|Premature mortality", US_national_yearly!$D:$AM, 17, FALSE) / VLOOKUP("industry|PM25|Premature mortality", US_national_yearly!$D:$AM, 10, FALSE), 1)</f>
        <v>5.8920309432002483E-3</v>
      </c>
      <c r="J2" s="7">
        <f>$B2 * IFERROR(VLOOKUP("industry|PM25|Premature mortality", US_national_yearly!$D:$AM, 18, FALSE) / VLOOKUP("industry|PM25|Premature mortality", US_national_yearly!$D:$AM, 10, FALSE), 1)</f>
        <v>5.9766223865465491E-3</v>
      </c>
      <c r="K2" s="7">
        <f>$B2 * IFERROR(VLOOKUP("industry|PM25|Premature mortality", US_national_yearly!$D:$AM, 19, FALSE) / VLOOKUP("industry|PM25|Premature mortality", US_national_yearly!$D:$AM, 10, FALSE), 1)</f>
        <v>6.0612138298928491E-3</v>
      </c>
      <c r="L2" s="7">
        <f>$B2 * IFERROR(VLOOKUP("industry|PM25|Premature mortality", US_national_yearly!$D:$AM, 20, FALSE) / VLOOKUP("industry|PM25|Premature mortality", US_national_yearly!$D:$AM, 10, FALSE), 1)</f>
        <v>6.1458052732391499E-3</v>
      </c>
      <c r="M2" s="7">
        <f>$B2 * IFERROR(VLOOKUP("industry|PM25|Premature mortality", US_national_yearly!$D:$AM, 21, FALSE) / VLOOKUP("industry|PM25|Premature mortality", US_national_yearly!$D:$AM, 10, FALSE), 1)</f>
        <v>6.2303967165854516E-3</v>
      </c>
      <c r="N2" s="7">
        <f>$B2 * IFERROR(VLOOKUP("industry|PM25|Premature mortality", US_national_yearly!$D:$AM, 22, FALSE) / VLOOKUP("industry|PM25|Premature mortality", US_national_yearly!$D:$AM, 10, FALSE), 1)</f>
        <v>6.2963006832554734E-3</v>
      </c>
      <c r="O2" s="7">
        <f>$B2 * IFERROR(VLOOKUP("industry|PM25|Premature mortality", US_national_yearly!$D:$AM, 23, FALSE) / VLOOKUP("industry|PM25|Premature mortality", US_national_yearly!$D:$AM, 10, FALSE), 1)</f>
        <v>6.3622046499254934E-3</v>
      </c>
      <c r="P2" s="7">
        <f>$B2 * IFERROR(VLOOKUP("industry|PM25|Premature mortality", US_national_yearly!$D:$AM, 24, FALSE) / VLOOKUP("industry|PM25|Premature mortality", US_national_yearly!$D:$AM, 10, FALSE), 1)</f>
        <v>6.4281086165955152E-3</v>
      </c>
      <c r="Q2" s="7">
        <f>$B2 * IFERROR(VLOOKUP("industry|PM25|Premature mortality", US_national_yearly!$D:$AM, 25, FALSE) / VLOOKUP("industry|PM25|Premature mortality", US_national_yearly!$D:$AM, 10, FALSE), 1)</f>
        <v>6.494012583265537E-3</v>
      </c>
      <c r="R2" s="7">
        <f>$B2 * IFERROR(VLOOKUP("industry|PM25|Premature mortality", US_national_yearly!$D:$AM, 26, FALSE) / VLOOKUP("industry|PM25|Premature mortality", US_national_yearly!$D:$AM, 10, FALSE), 1)</f>
        <v>6.559916549935557E-3</v>
      </c>
      <c r="S2" s="7">
        <f>$B2 * IFERROR(VLOOKUP("industry|PM25|Premature mortality", US_national_yearly!$D:$AM, 27, FALSE) / VLOOKUP("industry|PM25|Premature mortality", US_national_yearly!$D:$AM, 10, FALSE), 1)</f>
        <v>6.5955022475774746E-3</v>
      </c>
      <c r="T2" s="7">
        <f>$B2 * IFERROR(VLOOKUP("industry|PM25|Premature mortality", US_national_yearly!$D:$AM, 28, FALSE) / VLOOKUP("industry|PM25|Premature mortality", US_national_yearly!$D:$AM, 10, FALSE), 1)</f>
        <v>6.6310879452193923E-3</v>
      </c>
      <c r="U2" s="7">
        <f>$B2 * IFERROR(VLOOKUP("industry|PM25|Premature mortality", US_national_yearly!$D:$AM, 29, FALSE) / VLOOKUP("industry|PM25|Premature mortality", US_national_yearly!$D:$AM, 10, FALSE), 1)</f>
        <v>6.6666736428613125E-3</v>
      </c>
      <c r="V2" s="7">
        <f>$B2 * IFERROR(VLOOKUP("industry|PM25|Premature mortality", US_national_yearly!$D:$AM, 30, FALSE) / VLOOKUP("industry|PM25|Premature mortality", US_national_yearly!$D:$AM, 10, FALSE), 1)</f>
        <v>6.7022593405032301E-3</v>
      </c>
      <c r="W2" s="7">
        <f>$B2 * IFERROR(VLOOKUP("industry|PM25|Premature mortality", US_national_yearly!$D:$AM, 31, FALSE) / VLOOKUP("industry|PM25|Premature mortality", US_national_yearly!$D:$AM, 10, FALSE), 1)</f>
        <v>6.7378450381451477E-3</v>
      </c>
      <c r="X2" s="7">
        <f>$B2 * IFERROR(VLOOKUP("industry|PM25|Premature mortality", US_national_yearly!$D:$AM, 32, FALSE) / VLOOKUP("industry|PM25|Premature mortality", US_national_yearly!$D:$AM, 10, FALSE), 1)</f>
        <v>6.745192237406627E-3</v>
      </c>
      <c r="Y2" s="7">
        <f>$B2 * IFERROR(VLOOKUP("industry|PM25|Premature mortality", US_national_yearly!$D:$AM, 33, FALSE) / VLOOKUP("industry|PM25|Premature mortality", US_national_yearly!$D:$AM, 10, FALSE), 1)</f>
        <v>6.7525394366681106E-3</v>
      </c>
      <c r="Z2" s="7">
        <f>$B2 * IFERROR(VLOOKUP("industry|PM25|Premature mortality", US_national_yearly!$D:$AM, 34, FALSE) / VLOOKUP("industry|PM25|Premature mortality", US_national_yearly!$D:$AM, 10, FALSE), 1)</f>
        <v>6.7598866359295899E-3</v>
      </c>
      <c r="AA2" s="7">
        <f>$B2 * IFERROR(VLOOKUP("industry|PM25|Premature mortality", US_national_yearly!$D:$AM, 35, FALSE) / VLOOKUP("industry|PM25|Premature mortality", US_national_yearly!$D:$AM, 10, FALSE), 1)</f>
        <v>6.7672338351910718E-3</v>
      </c>
      <c r="AB2" s="7">
        <f>$B2 * IFERROR(VLOOKUP("industry|PM25|Premature mortality", US_national_yearly!$D:$AM, 36, FALSE) / VLOOKUP("industry|PM25|Premature mortality", US_national_yearly!$D:$AM, 10, FALSE), 1)</f>
        <v>6.7745810344525528E-3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1.2967191154479677E-5</v>
      </c>
      <c r="C3" s="7">
        <f>$B3 * IFERROR(VLOOKUP("industry|PM25|Infant mortality", US_national_yearly!$D:$AM, 11, FALSE) / VLOOKUP("industry|PM25|Infant mortality", US_national_yearly!$D:$AM, 10, FALSE), 1)</f>
        <v>1.285428778110011E-5</v>
      </c>
      <c r="D3" s="7">
        <f>$B3 * IFERROR(VLOOKUP("industry|PM25|Infant mortality", US_national_yearly!$D:$AM, 12, FALSE) / VLOOKUP("industry|PM25|Infant mortality", US_national_yearly!$D:$AM, 10, FALSE), 1)</f>
        <v>1.274138440772054E-5</v>
      </c>
      <c r="E3" s="7">
        <f>$B3 * IFERROR(VLOOKUP("industry|PM25|Infant mortality", US_national_yearly!$D:$AM, 13, FALSE) / VLOOKUP("industry|PM25|Infant mortality", US_national_yearly!$D:$AM, 10, FALSE), 1)</f>
        <v>1.262848103434097E-5</v>
      </c>
      <c r="F3" s="7">
        <f>$B3 * IFERROR(VLOOKUP("industry|PM25|Infant mortality", US_national_yearly!$D:$AM, 14, FALSE) / VLOOKUP("industry|PM25|Infant mortality", US_national_yearly!$D:$AM, 10, FALSE), 1)</f>
        <v>1.2515577660961403E-5</v>
      </c>
      <c r="G3" s="7">
        <f>$B3 * IFERROR(VLOOKUP("industry|PM25|Infant mortality", US_national_yearly!$D:$AM, 15, FALSE) / VLOOKUP("industry|PM25|Infant mortality", US_national_yearly!$D:$AM, 10, FALSE), 1)</f>
        <v>8.3157878804791413E-6</v>
      </c>
      <c r="H3" s="7">
        <f>$B3 * IFERROR(VLOOKUP("industry|PM25|Infant mortality", US_national_yearly!$D:$AM, 16, FALSE) / VLOOKUP("industry|PM25|Infant mortality", US_national_yearly!$D:$AM, 10, FALSE), 1)</f>
        <v>4.1159980999968799E-6</v>
      </c>
      <c r="I3" s="7">
        <f>$B3 * IFERROR(VLOOKUP("industry|PM25|Infant mortality", US_national_yearly!$D:$AM, 17, FALSE) / VLOOKUP("industry|PM25|Infant mortality", US_national_yearly!$D:$AM, 10, FALSE), 1)</f>
        <v>4.0886020729774151E-6</v>
      </c>
      <c r="J3" s="7">
        <f>$B3 * IFERROR(VLOOKUP("industry|PM25|Infant mortality", US_national_yearly!$D:$AM, 18, FALSE) / VLOOKUP("industry|PM25|Infant mortality", US_national_yearly!$D:$AM, 10, FALSE), 1)</f>
        <v>4.061206045957951E-6</v>
      </c>
      <c r="K3" s="7">
        <f>$B3 * IFERROR(VLOOKUP("industry|PM25|Infant mortality", US_national_yearly!$D:$AM, 19, FALSE) / VLOOKUP("industry|PM25|Infant mortality", US_national_yearly!$D:$AM, 10, FALSE), 1)</f>
        <v>4.033810018938487E-6</v>
      </c>
      <c r="L3" s="7">
        <f>$B3 * IFERROR(VLOOKUP("industry|PM25|Infant mortality", US_national_yearly!$D:$AM, 20, FALSE) / VLOOKUP("industry|PM25|Infant mortality", US_national_yearly!$D:$AM, 10, FALSE), 1)</f>
        <v>4.0064139919190222E-6</v>
      </c>
      <c r="M3" s="7">
        <f>$B3 * IFERROR(VLOOKUP("industry|PM25|Infant mortality", US_national_yearly!$D:$AM, 21, FALSE) / VLOOKUP("industry|PM25|Infant mortality", US_national_yearly!$D:$AM, 10, FALSE), 1)</f>
        <v>3.9790179648995582E-6</v>
      </c>
      <c r="N3" s="7">
        <f>$B3 * IFERROR(VLOOKUP("industry|PM25|Infant mortality", US_national_yearly!$D:$AM, 22, FALSE) / VLOOKUP("industry|PM25|Infant mortality", US_national_yearly!$D:$AM, 10, FALSE), 1)</f>
        <v>3.9615366318597364E-6</v>
      </c>
      <c r="O3" s="7">
        <f>$B3 * IFERROR(VLOOKUP("industry|PM25|Infant mortality", US_national_yearly!$D:$AM, 23, FALSE) / VLOOKUP("industry|PM25|Infant mortality", US_national_yearly!$D:$AM, 10, FALSE), 1)</f>
        <v>3.9440552988199147E-6</v>
      </c>
      <c r="P3" s="7">
        <f>$B3 * IFERROR(VLOOKUP("industry|PM25|Infant mortality", US_national_yearly!$D:$AM, 24, FALSE) / VLOOKUP("industry|PM25|Infant mortality", US_national_yearly!$D:$AM, 10, FALSE), 1)</f>
        <v>3.9265739657800938E-6</v>
      </c>
      <c r="Q3" s="7">
        <f>$B3 * IFERROR(VLOOKUP("industry|PM25|Infant mortality", US_national_yearly!$D:$AM, 25, FALSE) / VLOOKUP("industry|PM25|Infant mortality", US_national_yearly!$D:$AM, 10, FALSE), 1)</f>
        <v>3.909092632740272E-6</v>
      </c>
      <c r="R3" s="7">
        <f>$B3 * IFERROR(VLOOKUP("industry|PM25|Infant mortality", US_national_yearly!$D:$AM, 26, FALSE) / VLOOKUP("industry|PM25|Infant mortality", US_national_yearly!$D:$AM, 10, FALSE), 1)</f>
        <v>3.8916112997004502E-6</v>
      </c>
      <c r="S3" s="7">
        <f>$B3 * IFERROR(VLOOKUP("industry|PM25|Infant mortality", US_national_yearly!$D:$AM, 27, FALSE) / VLOOKUP("industry|PM25|Infant mortality", US_national_yearly!$D:$AM, 10, FALSE), 1)</f>
        <v>3.8701108384574911E-6</v>
      </c>
      <c r="T3" s="7">
        <f>$B3 * IFERROR(VLOOKUP("industry|PM25|Infant mortality", US_national_yearly!$D:$AM, 28, FALSE) / VLOOKUP("industry|PM25|Infant mortality", US_national_yearly!$D:$AM, 10, FALSE), 1)</f>
        <v>3.8486103772145328E-6</v>
      </c>
      <c r="U3" s="7">
        <f>$B3 * IFERROR(VLOOKUP("industry|PM25|Infant mortality", US_national_yearly!$D:$AM, 29, FALSE) / VLOOKUP("industry|PM25|Infant mortality", US_national_yearly!$D:$AM, 10, FALSE), 1)</f>
        <v>3.8271099159715737E-6</v>
      </c>
      <c r="V3" s="7">
        <f>$B3 * IFERROR(VLOOKUP("industry|PM25|Infant mortality", US_national_yearly!$D:$AM, 30, FALSE) / VLOOKUP("industry|PM25|Infant mortality", US_national_yearly!$D:$AM, 10, FALSE), 1)</f>
        <v>3.805609454728615E-6</v>
      </c>
      <c r="W3" s="7">
        <f>$B3 * IFERROR(VLOOKUP("industry|PM25|Infant mortality", US_national_yearly!$D:$AM, 31, FALSE) / VLOOKUP("industry|PM25|Infant mortality", US_national_yearly!$D:$AM, 10, FALSE), 1)</f>
        <v>3.7841089934856567E-6</v>
      </c>
      <c r="X3" s="7">
        <f>$B3 * IFERROR(VLOOKUP("industry|PM25|Infant mortality", US_national_yearly!$D:$AM, 32, FALSE) / VLOOKUP("industry|PM25|Infant mortality", US_national_yearly!$D:$AM, 10, FALSE), 1)</f>
        <v>3.7611330565651284E-6</v>
      </c>
      <c r="Y3" s="7">
        <f>$B3 * IFERROR(VLOOKUP("industry|PM25|Infant mortality", US_national_yearly!$D:$AM, 33, FALSE) / VLOOKUP("industry|PM25|Infant mortality", US_national_yearly!$D:$AM, 10, FALSE), 1)</f>
        <v>3.7381571196445997E-6</v>
      </c>
      <c r="Z3" s="7">
        <f>$B3 * IFERROR(VLOOKUP("industry|PM25|Infant mortality", US_national_yearly!$D:$AM, 34, FALSE) / VLOOKUP("industry|PM25|Infant mortality", US_national_yearly!$D:$AM, 10, FALSE), 1)</f>
        <v>3.7151811827240714E-6</v>
      </c>
      <c r="AA3" s="7">
        <f>$B3 * IFERROR(VLOOKUP("industry|PM25|Infant mortality", US_national_yearly!$D:$AM, 35, FALSE) / VLOOKUP("industry|PM25|Infant mortality", US_national_yearly!$D:$AM, 10, FALSE), 1)</f>
        <v>3.6922052458035432E-6</v>
      </c>
      <c r="AB3" s="7">
        <f>$B3 * IFERROR(VLOOKUP("industry|PM25|Infant mortality", US_national_yearly!$D:$AM, 36, FALSE) / VLOOKUP("industry|PM25|Infant mortality", US_national_yearly!$D:$AM, 10, FALSE), 1)</f>
        <v>3.6692293088830144E-6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1.3805694574426283E-2</v>
      </c>
      <c r="C6" s="7">
        <f>$B6 * IFERROR(VLOOKUP("industry|PM25|Asthma symptoms cough", US_national_yearly!$D:$AM, 11, FALSE) / VLOOKUP("industry|PM25|Asthma symptoms cough", US_national_yearly!$D:$AM, 10, FALSE), 1)</f>
        <v>1.3805694574426283E-2</v>
      </c>
      <c r="D6" s="7">
        <f>$B6 * IFERROR(VLOOKUP("industry|PM25|Asthma symptoms cough", US_national_yearly!$D:$AM, 12, FALSE) / VLOOKUP("industry|PM25|Asthma symptoms cough", US_national_yearly!$D:$AM, 10, FALSE), 1)</f>
        <v>1.3805694574426283E-2</v>
      </c>
      <c r="E6" s="7">
        <f>$B6 * IFERROR(VLOOKUP("industry|PM25|Asthma symptoms cough", US_national_yearly!$D:$AM, 13, FALSE) / VLOOKUP("industry|PM25|Asthma symptoms cough", US_national_yearly!$D:$AM, 10, FALSE), 1)</f>
        <v>1.3805694574426283E-2</v>
      </c>
      <c r="F6" s="7">
        <f>$B6 * IFERROR(VLOOKUP("industry|PM25|Asthma symptoms cough", US_national_yearly!$D:$AM, 14, FALSE) / VLOOKUP("industry|PM25|Asthma symptoms cough", US_national_yearly!$D:$AM, 10, FALSE), 1)</f>
        <v>1.3805694574426283E-2</v>
      </c>
      <c r="G6" s="7">
        <f>$B6 * IFERROR(VLOOKUP("industry|PM25|Asthma symptoms cough", US_national_yearly!$D:$AM, 15, FALSE) / VLOOKUP("industry|PM25|Asthma symptoms cough", US_national_yearly!$D:$AM, 10, FALSE), 1)</f>
        <v>1.3805694574426283E-2</v>
      </c>
      <c r="H6" s="7">
        <f>$B6 * IFERROR(VLOOKUP("industry|PM25|Asthma symptoms cough", US_national_yearly!$D:$AM, 16, FALSE) / VLOOKUP("industry|PM25|Asthma symptoms cough", US_national_yearly!$D:$AM, 10, FALSE), 1)</f>
        <v>1.3805694574426283E-2</v>
      </c>
      <c r="I6" s="7">
        <f>$B6 * IFERROR(VLOOKUP("industry|PM25|Asthma symptoms cough", US_national_yearly!$D:$AM, 17, FALSE) / VLOOKUP("industry|PM25|Asthma symptoms cough", US_national_yearly!$D:$AM, 10, FALSE), 1)</f>
        <v>1.3805694574426283E-2</v>
      </c>
      <c r="J6" s="7">
        <f>$B6 * IFERROR(VLOOKUP("industry|PM25|Asthma symptoms cough", US_national_yearly!$D:$AM, 18, FALSE) / VLOOKUP("industry|PM25|Asthma symptoms cough", US_national_yearly!$D:$AM, 10, FALSE), 1)</f>
        <v>1.3805694574426283E-2</v>
      </c>
      <c r="K6" s="7">
        <f>$B6 * IFERROR(VLOOKUP("industry|PM25|Asthma symptoms cough", US_national_yearly!$D:$AM, 19, FALSE) / VLOOKUP("industry|PM25|Asthma symptoms cough", US_national_yearly!$D:$AM, 10, FALSE), 1)</f>
        <v>1.3805694574426283E-2</v>
      </c>
      <c r="L6" s="7">
        <f>$B6 * IFERROR(VLOOKUP("industry|PM25|Asthma symptoms cough", US_national_yearly!$D:$AM, 20, FALSE) / VLOOKUP("industry|PM25|Asthma symptoms cough", US_national_yearly!$D:$AM, 10, FALSE), 1)</f>
        <v>1.3805694574426283E-2</v>
      </c>
      <c r="M6" s="7">
        <f>$B6 * IFERROR(VLOOKUP("industry|PM25|Asthma symptoms cough", US_national_yearly!$D:$AM, 21, FALSE) / VLOOKUP("industry|PM25|Asthma symptoms cough", US_national_yearly!$D:$AM, 10, FALSE), 1)</f>
        <v>1.3805694574426283E-2</v>
      </c>
      <c r="N6" s="7">
        <f>$B6 * IFERROR(VLOOKUP("industry|PM25|Asthma symptoms cough", US_national_yearly!$D:$AM, 22, FALSE) / VLOOKUP("industry|PM25|Asthma symptoms cough", US_national_yearly!$D:$AM, 10, FALSE), 1)</f>
        <v>1.3805694574426283E-2</v>
      </c>
      <c r="O6" s="7">
        <f>$B6 * IFERROR(VLOOKUP("industry|PM25|Asthma symptoms cough", US_national_yearly!$D:$AM, 23, FALSE) / VLOOKUP("industry|PM25|Asthma symptoms cough", US_national_yearly!$D:$AM, 10, FALSE), 1)</f>
        <v>1.3805694574426283E-2</v>
      </c>
      <c r="P6" s="7">
        <f>$B6 * IFERROR(VLOOKUP("industry|PM25|Asthma symptoms cough", US_national_yearly!$D:$AM, 24, FALSE) / VLOOKUP("industry|PM25|Asthma symptoms cough", US_national_yearly!$D:$AM, 10, FALSE), 1)</f>
        <v>1.3805694574426283E-2</v>
      </c>
      <c r="Q6" s="7">
        <f>$B6 * IFERROR(VLOOKUP("industry|PM25|Asthma symptoms cough", US_national_yearly!$D:$AM, 25, FALSE) / VLOOKUP("industry|PM25|Asthma symptoms cough", US_national_yearly!$D:$AM, 10, FALSE), 1)</f>
        <v>1.3805694574426283E-2</v>
      </c>
      <c r="R6" s="7">
        <f>$B6 * IFERROR(VLOOKUP("industry|PM25|Asthma symptoms cough", US_national_yearly!$D:$AM, 26, FALSE) / VLOOKUP("industry|PM25|Asthma symptoms cough", US_national_yearly!$D:$AM, 10, FALSE), 1)</f>
        <v>1.3805694574426283E-2</v>
      </c>
      <c r="S6" s="7">
        <f>$B6 * IFERROR(VLOOKUP("industry|PM25|Asthma symptoms cough", US_national_yearly!$D:$AM, 27, FALSE) / VLOOKUP("industry|PM25|Asthma symptoms cough", US_national_yearly!$D:$AM, 10, FALSE), 1)</f>
        <v>1.3805694574426283E-2</v>
      </c>
      <c r="T6" s="7">
        <f>$B6 * IFERROR(VLOOKUP("industry|PM25|Asthma symptoms cough", US_national_yearly!$D:$AM, 28, FALSE) / VLOOKUP("industry|PM25|Asthma symptoms cough", US_national_yearly!$D:$AM, 10, FALSE), 1)</f>
        <v>1.3805694574426283E-2</v>
      </c>
      <c r="U6" s="7">
        <f>$B6 * IFERROR(VLOOKUP("industry|PM25|Asthma symptoms cough", US_national_yearly!$D:$AM, 29, FALSE) / VLOOKUP("industry|PM25|Asthma symptoms cough", US_national_yearly!$D:$AM, 10, FALSE), 1)</f>
        <v>1.3805694574426283E-2</v>
      </c>
      <c r="V6" s="7">
        <f>$B6 * IFERROR(VLOOKUP("industry|PM25|Asthma symptoms cough", US_national_yearly!$D:$AM, 30, FALSE) / VLOOKUP("industry|PM25|Asthma symptoms cough", US_national_yearly!$D:$AM, 10, FALSE), 1)</f>
        <v>1.3805694574426283E-2</v>
      </c>
      <c r="W6" s="7">
        <f>$B6 * IFERROR(VLOOKUP("industry|PM25|Asthma symptoms cough", US_national_yearly!$D:$AM, 31, FALSE) / VLOOKUP("industry|PM25|Asthma symptoms cough", US_national_yearly!$D:$AM, 10, FALSE), 1)</f>
        <v>1.3805694574426283E-2</v>
      </c>
      <c r="X6" s="7">
        <f>$B6 * IFERROR(VLOOKUP("industry|PM25|Asthma symptoms cough", US_national_yearly!$D:$AM, 32, FALSE) / VLOOKUP("industry|PM25|Asthma symptoms cough", US_national_yearly!$D:$AM, 10, FALSE), 1)</f>
        <v>1.3805694574426283E-2</v>
      </c>
      <c r="Y6" s="7">
        <f>$B6 * IFERROR(VLOOKUP("industry|PM25|Asthma symptoms cough", US_national_yearly!$D:$AM, 33, FALSE) / VLOOKUP("industry|PM25|Asthma symptoms cough", US_national_yearly!$D:$AM, 10, FALSE), 1)</f>
        <v>1.3805694574426283E-2</v>
      </c>
      <c r="Z6" s="7">
        <f>$B6 * IFERROR(VLOOKUP("industry|PM25|Asthma symptoms cough", US_national_yearly!$D:$AM, 34, FALSE) / VLOOKUP("industry|PM25|Asthma symptoms cough", US_national_yearly!$D:$AM, 10, FALSE), 1)</f>
        <v>1.3805694574426283E-2</v>
      </c>
      <c r="AA6" s="7">
        <f>$B6 * IFERROR(VLOOKUP("industry|PM25|Asthma symptoms cough", US_national_yearly!$D:$AM, 35, FALSE) / VLOOKUP("industry|PM25|Asthma symptoms cough", US_national_yearly!$D:$AM, 10, FALSE), 1)</f>
        <v>1.3805694574426283E-2</v>
      </c>
      <c r="AB6" s="7">
        <f>$B6 * IFERROR(VLOOKUP("industry|PM25|Asthma symptoms cough", US_national_yearly!$D:$AM, 36, FALSE) / VLOOKUP("industry|PM25|Asthma symptoms cough", US_national_yearly!$D:$AM, 10, FALSE), 1)</f>
        <v>1.3805694574426283E-2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1.8590877735537945E-2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1.8590877735537945E-2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1.8590877735537945E-2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1.8590877735537945E-2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1.8590877735537945E-2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1.8590877735537945E-2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1.8590877735537945E-2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1.8590877735537945E-2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1.8590877735537945E-2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1.8590877735537945E-2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1.8590877735537945E-2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1.8590877735537945E-2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1.8590877735537945E-2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1.8590877735537945E-2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1.8590877735537945E-2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1.8590877735537945E-2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1.8590877735537945E-2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1.8590877735537945E-2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1.8590877735537945E-2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1.8590877735537945E-2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1.8590877735537945E-2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1.8590877735537945E-2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1.8590877735537945E-2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1.8590877735537945E-2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1.8590877735537945E-2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1.8590877735537945E-2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1.8590877735537945E-2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2.8405469309894432E-2</v>
      </c>
      <c r="C8" s="7">
        <f>$B8 * IFERROR(VLOOKUP("industry|PM25|Asthma symptoms wheeze", US_national_yearly!$D:$AM, 11, FALSE) / VLOOKUP("industry|PM25|Asthma symptoms wheeze", US_national_yearly!$D:$AM, 10, FALSE), 1)</f>
        <v>2.8405469309894432E-2</v>
      </c>
      <c r="D8" s="7">
        <f>$B8 * IFERROR(VLOOKUP("industry|PM25|Asthma symptoms wheeze", US_national_yearly!$D:$AM, 12, FALSE) / VLOOKUP("industry|PM25|Asthma symptoms wheeze", US_national_yearly!$D:$AM, 10, FALSE), 1)</f>
        <v>2.8405469309894432E-2</v>
      </c>
      <c r="E8" s="7">
        <f>$B8 * IFERROR(VLOOKUP("industry|PM25|Asthma symptoms wheeze", US_national_yearly!$D:$AM, 13, FALSE) / VLOOKUP("industry|PM25|Asthma symptoms wheeze", US_national_yearly!$D:$AM, 10, FALSE), 1)</f>
        <v>2.8405469309894432E-2</v>
      </c>
      <c r="F8" s="7">
        <f>$B8 * IFERROR(VLOOKUP("industry|PM25|Asthma symptoms wheeze", US_national_yearly!$D:$AM, 14, FALSE) / VLOOKUP("industry|PM25|Asthma symptoms wheeze", US_national_yearly!$D:$AM, 10, FALSE), 1)</f>
        <v>2.8405469309894432E-2</v>
      </c>
      <c r="G8" s="7">
        <f>$B8 * IFERROR(VLOOKUP("industry|PM25|Asthma symptoms wheeze", US_national_yearly!$D:$AM, 15, FALSE) / VLOOKUP("industry|PM25|Asthma symptoms wheeze", US_national_yearly!$D:$AM, 10, FALSE), 1)</f>
        <v>2.8405469309894432E-2</v>
      </c>
      <c r="H8" s="7">
        <f>$B8 * IFERROR(VLOOKUP("industry|PM25|Asthma symptoms wheeze", US_national_yearly!$D:$AM, 16, FALSE) / VLOOKUP("industry|PM25|Asthma symptoms wheeze", US_national_yearly!$D:$AM, 10, FALSE), 1)</f>
        <v>2.8405469309894432E-2</v>
      </c>
      <c r="I8" s="7">
        <f>$B8 * IFERROR(VLOOKUP("industry|PM25|Asthma symptoms wheeze", US_national_yearly!$D:$AM, 17, FALSE) / VLOOKUP("industry|PM25|Asthma symptoms wheeze", US_national_yearly!$D:$AM, 10, FALSE), 1)</f>
        <v>2.8405469309894432E-2</v>
      </c>
      <c r="J8" s="7">
        <f>$B8 * IFERROR(VLOOKUP("industry|PM25|Asthma symptoms wheeze", US_national_yearly!$D:$AM, 18, FALSE) / VLOOKUP("industry|PM25|Asthma symptoms wheeze", US_national_yearly!$D:$AM, 10, FALSE), 1)</f>
        <v>2.8405469309894432E-2</v>
      </c>
      <c r="K8" s="7">
        <f>$B8 * IFERROR(VLOOKUP("industry|PM25|Asthma symptoms wheeze", US_national_yearly!$D:$AM, 19, FALSE) / VLOOKUP("industry|PM25|Asthma symptoms wheeze", US_national_yearly!$D:$AM, 10, FALSE), 1)</f>
        <v>2.8405469309894432E-2</v>
      </c>
      <c r="L8" s="7">
        <f>$B8 * IFERROR(VLOOKUP("industry|PM25|Asthma symptoms wheeze", US_national_yearly!$D:$AM, 20, FALSE) / VLOOKUP("industry|PM25|Asthma symptoms wheeze", US_national_yearly!$D:$AM, 10, FALSE), 1)</f>
        <v>2.8405469309894432E-2</v>
      </c>
      <c r="M8" s="7">
        <f>$B8 * IFERROR(VLOOKUP("industry|PM25|Asthma symptoms wheeze", US_national_yearly!$D:$AM, 21, FALSE) / VLOOKUP("industry|PM25|Asthma symptoms wheeze", US_national_yearly!$D:$AM, 10, FALSE), 1)</f>
        <v>2.8405469309894432E-2</v>
      </c>
      <c r="N8" s="7">
        <f>$B8 * IFERROR(VLOOKUP("industry|PM25|Asthma symptoms wheeze", US_national_yearly!$D:$AM, 22, FALSE) / VLOOKUP("industry|PM25|Asthma symptoms wheeze", US_national_yearly!$D:$AM, 10, FALSE), 1)</f>
        <v>2.8405469309894432E-2</v>
      </c>
      <c r="O8" s="7">
        <f>$B8 * IFERROR(VLOOKUP("industry|PM25|Asthma symptoms wheeze", US_national_yearly!$D:$AM, 23, FALSE) / VLOOKUP("industry|PM25|Asthma symptoms wheeze", US_national_yearly!$D:$AM, 10, FALSE), 1)</f>
        <v>2.8405469309894432E-2</v>
      </c>
      <c r="P8" s="7">
        <f>$B8 * IFERROR(VLOOKUP("industry|PM25|Asthma symptoms wheeze", US_national_yearly!$D:$AM, 24, FALSE) / VLOOKUP("industry|PM25|Asthma symptoms wheeze", US_national_yearly!$D:$AM, 10, FALSE), 1)</f>
        <v>2.8405469309894432E-2</v>
      </c>
      <c r="Q8" s="7">
        <f>$B8 * IFERROR(VLOOKUP("industry|PM25|Asthma symptoms wheeze", US_national_yearly!$D:$AM, 25, FALSE) / VLOOKUP("industry|PM25|Asthma symptoms wheeze", US_national_yearly!$D:$AM, 10, FALSE), 1)</f>
        <v>2.8405469309894432E-2</v>
      </c>
      <c r="R8" s="7">
        <f>$B8 * IFERROR(VLOOKUP("industry|PM25|Asthma symptoms wheeze", US_national_yearly!$D:$AM, 26, FALSE) / VLOOKUP("industry|PM25|Asthma symptoms wheeze", US_national_yearly!$D:$AM, 10, FALSE), 1)</f>
        <v>2.8405469309894432E-2</v>
      </c>
      <c r="S8" s="7">
        <f>$B8 * IFERROR(VLOOKUP("industry|PM25|Asthma symptoms wheeze", US_national_yearly!$D:$AM, 27, FALSE) / VLOOKUP("industry|PM25|Asthma symptoms wheeze", US_national_yearly!$D:$AM, 10, FALSE), 1)</f>
        <v>2.8405469309894432E-2</v>
      </c>
      <c r="T8" s="7">
        <f>$B8 * IFERROR(VLOOKUP("industry|PM25|Asthma symptoms wheeze", US_national_yearly!$D:$AM, 28, FALSE) / VLOOKUP("industry|PM25|Asthma symptoms wheeze", US_national_yearly!$D:$AM, 10, FALSE), 1)</f>
        <v>2.8405469309894432E-2</v>
      </c>
      <c r="U8" s="7">
        <f>$B8 * IFERROR(VLOOKUP("industry|PM25|Asthma symptoms wheeze", US_national_yearly!$D:$AM, 29, FALSE) / VLOOKUP("industry|PM25|Asthma symptoms wheeze", US_national_yearly!$D:$AM, 10, FALSE), 1)</f>
        <v>2.8405469309894432E-2</v>
      </c>
      <c r="V8" s="7">
        <f>$B8 * IFERROR(VLOOKUP("industry|PM25|Asthma symptoms wheeze", US_national_yearly!$D:$AM, 30, FALSE) / VLOOKUP("industry|PM25|Asthma symptoms wheeze", US_national_yearly!$D:$AM, 10, FALSE), 1)</f>
        <v>2.8405469309894432E-2</v>
      </c>
      <c r="W8" s="7">
        <f>$B8 * IFERROR(VLOOKUP("industry|PM25|Asthma symptoms wheeze", US_national_yearly!$D:$AM, 31, FALSE) / VLOOKUP("industry|PM25|Asthma symptoms wheeze", US_national_yearly!$D:$AM, 10, FALSE), 1)</f>
        <v>2.8405469309894432E-2</v>
      </c>
      <c r="X8" s="7">
        <f>$B8 * IFERROR(VLOOKUP("industry|PM25|Asthma symptoms wheeze", US_national_yearly!$D:$AM, 32, FALSE) / VLOOKUP("industry|PM25|Asthma symptoms wheeze", US_national_yearly!$D:$AM, 10, FALSE), 1)</f>
        <v>2.8405469309894432E-2</v>
      </c>
      <c r="Y8" s="7">
        <f>$B8 * IFERROR(VLOOKUP("industry|PM25|Asthma symptoms wheeze", US_national_yearly!$D:$AM, 33, FALSE) / VLOOKUP("industry|PM25|Asthma symptoms wheeze", US_national_yearly!$D:$AM, 10, FALSE), 1)</f>
        <v>2.8405469309894432E-2</v>
      </c>
      <c r="Z8" s="7">
        <f>$B8 * IFERROR(VLOOKUP("industry|PM25|Asthma symptoms wheeze", US_national_yearly!$D:$AM, 34, FALSE) / VLOOKUP("industry|PM25|Asthma symptoms wheeze", US_national_yearly!$D:$AM, 10, FALSE), 1)</f>
        <v>2.8405469309894432E-2</v>
      </c>
      <c r="AA8" s="7">
        <f>$B8 * IFERROR(VLOOKUP("industry|PM25|Asthma symptoms wheeze", US_national_yearly!$D:$AM, 35, FALSE) / VLOOKUP("industry|PM25|Asthma symptoms wheeze", US_national_yearly!$D:$AM, 10, FALSE), 1)</f>
        <v>2.8405469309894432E-2</v>
      </c>
      <c r="AB8" s="7">
        <f>$B8 * IFERROR(VLOOKUP("industry|PM25|Asthma symptoms wheeze", US_national_yearly!$D:$AM, 36, FALSE) / VLOOKUP("industry|PM25|Asthma symptoms wheeze", US_national_yearly!$D:$AM, 10, FALSE), 1)</f>
        <v>2.8405469309894432E-2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3.2126818122037902E-4</v>
      </c>
      <c r="C12" s="7">
        <f>$B12 * IFERROR(VLOOKUP("industry|PM25|Respiratory hospital admissions", US_national_yearly!$D:$AM, 11, FALSE) / VLOOKUP("industry|PM25|Respiratory hospital admissions", US_national_yearly!$D:$AM, 10, FALSE), 1)</f>
        <v>3.2309220177073345E-4</v>
      </c>
      <c r="D12" s="7">
        <f>$B12 * IFERROR(VLOOKUP("industry|PM25|Respiratory hospital admissions", US_national_yearly!$D:$AM, 12, FALSE) / VLOOKUP("industry|PM25|Respiratory hospital admissions", US_national_yearly!$D:$AM, 10, FALSE), 1)</f>
        <v>3.2491622232108783E-4</v>
      </c>
      <c r="E12" s="7">
        <f>$B12 * IFERROR(VLOOKUP("industry|PM25|Respiratory hospital admissions", US_national_yearly!$D:$AM, 13, FALSE) / VLOOKUP("industry|PM25|Respiratory hospital admissions", US_national_yearly!$D:$AM, 10, FALSE), 1)</f>
        <v>3.2674024287144226E-4</v>
      </c>
      <c r="F12" s="7">
        <f>$B12 * IFERROR(VLOOKUP("industry|PM25|Respiratory hospital admissions", US_national_yearly!$D:$AM, 14, FALSE) / VLOOKUP("industry|PM25|Respiratory hospital admissions", US_national_yearly!$D:$AM, 10, FALSE), 1)</f>
        <v>3.2856426342179674E-4</v>
      </c>
      <c r="G12" s="7">
        <f>$B12 * IFERROR(VLOOKUP("industry|PM25|Respiratory hospital admissions", US_national_yearly!$D:$AM, 15, FALSE) / VLOOKUP("industry|PM25|Respiratory hospital admissions", US_national_yearly!$D:$AM, 10, FALSE), 1)</f>
        <v>3.3053637368670396E-4</v>
      </c>
      <c r="H12" s="7">
        <f>$B12 * IFERROR(VLOOKUP("industry|PM25|Respiratory hospital admissions", US_national_yearly!$D:$AM, 16, FALSE) / VLOOKUP("industry|PM25|Respiratory hospital admissions", US_national_yearly!$D:$AM, 10, FALSE), 1)</f>
        <v>3.3250848395161123E-4</v>
      </c>
      <c r="I12" s="7">
        <f>$B12 * IFERROR(VLOOKUP("industry|PM25|Respiratory hospital admissions", US_national_yearly!$D:$AM, 17, FALSE) / VLOOKUP("industry|PM25|Respiratory hospital admissions", US_national_yearly!$D:$AM, 10, FALSE), 1)</f>
        <v>3.343792786420672E-4</v>
      </c>
      <c r="J12" s="7">
        <f>$B12 * IFERROR(VLOOKUP("industry|PM25|Respiratory hospital admissions", US_national_yearly!$D:$AM, 18, FALSE) / VLOOKUP("industry|PM25|Respiratory hospital admissions", US_national_yearly!$D:$AM, 10, FALSE), 1)</f>
        <v>3.3625007333252317E-4</v>
      </c>
      <c r="K12" s="7">
        <f>$B12 * IFERROR(VLOOKUP("industry|PM25|Respiratory hospital admissions", US_national_yearly!$D:$AM, 19, FALSE) / VLOOKUP("industry|PM25|Respiratory hospital admissions", US_national_yearly!$D:$AM, 10, FALSE), 1)</f>
        <v>3.3812086802297904E-4</v>
      </c>
      <c r="L12" s="7">
        <f>$B12 * IFERROR(VLOOKUP("industry|PM25|Respiratory hospital admissions", US_national_yearly!$D:$AM, 20, FALSE) / VLOOKUP("industry|PM25|Respiratory hospital admissions", US_national_yearly!$D:$AM, 10, FALSE), 1)</f>
        <v>3.3999166271343501E-4</v>
      </c>
      <c r="M12" s="7">
        <f>$B12 * IFERROR(VLOOKUP("industry|PM25|Respiratory hospital admissions", US_national_yearly!$D:$AM, 21, FALSE) / VLOOKUP("industry|PM25|Respiratory hospital admissions", US_national_yearly!$D:$AM, 10, FALSE), 1)</f>
        <v>3.4186245740389098E-4</v>
      </c>
      <c r="N12" s="7">
        <f>$B12 * IFERROR(VLOOKUP("industry|PM25|Respiratory hospital admissions", US_national_yearly!$D:$AM, 22, FALSE) / VLOOKUP("industry|PM25|Respiratory hospital admissions", US_national_yearly!$D:$AM, 10, FALSE), 1)</f>
        <v>3.4318561808303796E-4</v>
      </c>
      <c r="O12" s="7">
        <f>$B12 * IFERROR(VLOOKUP("industry|PM25|Respiratory hospital admissions", US_national_yearly!$D:$AM, 23, FALSE) / VLOOKUP("industry|PM25|Respiratory hospital admissions", US_national_yearly!$D:$AM, 10, FALSE), 1)</f>
        <v>3.4450877876218488E-4</v>
      </c>
      <c r="P12" s="7">
        <f>$B12 * IFERROR(VLOOKUP("industry|PM25|Respiratory hospital admissions", US_national_yearly!$D:$AM, 24, FALSE) / VLOOKUP("industry|PM25|Respiratory hospital admissions", US_national_yearly!$D:$AM, 10, FALSE), 1)</f>
        <v>3.4583193944133186E-4</v>
      </c>
      <c r="Q12" s="7">
        <f>$B12 * IFERROR(VLOOKUP("industry|PM25|Respiratory hospital admissions", US_national_yearly!$D:$AM, 25, FALSE) / VLOOKUP("industry|PM25|Respiratory hospital admissions", US_national_yearly!$D:$AM, 10, FALSE), 1)</f>
        <v>3.4715510012047878E-4</v>
      </c>
      <c r="R12" s="7">
        <f>$B12 * IFERROR(VLOOKUP("industry|PM25|Respiratory hospital admissions", US_national_yearly!$D:$AM, 26, FALSE) / VLOOKUP("industry|PM25|Respiratory hospital admissions", US_national_yearly!$D:$AM, 10, FALSE), 1)</f>
        <v>3.4847826079962576E-4</v>
      </c>
      <c r="S12" s="7">
        <f>$B12 * IFERROR(VLOOKUP("industry|PM25|Respiratory hospital admissions", US_national_yearly!$D:$AM, 27, FALSE) / VLOOKUP("industry|PM25|Respiratory hospital admissions", US_national_yearly!$D:$AM, 10, FALSE), 1)</f>
        <v>3.4972623525145961E-4</v>
      </c>
      <c r="T12" s="7">
        <f>$B12 * IFERROR(VLOOKUP("industry|PM25|Respiratory hospital admissions", US_national_yearly!$D:$AM, 28, FALSE) / VLOOKUP("industry|PM25|Respiratory hospital admissions", US_national_yearly!$D:$AM, 10, FALSE), 1)</f>
        <v>3.5097420970329346E-4</v>
      </c>
      <c r="U12" s="7">
        <f>$B12 * IFERROR(VLOOKUP("industry|PM25|Respiratory hospital admissions", US_national_yearly!$D:$AM, 29, FALSE) / VLOOKUP("industry|PM25|Respiratory hospital admissions", US_national_yearly!$D:$AM, 10, FALSE), 1)</f>
        <v>3.5222218415512736E-4</v>
      </c>
      <c r="V12" s="7">
        <f>$B12 * IFERROR(VLOOKUP("industry|PM25|Respiratory hospital admissions", US_national_yearly!$D:$AM, 30, FALSE) / VLOOKUP("industry|PM25|Respiratory hospital admissions", US_national_yearly!$D:$AM, 10, FALSE), 1)</f>
        <v>3.5347015860696121E-4</v>
      </c>
      <c r="W12" s="7">
        <f>$B12 * IFERROR(VLOOKUP("industry|PM25|Respiratory hospital admissions", US_national_yearly!$D:$AM, 31, FALSE) / VLOOKUP("industry|PM25|Respiratory hospital admissions", US_national_yearly!$D:$AM, 10, FALSE), 1)</f>
        <v>3.5471813305879512E-4</v>
      </c>
      <c r="X12" s="7">
        <f>$B12 * IFERROR(VLOOKUP("industry|PM25|Respiratory hospital admissions", US_national_yearly!$D:$AM, 32, FALSE) / VLOOKUP("industry|PM25|Respiratory hospital admissions", US_national_yearly!$D:$AM, 10, FALSE), 1)</f>
        <v>3.5591975101759361E-4</v>
      </c>
      <c r="Y12" s="7">
        <f>$B12 * IFERROR(VLOOKUP("industry|PM25|Respiratory hospital admissions", US_national_yearly!$D:$AM, 33, FALSE) / VLOOKUP("industry|PM25|Respiratory hospital admissions", US_national_yearly!$D:$AM, 10, FALSE), 1)</f>
        <v>3.571213689763921E-4</v>
      </c>
      <c r="Z12" s="7">
        <f>$B12 * IFERROR(VLOOKUP("industry|PM25|Respiratory hospital admissions", US_national_yearly!$D:$AM, 34, FALSE) / VLOOKUP("industry|PM25|Respiratory hospital admissions", US_national_yearly!$D:$AM, 10, FALSE), 1)</f>
        <v>3.5832298693519069E-4</v>
      </c>
      <c r="AA12" s="7">
        <f>$B12 * IFERROR(VLOOKUP("industry|PM25|Respiratory hospital admissions", US_national_yearly!$D:$AM, 35, FALSE) / VLOOKUP("industry|PM25|Respiratory hospital admissions", US_national_yearly!$D:$AM, 10, FALSE), 1)</f>
        <v>3.5952460489398924E-4</v>
      </c>
      <c r="AB12" s="7">
        <f>$B12 * IFERROR(VLOOKUP("industry|PM25|Respiratory hospital admissions", US_national_yearly!$D:$AM, 36, FALSE) / VLOOKUP("industry|PM25|Respiratory hospital admissions", US_national_yearly!$D:$AM, 10, FALSE), 1)</f>
        <v>3.6072622285278778E-4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1.8151794568167269E-3</v>
      </c>
      <c r="C13" s="7">
        <f>$B13 * IFERROR(VLOOKUP("industry|PM25|Non-fatal heart attacks", US_national_yearly!$D:$AM, 11, FALSE) / VLOOKUP("industry|PM25|Non-fatal heart attacks", US_national_yearly!$D:$AM, 10, FALSE), 1)</f>
        <v>1.8680198067554472E-3</v>
      </c>
      <c r="D13" s="7">
        <f>$B13 * IFERROR(VLOOKUP("industry|PM25|Non-fatal heart attacks", US_national_yearly!$D:$AM, 12, FALSE) / VLOOKUP("industry|PM25|Non-fatal heart attacks", US_national_yearly!$D:$AM, 10, FALSE), 1)</f>
        <v>1.9208601566941671E-3</v>
      </c>
      <c r="E13" s="7">
        <f>$B13 * IFERROR(VLOOKUP("industry|PM25|Non-fatal heart attacks", US_national_yearly!$D:$AM, 13, FALSE) / VLOOKUP("industry|PM25|Non-fatal heart attacks", US_national_yearly!$D:$AM, 10, FALSE), 1)</f>
        <v>1.9737005066328877E-3</v>
      </c>
      <c r="F13" s="7">
        <f>$B13 * IFERROR(VLOOKUP("industry|PM25|Non-fatal heart attacks", US_national_yearly!$D:$AM, 14, FALSE) / VLOOKUP("industry|PM25|Non-fatal heart attacks", US_national_yearly!$D:$AM, 10, FALSE), 1)</f>
        <v>2.0265408565716078E-3</v>
      </c>
      <c r="G13" s="7">
        <f>$B13 * IFERROR(VLOOKUP("industry|PM25|Non-fatal heart attacks", US_national_yearly!$D:$AM, 15, FALSE) / VLOOKUP("industry|PM25|Non-fatal heart attacks", US_national_yearly!$D:$AM, 10, FALSE), 1)</f>
        <v>2.0764258622893482E-3</v>
      </c>
      <c r="H13" s="7">
        <f>$B13 * IFERROR(VLOOKUP("industry|PM25|Non-fatal heart attacks", US_national_yearly!$D:$AM, 16, FALSE) / VLOOKUP("industry|PM25|Non-fatal heart attacks", US_national_yearly!$D:$AM, 10, FALSE), 1)</f>
        <v>2.1263108680070891E-3</v>
      </c>
      <c r="I13" s="7">
        <f>$B13 * IFERROR(VLOOKUP("industry|PM25|Non-fatal heart attacks", US_national_yearly!$D:$AM, 17, FALSE) / VLOOKUP("industry|PM25|Non-fatal heart attacks", US_national_yearly!$D:$AM, 10, FALSE), 1)</f>
        <v>2.1665934708237837E-3</v>
      </c>
      <c r="J13" s="7">
        <f>$B13 * IFERROR(VLOOKUP("industry|PM25|Non-fatal heart attacks", US_national_yearly!$D:$AM, 18, FALSE) / VLOOKUP("industry|PM25|Non-fatal heart attacks", US_national_yearly!$D:$AM, 10, FALSE), 1)</f>
        <v>2.2068760736404778E-3</v>
      </c>
      <c r="K13" s="7">
        <f>$B13 * IFERROR(VLOOKUP("industry|PM25|Non-fatal heart attacks", US_national_yearly!$D:$AM, 19, FALSE) / VLOOKUP("industry|PM25|Non-fatal heart attacks", US_national_yearly!$D:$AM, 10, FALSE), 1)</f>
        <v>2.2471586764571715E-3</v>
      </c>
      <c r="L13" s="7">
        <f>$B13 * IFERROR(VLOOKUP("industry|PM25|Non-fatal heart attacks", US_national_yearly!$D:$AM, 20, FALSE) / VLOOKUP("industry|PM25|Non-fatal heart attacks", US_national_yearly!$D:$AM, 10, FALSE), 1)</f>
        <v>2.2874412792738656E-3</v>
      </c>
      <c r="M13" s="7">
        <f>$B13 * IFERROR(VLOOKUP("industry|PM25|Non-fatal heart attacks", US_national_yearly!$D:$AM, 21, FALSE) / VLOOKUP("industry|PM25|Non-fatal heart attacks", US_national_yearly!$D:$AM, 10, FALSE), 1)</f>
        <v>2.3277238820905597E-3</v>
      </c>
      <c r="N13" s="7">
        <f>$B13 * IFERROR(VLOOKUP("industry|PM25|Non-fatal heart attacks", US_national_yearly!$D:$AM, 22, FALSE) / VLOOKUP("industry|PM25|Non-fatal heart attacks", US_national_yearly!$D:$AM, 10, FALSE), 1)</f>
        <v>2.3537688281870068E-3</v>
      </c>
      <c r="O13" s="7">
        <f>$B13 * IFERROR(VLOOKUP("industry|PM25|Non-fatal heart attacks", US_national_yearly!$D:$AM, 23, FALSE) / VLOOKUP("industry|PM25|Non-fatal heart attacks", US_national_yearly!$D:$AM, 10, FALSE), 1)</f>
        <v>2.3798137742834539E-3</v>
      </c>
      <c r="P13" s="7">
        <f>$B13 * IFERROR(VLOOKUP("industry|PM25|Non-fatal heart attacks", US_national_yearly!$D:$AM, 24, FALSE) / VLOOKUP("industry|PM25|Non-fatal heart attacks", US_national_yearly!$D:$AM, 10, FALSE), 1)</f>
        <v>2.4058587203799006E-3</v>
      </c>
      <c r="Q13" s="7">
        <f>$B13 * IFERROR(VLOOKUP("industry|PM25|Non-fatal heart attacks", US_national_yearly!$D:$AM, 25, FALSE) / VLOOKUP("industry|PM25|Non-fatal heart attacks", US_national_yearly!$D:$AM, 10, FALSE), 1)</f>
        <v>2.4319036664763472E-3</v>
      </c>
      <c r="R13" s="7">
        <f>$B13 * IFERROR(VLOOKUP("industry|PM25|Non-fatal heart attacks", US_national_yearly!$D:$AM, 26, FALSE) / VLOOKUP("industry|PM25|Non-fatal heart attacks", US_national_yearly!$D:$AM, 10, FALSE), 1)</f>
        <v>2.4579486125727943E-3</v>
      </c>
      <c r="S13" s="7">
        <f>$B13 * IFERROR(VLOOKUP("industry|PM25|Non-fatal heart attacks", US_national_yearly!$D:$AM, 27, FALSE) / VLOOKUP("industry|PM25|Non-fatal heart attacks", US_national_yearly!$D:$AM, 10, FALSE), 1)</f>
        <v>2.4718593169841172E-3</v>
      </c>
      <c r="T13" s="7">
        <f>$B13 * IFERROR(VLOOKUP("industry|PM25|Non-fatal heart attacks", US_national_yearly!$D:$AM, 28, FALSE) / VLOOKUP("industry|PM25|Non-fatal heart attacks", US_national_yearly!$D:$AM, 10, FALSE), 1)</f>
        <v>2.4857700213954414E-3</v>
      </c>
      <c r="U13" s="7">
        <f>$B13 * IFERROR(VLOOKUP("industry|PM25|Non-fatal heart attacks", US_national_yearly!$D:$AM, 29, FALSE) / VLOOKUP("industry|PM25|Non-fatal heart attacks", US_national_yearly!$D:$AM, 10, FALSE), 1)</f>
        <v>2.4996807258067652E-3</v>
      </c>
      <c r="V13" s="7">
        <f>$B13 * IFERROR(VLOOKUP("industry|PM25|Non-fatal heart attacks", US_national_yearly!$D:$AM, 30, FALSE) / VLOOKUP("industry|PM25|Non-fatal heart attacks", US_national_yearly!$D:$AM, 10, FALSE), 1)</f>
        <v>2.5135914302180881E-3</v>
      </c>
      <c r="W13" s="7">
        <f>$B13 * IFERROR(VLOOKUP("industry|PM25|Non-fatal heart attacks", US_national_yearly!$D:$AM, 31, FALSE) / VLOOKUP("industry|PM25|Non-fatal heart attacks", US_national_yearly!$D:$AM, 10, FALSE), 1)</f>
        <v>2.5275021346294123E-3</v>
      </c>
      <c r="X13" s="7">
        <f>$B13 * IFERROR(VLOOKUP("industry|PM25|Non-fatal heart attacks", US_national_yearly!$D:$AM, 32, FALSE) / VLOOKUP("industry|PM25|Non-fatal heart attacks", US_national_yearly!$D:$AM, 10, FALSE), 1)</f>
        <v>2.5382383265256706E-3</v>
      </c>
      <c r="Y13" s="7">
        <f>$B13 * IFERROR(VLOOKUP("industry|PM25|Non-fatal heart attacks", US_national_yearly!$D:$AM, 33, FALSE) / VLOOKUP("industry|PM25|Non-fatal heart attacks", US_national_yearly!$D:$AM, 10, FALSE), 1)</f>
        <v>2.5489745184219281E-3</v>
      </c>
      <c r="Z13" s="7">
        <f>$B13 * IFERROR(VLOOKUP("industry|PM25|Non-fatal heart attacks", US_national_yearly!$D:$AM, 34, FALSE) / VLOOKUP("industry|PM25|Non-fatal heart attacks", US_national_yearly!$D:$AM, 10, FALSE), 1)</f>
        <v>2.5597107103181864E-3</v>
      </c>
      <c r="AA13" s="7">
        <f>$B13 * IFERROR(VLOOKUP("industry|PM25|Non-fatal heart attacks", US_national_yearly!$D:$AM, 35, FALSE) / VLOOKUP("industry|PM25|Non-fatal heart attacks", US_national_yearly!$D:$AM, 10, FALSE), 1)</f>
        <v>2.5704469022144447E-3</v>
      </c>
      <c r="AB13" s="7">
        <f>$B13 * IFERROR(VLOOKUP("industry|PM25|Non-fatal heart attacks", US_national_yearly!$D:$AM, 36, FALSE) / VLOOKUP("industry|PM25|Non-fatal heart attacks", US_national_yearly!$D:$AM, 10, FALSE), 1)</f>
        <v>2.5811830941107027E-3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1.6468307651733982</v>
      </c>
      <c r="C14" s="7">
        <f>$B14 * IFERROR(VLOOKUP("industry|PM25|Minor restricted activity days", US_national_yearly!$D:$AM, 11, FALSE) / VLOOKUP("industry|PM25|Minor restricted activity days", US_national_yearly!$D:$AM, 10, FALSE), 1)</f>
        <v>1.6508641266890305</v>
      </c>
      <c r="D14" s="7">
        <f>$B14 * IFERROR(VLOOKUP("industry|PM25|Minor restricted activity days", US_national_yearly!$D:$AM, 12, FALSE) / VLOOKUP("industry|PM25|Minor restricted activity days", US_national_yearly!$D:$AM, 10, FALSE), 1)</f>
        <v>1.6548974882046632</v>
      </c>
      <c r="E14" s="7">
        <f>$B14 * IFERROR(VLOOKUP("industry|PM25|Minor restricted activity days", US_national_yearly!$D:$AM, 13, FALSE) / VLOOKUP("industry|PM25|Minor restricted activity days", US_national_yearly!$D:$AM, 10, FALSE), 1)</f>
        <v>1.6589308497202955</v>
      </c>
      <c r="F14" s="7">
        <f>$B14 * IFERROR(VLOOKUP("industry|PM25|Minor restricted activity days", US_national_yearly!$D:$AM, 14, FALSE) / VLOOKUP("industry|PM25|Minor restricted activity days", US_national_yearly!$D:$AM, 10, FALSE), 1)</f>
        <v>1.6629642112359277</v>
      </c>
      <c r="G14" s="7">
        <f>$B14 * IFERROR(VLOOKUP("industry|PM25|Minor restricted activity days", US_national_yearly!$D:$AM, 15, FALSE) / VLOOKUP("industry|PM25|Minor restricted activity days", US_national_yearly!$D:$AM, 10, FALSE), 1)</f>
        <v>1.6688845304039979</v>
      </c>
      <c r="H14" s="7">
        <f>$B14 * IFERROR(VLOOKUP("industry|PM25|Minor restricted activity days", US_national_yearly!$D:$AM, 16, FALSE) / VLOOKUP("industry|PM25|Minor restricted activity days", US_national_yearly!$D:$AM, 10, FALSE), 1)</f>
        <v>1.6748048495720678</v>
      </c>
      <c r="I14" s="7">
        <f>$B14 * IFERROR(VLOOKUP("industry|PM25|Minor restricted activity days", US_national_yearly!$D:$AM, 17, FALSE) / VLOOKUP("industry|PM25|Minor restricted activity days", US_national_yearly!$D:$AM, 10, FALSE), 1)</f>
        <v>1.6848619495622721</v>
      </c>
      <c r="J14" s="7">
        <f>$B14 * IFERROR(VLOOKUP("industry|PM25|Minor restricted activity days", US_national_yearly!$D:$AM, 18, FALSE) / VLOOKUP("industry|PM25|Minor restricted activity days", US_national_yearly!$D:$AM, 10, FALSE), 1)</f>
        <v>1.6949190495524769</v>
      </c>
      <c r="K14" s="7">
        <f>$B14 * IFERROR(VLOOKUP("industry|PM25|Minor restricted activity days", US_national_yearly!$D:$AM, 19, FALSE) / VLOOKUP("industry|PM25|Minor restricted activity days", US_national_yearly!$D:$AM, 10, FALSE), 1)</f>
        <v>1.7049761495426807</v>
      </c>
      <c r="L14" s="7">
        <f>$B14 * IFERROR(VLOOKUP("industry|PM25|Minor restricted activity days", US_national_yearly!$D:$AM, 20, FALSE) / VLOOKUP("industry|PM25|Minor restricted activity days", US_national_yearly!$D:$AM, 10, FALSE), 1)</f>
        <v>1.7150332495328853</v>
      </c>
      <c r="M14" s="7">
        <f>$B14 * IFERROR(VLOOKUP("industry|PM25|Minor restricted activity days", US_national_yearly!$D:$AM, 21, FALSE) / VLOOKUP("industry|PM25|Minor restricted activity days", US_national_yearly!$D:$AM, 10, FALSE), 1)</f>
        <v>1.7250903495230896</v>
      </c>
      <c r="N14" s="7">
        <f>$B14 * IFERROR(VLOOKUP("industry|PM25|Minor restricted activity days", US_national_yearly!$D:$AM, 22, FALSE) / VLOOKUP("industry|PM25|Minor restricted activity days", US_national_yearly!$D:$AM, 10, FALSE), 1)</f>
        <v>1.7388293411571167</v>
      </c>
      <c r="O14" s="7">
        <f>$B14 * IFERROR(VLOOKUP("industry|PM25|Minor restricted activity days", US_national_yearly!$D:$AM, 23, FALSE) / VLOOKUP("industry|PM25|Minor restricted activity days", US_national_yearly!$D:$AM, 10, FALSE), 1)</f>
        <v>1.7525683327911452</v>
      </c>
      <c r="P14" s="7">
        <f>$B14 * IFERROR(VLOOKUP("industry|PM25|Minor restricted activity days", US_national_yearly!$D:$AM, 24, FALSE) / VLOOKUP("industry|PM25|Minor restricted activity days", US_national_yearly!$D:$AM, 10, FALSE), 1)</f>
        <v>1.7663073244251721</v>
      </c>
      <c r="Q14" s="7">
        <f>$B14 * IFERROR(VLOOKUP("industry|PM25|Minor restricted activity days", US_national_yearly!$D:$AM, 25, FALSE) / VLOOKUP("industry|PM25|Minor restricted activity days", US_national_yearly!$D:$AM, 10, FALSE), 1)</f>
        <v>1.7800463160592011</v>
      </c>
      <c r="R14" s="7">
        <f>$B14 * IFERROR(VLOOKUP("industry|PM25|Minor restricted activity days", US_national_yearly!$D:$AM, 26, FALSE) / VLOOKUP("industry|PM25|Minor restricted activity days", US_national_yearly!$D:$AM, 10, FALSE), 1)</f>
        <v>1.793785307693228</v>
      </c>
      <c r="S14" s="7">
        <f>$B14 * IFERROR(VLOOKUP("industry|PM25|Minor restricted activity days", US_national_yearly!$D:$AM, 27, FALSE) / VLOOKUP("industry|PM25|Minor restricted activity days", US_national_yearly!$D:$AM, 10, FALSE), 1)</f>
        <v>1.8076561990202207</v>
      </c>
      <c r="T14" s="7">
        <f>$B14 * IFERROR(VLOOKUP("industry|PM25|Minor restricted activity days", US_national_yearly!$D:$AM, 28, FALSE) / VLOOKUP("industry|PM25|Minor restricted activity days", US_national_yearly!$D:$AM, 10, FALSE), 1)</f>
        <v>1.8215270903472134</v>
      </c>
      <c r="U14" s="7">
        <f>$B14 * IFERROR(VLOOKUP("industry|PM25|Minor restricted activity days", US_national_yearly!$D:$AM, 29, FALSE) / VLOOKUP("industry|PM25|Minor restricted activity days", US_national_yearly!$D:$AM, 10, FALSE), 1)</f>
        <v>1.8353979816742061</v>
      </c>
      <c r="V14" s="7">
        <f>$B14 * IFERROR(VLOOKUP("industry|PM25|Minor restricted activity days", US_national_yearly!$D:$AM, 30, FALSE) / VLOOKUP("industry|PM25|Minor restricted activity days", US_national_yearly!$D:$AM, 10, FALSE), 1)</f>
        <v>1.8492688730011986</v>
      </c>
      <c r="W14" s="7">
        <f>$B14 * IFERROR(VLOOKUP("industry|PM25|Minor restricted activity days", US_national_yearly!$D:$AM, 31, FALSE) / VLOOKUP("industry|PM25|Minor restricted activity days", US_national_yearly!$D:$AM, 10, FALSE), 1)</f>
        <v>1.8631397643281915</v>
      </c>
      <c r="X14" s="7">
        <f>$B14 * IFERROR(VLOOKUP("industry|PM25|Minor restricted activity days", US_national_yearly!$D:$AM, 32, FALSE) / VLOOKUP("industry|PM25|Minor restricted activity days", US_national_yearly!$D:$AM, 10, FALSE), 1)</f>
        <v>1.875193060897983</v>
      </c>
      <c r="Y14" s="7">
        <f>$B14 * IFERROR(VLOOKUP("industry|PM25|Minor restricted activity days", US_national_yearly!$D:$AM, 33, FALSE) / VLOOKUP("industry|PM25|Minor restricted activity days", US_national_yearly!$D:$AM, 10, FALSE), 1)</f>
        <v>1.8872463574677749</v>
      </c>
      <c r="Z14" s="7">
        <f>$B14 * IFERROR(VLOOKUP("industry|PM25|Minor restricted activity days", US_national_yearly!$D:$AM, 34, FALSE) / VLOOKUP("industry|PM25|Minor restricted activity days", US_national_yearly!$D:$AM, 10, FALSE), 1)</f>
        <v>1.8992996540375668</v>
      </c>
      <c r="AA14" s="7">
        <f>$B14 * IFERROR(VLOOKUP("industry|PM25|Minor restricted activity days", US_national_yearly!$D:$AM, 35, FALSE) / VLOOKUP("industry|PM25|Minor restricted activity days", US_national_yearly!$D:$AM, 10, FALSE), 1)</f>
        <v>1.9113529506073588</v>
      </c>
      <c r="AB14" s="7">
        <f>$B14 * IFERROR(VLOOKUP("industry|PM25|Minor restricted activity days", US_national_yearly!$D:$AM, 36, FALSE) / VLOOKUP("industry|PM25|Minor restricted activity days", US_national_yearly!$D:$AM, 10, FALSE), 1)</f>
        <v>1.9234062471771509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0.27973251711075975</v>
      </c>
      <c r="C15" s="7">
        <f>$B15 * IFERROR(VLOOKUP("industry|PM25|Work loss days", US_national_yearly!$D:$AM, 11, FALSE) / VLOOKUP("industry|PM25|Work loss days", US_national_yearly!$D:$AM, 10, FALSE), 1)</f>
        <v>0.28059980022627323</v>
      </c>
      <c r="D15" s="7">
        <f>$B15 * IFERROR(VLOOKUP("industry|PM25|Work loss days", US_national_yearly!$D:$AM, 12, FALSE) / VLOOKUP("industry|PM25|Work loss days", US_national_yearly!$D:$AM, 10, FALSE), 1)</f>
        <v>0.28146708334178677</v>
      </c>
      <c r="E15" s="7">
        <f>$B15 * IFERROR(VLOOKUP("industry|PM25|Work loss days", US_national_yearly!$D:$AM, 13, FALSE) / VLOOKUP("industry|PM25|Work loss days", US_national_yearly!$D:$AM, 10, FALSE), 1)</f>
        <v>0.2823343664573002</v>
      </c>
      <c r="F15" s="7">
        <f>$B15 * IFERROR(VLOOKUP("industry|PM25|Work loss days", US_national_yearly!$D:$AM, 14, FALSE) / VLOOKUP("industry|PM25|Work loss days", US_national_yearly!$D:$AM, 10, FALSE), 1)</f>
        <v>0.28320164957281374</v>
      </c>
      <c r="G15" s="7">
        <f>$B15 * IFERROR(VLOOKUP("industry|PM25|Work loss days", US_national_yearly!$D:$AM, 15, FALSE) / VLOOKUP("industry|PM25|Work loss days", US_national_yearly!$D:$AM, 10, FALSE), 1)</f>
        <v>0.28433392565397064</v>
      </c>
      <c r="H15" s="7">
        <f>$B15 * IFERROR(VLOOKUP("industry|PM25|Work loss days", US_national_yearly!$D:$AM, 16, FALSE) / VLOOKUP("industry|PM25|Work loss days", US_national_yearly!$D:$AM, 10, FALSE), 1)</f>
        <v>0.28546620173512754</v>
      </c>
      <c r="I15" s="7">
        <f>$B15 * IFERROR(VLOOKUP("industry|PM25|Work loss days", US_national_yearly!$D:$AM, 17, FALSE) / VLOOKUP("industry|PM25|Work loss days", US_national_yearly!$D:$AM, 10, FALSE), 1)</f>
        <v>0.28712421428044904</v>
      </c>
      <c r="J15" s="7">
        <f>$B15 * IFERROR(VLOOKUP("industry|PM25|Work loss days", US_national_yearly!$D:$AM, 18, FALSE) / VLOOKUP("industry|PM25|Work loss days", US_national_yearly!$D:$AM, 10, FALSE), 1)</f>
        <v>0.28878222682577048</v>
      </c>
      <c r="K15" s="7">
        <f>$B15 * IFERROR(VLOOKUP("industry|PM25|Work loss days", US_national_yearly!$D:$AM, 19, FALSE) / VLOOKUP("industry|PM25|Work loss days", US_national_yearly!$D:$AM, 10, FALSE), 1)</f>
        <v>0.29044023937109187</v>
      </c>
      <c r="L15" s="7">
        <f>$B15 * IFERROR(VLOOKUP("industry|PM25|Work loss days", US_national_yearly!$D:$AM, 20, FALSE) / VLOOKUP("industry|PM25|Work loss days", US_national_yearly!$D:$AM, 10, FALSE), 1)</f>
        <v>0.29209825191641337</v>
      </c>
      <c r="M15" s="7">
        <f>$B15 * IFERROR(VLOOKUP("industry|PM25|Work loss days", US_national_yearly!$D:$AM, 21, FALSE) / VLOOKUP("industry|PM25|Work loss days", US_national_yearly!$D:$AM, 10, FALSE), 1)</f>
        <v>0.29375626446173481</v>
      </c>
      <c r="N15" s="7">
        <f>$B15 * IFERROR(VLOOKUP("industry|PM25|Work loss days", US_national_yearly!$D:$AM, 22, FALSE) / VLOOKUP("industry|PM25|Work loss days", US_national_yearly!$D:$AM, 10, FALSE), 1)</f>
        <v>0.29584845866670867</v>
      </c>
      <c r="O15" s="7">
        <f>$B15 * IFERROR(VLOOKUP("industry|PM25|Work loss days", US_national_yearly!$D:$AM, 23, FALSE) / VLOOKUP("industry|PM25|Work loss days", US_national_yearly!$D:$AM, 10, FALSE), 1)</f>
        <v>0.29794065287168253</v>
      </c>
      <c r="P15" s="7">
        <f>$B15 * IFERROR(VLOOKUP("industry|PM25|Work loss days", US_national_yearly!$D:$AM, 24, FALSE) / VLOOKUP("industry|PM25|Work loss days", US_national_yearly!$D:$AM, 10, FALSE), 1)</f>
        <v>0.30003284707665634</v>
      </c>
      <c r="Q15" s="7">
        <f>$B15 * IFERROR(VLOOKUP("industry|PM25|Work loss days", US_national_yearly!$D:$AM, 25, FALSE) / VLOOKUP("industry|PM25|Work loss days", US_national_yearly!$D:$AM, 10, FALSE), 1)</f>
        <v>0.30212504128163015</v>
      </c>
      <c r="R15" s="7">
        <f>$B15 * IFERROR(VLOOKUP("industry|PM25|Work loss days", US_national_yearly!$D:$AM, 26, FALSE) / VLOOKUP("industry|PM25|Work loss days", US_national_yearly!$D:$AM, 10, FALSE), 1)</f>
        <v>0.30421723548660395</v>
      </c>
      <c r="S15" s="7">
        <f>$B15 * IFERROR(VLOOKUP("industry|PM25|Work loss days", US_national_yearly!$D:$AM, 27, FALSE) / VLOOKUP("industry|PM25|Work loss days", US_national_yearly!$D:$AM, 10, FALSE), 1)</f>
        <v>0.30653718225273713</v>
      </c>
      <c r="T15" s="7">
        <f>$B15 * IFERROR(VLOOKUP("industry|PM25|Work loss days", US_national_yearly!$D:$AM, 28, FALSE) / VLOOKUP("industry|PM25|Work loss days", US_national_yearly!$D:$AM, 10, FALSE), 1)</f>
        <v>0.30885712901887025</v>
      </c>
      <c r="U15" s="7">
        <f>$B15 * IFERROR(VLOOKUP("industry|PM25|Work loss days", US_national_yearly!$D:$AM, 29, FALSE) / VLOOKUP("industry|PM25|Work loss days", US_national_yearly!$D:$AM, 10, FALSE), 1)</f>
        <v>0.31117707578500342</v>
      </c>
      <c r="V15" s="7">
        <f>$B15 * IFERROR(VLOOKUP("industry|PM25|Work loss days", US_national_yearly!$D:$AM, 30, FALSE) / VLOOKUP("industry|PM25|Work loss days", US_national_yearly!$D:$AM, 10, FALSE), 1)</f>
        <v>0.31349702255113654</v>
      </c>
      <c r="W15" s="7">
        <f>$B15 * IFERROR(VLOOKUP("industry|PM25|Work loss days", US_national_yearly!$D:$AM, 31, FALSE) / VLOOKUP("industry|PM25|Work loss days", US_national_yearly!$D:$AM, 10, FALSE), 1)</f>
        <v>0.31581696931726971</v>
      </c>
      <c r="X15" s="7">
        <f>$B15 * IFERROR(VLOOKUP("industry|PM25|Work loss days", US_national_yearly!$D:$AM, 32, FALSE) / VLOOKUP("industry|PM25|Work loss days", US_national_yearly!$D:$AM, 10, FALSE), 1)</f>
        <v>0.31787854706886887</v>
      </c>
      <c r="Y15" s="7">
        <f>$B15 * IFERROR(VLOOKUP("industry|PM25|Work loss days", US_national_yearly!$D:$AM, 33, FALSE) / VLOOKUP("industry|PM25|Work loss days", US_national_yearly!$D:$AM, 10, FALSE), 1)</f>
        <v>0.31994012482046807</v>
      </c>
      <c r="Z15" s="7">
        <f>$B15 * IFERROR(VLOOKUP("industry|PM25|Work loss days", US_national_yearly!$D:$AM, 34, FALSE) / VLOOKUP("industry|PM25|Work loss days", US_national_yearly!$D:$AM, 10, FALSE), 1)</f>
        <v>0.32200170257206728</v>
      </c>
      <c r="AA15" s="7">
        <f>$B15 * IFERROR(VLOOKUP("industry|PM25|Work loss days", US_national_yearly!$D:$AM, 35, FALSE) / VLOOKUP("industry|PM25|Work loss days", US_national_yearly!$D:$AM, 10, FALSE), 1)</f>
        <v>0.32406328032366644</v>
      </c>
      <c r="AB15" s="7">
        <f>$B15 * IFERROR(VLOOKUP("industry|PM25|Work loss days", US_national_yearly!$D:$AM, 36, FALSE) / VLOOKUP("industry|PM25|Work loss days", US_national_yearly!$D:$AM, 10, FALSE), 1)</f>
        <v>0.3261248580752657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5.2407056338053045E-4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5.3974584992362866E-4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5.5542113646672698E-4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5.7109642300982519E-4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5.8677170955292329E-4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6.0179534184998898E-4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6.1681897414705446E-4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6.2971807906083322E-4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6.4261718397461186E-4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6.5551628888839072E-4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6.6841539380216959E-4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6.8131449871594834E-4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6.8993114942988466E-4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6.9854780014382077E-4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7.0716445085775698E-4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7.157811015716933E-4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7.2439775228562951E-4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7.2901434477971926E-4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7.3363093727380911E-4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7.3824752976789896E-4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7.4286412226198871E-4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7.4748071475607845E-4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7.5065090368827705E-4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7.5382109262047531E-4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7.569912815526738E-4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7.6016147048487206E-4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7.6333165941707055E-4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1.6132095921973778E-5</v>
      </c>
      <c r="C2" s="7">
        <f>$B2 * IFERROR(VLOOKUP("industry|NOx|Premature mortality", US_national_yearly!$D:$AM, 11, FALSE) / VLOOKUP("industry|NOx|Premature mortality", US_national_yearly!$D:$AM, 10, FALSE), 1)</f>
        <v>1.6370636990044042E-5</v>
      </c>
      <c r="D2" s="7">
        <f>$B2 * IFERROR(VLOOKUP("industry|NOx|Premature mortality", US_national_yearly!$D:$AM, 12, FALSE) / VLOOKUP("industry|NOx|Premature mortality", US_national_yearly!$D:$AM, 10, FALSE), 1)</f>
        <v>1.660917805811431E-5</v>
      </c>
      <c r="E2" s="7">
        <f>$B2 * IFERROR(VLOOKUP("industry|NOx|Premature mortality", US_national_yearly!$D:$AM, 13, FALSE) / VLOOKUP("industry|NOx|Premature mortality", US_national_yearly!$D:$AM, 10, FALSE), 1)</f>
        <v>1.6847719126184572E-5</v>
      </c>
      <c r="F2" s="7">
        <f>$B2 * IFERROR(VLOOKUP("industry|NOx|Premature mortality", US_national_yearly!$D:$AM, 14, FALSE) / VLOOKUP("industry|NOx|Premature mortality", US_national_yearly!$D:$AM, 10, FALSE), 1)</f>
        <v>1.708626019425484E-5</v>
      </c>
      <c r="G2" s="7">
        <f>$B2 * IFERROR(VLOOKUP("industry|NOx|Premature mortality", US_national_yearly!$D:$AM, 15, FALSE) / VLOOKUP("industry|NOx|Premature mortality", US_national_yearly!$D:$AM, 10, FALSE), 1)</f>
        <v>1.7514053658758188E-5</v>
      </c>
      <c r="H2" s="7">
        <f>$B2 * IFERROR(VLOOKUP("industry|NOx|Premature mortality", US_national_yearly!$D:$AM, 16, FALSE) / VLOOKUP("industry|NOx|Premature mortality", US_national_yearly!$D:$AM, 10, FALSE), 1)</f>
        <v>1.7941847123261536E-5</v>
      </c>
      <c r="I2" s="7">
        <f>$B2 * IFERROR(VLOOKUP("industry|NOx|Premature mortality", US_national_yearly!$D:$AM, 17, FALSE) / VLOOKUP("industry|NOx|Premature mortality", US_national_yearly!$D:$AM, 10, FALSE), 1)</f>
        <v>1.8219371138283754E-5</v>
      </c>
      <c r="J2" s="7">
        <f>$B2 * IFERROR(VLOOKUP("industry|NOx|Premature mortality", US_national_yearly!$D:$AM, 18, FALSE) / VLOOKUP("industry|NOx|Premature mortality", US_national_yearly!$D:$AM, 10, FALSE), 1)</f>
        <v>1.8496895153305972E-5</v>
      </c>
      <c r="K2" s="7">
        <f>$B2 * IFERROR(VLOOKUP("industry|NOx|Premature mortality", US_national_yearly!$D:$AM, 19, FALSE) / VLOOKUP("industry|NOx|Premature mortality", US_national_yearly!$D:$AM, 10, FALSE), 1)</f>
        <v>1.8774419168328194E-5</v>
      </c>
      <c r="L2" s="7">
        <f>$B2 * IFERROR(VLOOKUP("industry|NOx|Premature mortality", US_national_yearly!$D:$AM, 20, FALSE) / VLOOKUP("industry|NOx|Premature mortality", US_national_yearly!$D:$AM, 10, FALSE), 1)</f>
        <v>1.9051943183350413E-5</v>
      </c>
      <c r="M2" s="7">
        <f>$B2 * IFERROR(VLOOKUP("industry|NOx|Premature mortality", US_national_yearly!$D:$AM, 21, FALSE) / VLOOKUP("industry|NOx|Premature mortality", US_national_yearly!$D:$AM, 10, FALSE), 1)</f>
        <v>1.9329467198372631E-5</v>
      </c>
      <c r="N2" s="7">
        <f>$B2 * IFERROR(VLOOKUP("industry|NOx|Premature mortality", US_national_yearly!$D:$AM, 22, FALSE) / VLOOKUP("industry|NOx|Premature mortality", US_national_yearly!$D:$AM, 10, FALSE), 1)</f>
        <v>1.9535981279781927E-5</v>
      </c>
      <c r="O2" s="7">
        <f>$B2 * IFERROR(VLOOKUP("industry|NOx|Premature mortality", US_national_yearly!$D:$AM, 23, FALSE) / VLOOKUP("industry|NOx|Premature mortality", US_national_yearly!$D:$AM, 10, FALSE), 1)</f>
        <v>1.9742495361191219E-5</v>
      </c>
      <c r="P2" s="7">
        <f>$B2 * IFERROR(VLOOKUP("industry|NOx|Premature mortality", US_national_yearly!$D:$AM, 24, FALSE) / VLOOKUP("industry|NOx|Premature mortality", US_national_yearly!$D:$AM, 10, FALSE), 1)</f>
        <v>1.9949009442600512E-5</v>
      </c>
      <c r="Q2" s="7">
        <f>$B2 * IFERROR(VLOOKUP("industry|NOx|Premature mortality", US_national_yearly!$D:$AM, 25, FALSE) / VLOOKUP("industry|NOx|Premature mortality", US_national_yearly!$D:$AM, 10, FALSE), 1)</f>
        <v>2.0155523524009804E-5</v>
      </c>
      <c r="R2" s="7">
        <f>$B2 * IFERROR(VLOOKUP("industry|NOx|Premature mortality", US_national_yearly!$D:$AM, 26, FALSE) / VLOOKUP("industry|NOx|Premature mortality", US_national_yearly!$D:$AM, 10, FALSE), 1)</f>
        <v>2.0362037605419097E-5</v>
      </c>
      <c r="S2" s="7">
        <f>$B2 * IFERROR(VLOOKUP("industry|NOx|Premature mortality", US_national_yearly!$D:$AM, 27, FALSE) / VLOOKUP("industry|NOx|Premature mortality", US_national_yearly!$D:$AM, 10, FALSE), 1)</f>
        <v>2.0458203029900011E-5</v>
      </c>
      <c r="T2" s="7">
        <f>$B2 * IFERROR(VLOOKUP("industry|NOx|Premature mortality", US_national_yearly!$D:$AM, 28, FALSE) / VLOOKUP("industry|NOx|Premature mortality", US_national_yearly!$D:$AM, 10, FALSE), 1)</f>
        <v>2.0554368454380921E-5</v>
      </c>
      <c r="U2" s="7">
        <f>$B2 * IFERROR(VLOOKUP("industry|NOx|Premature mortality", US_national_yearly!$D:$AM, 29, FALSE) / VLOOKUP("industry|NOx|Premature mortality", US_national_yearly!$D:$AM, 10, FALSE), 1)</f>
        <v>2.0650533878861835E-5</v>
      </c>
      <c r="V2" s="7">
        <f>$B2 * IFERROR(VLOOKUP("industry|NOx|Premature mortality", US_national_yearly!$D:$AM, 30, FALSE) / VLOOKUP("industry|NOx|Premature mortality", US_national_yearly!$D:$AM, 10, FALSE), 1)</f>
        <v>2.0746699303342746E-5</v>
      </c>
      <c r="W2" s="7">
        <f>$B2 * IFERROR(VLOOKUP("industry|NOx|Premature mortality", US_national_yearly!$D:$AM, 31, FALSE) / VLOOKUP("industry|NOx|Premature mortality", US_national_yearly!$D:$AM, 10, FALSE), 1)</f>
        <v>2.0842864727823656E-5</v>
      </c>
      <c r="X2" s="7">
        <f>$B2 * IFERROR(VLOOKUP("industry|NOx|Premature mortality", US_national_yearly!$D:$AM, 32, FALSE) / VLOOKUP("industry|NOx|Premature mortality", US_national_yearly!$D:$AM, 10, FALSE), 1)</f>
        <v>2.0850213997116463E-5</v>
      </c>
      <c r="Y2" s="7">
        <f>$B2 * IFERROR(VLOOKUP("industry|NOx|Premature mortality", US_national_yearly!$D:$AM, 33, FALSE) / VLOOKUP("industry|NOx|Premature mortality", US_national_yearly!$D:$AM, 10, FALSE), 1)</f>
        <v>2.0857563266409271E-5</v>
      </c>
      <c r="Z2" s="7">
        <f>$B2 * IFERROR(VLOOKUP("industry|NOx|Premature mortality", US_national_yearly!$D:$AM, 34, FALSE) / VLOOKUP("industry|NOx|Premature mortality", US_national_yearly!$D:$AM, 10, FALSE), 1)</f>
        <v>2.0864912535702081E-5</v>
      </c>
      <c r="AA2" s="7">
        <f>$B2 * IFERROR(VLOOKUP("industry|NOx|Premature mortality", US_national_yearly!$D:$AM, 35, FALSE) / VLOOKUP("industry|NOx|Premature mortality", US_national_yearly!$D:$AM, 10, FALSE), 1)</f>
        <v>2.0872261804994888E-5</v>
      </c>
      <c r="AB2" s="7">
        <f>$B2 * IFERROR(VLOOKUP("industry|NOx|Premature mortality", US_national_yearly!$D:$AM, 36, FALSE) / VLOOKUP("industry|NOx|Premature mortality", US_national_yearly!$D:$AM, 10, FALSE), 1)</f>
        <v>2.0879611074287696E-5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5.2885059523696287E-8</v>
      </c>
      <c r="C3" s="7">
        <f>$B3 * IFERROR(VLOOKUP("industry|NOx|Infant mortality", US_national_yearly!$D:$AM, 11, FALSE) / VLOOKUP("industry|NOx|Infant mortality", US_national_yearly!$D:$AM, 10, FALSE), 1)</f>
        <v>5.237858817123001E-8</v>
      </c>
      <c r="D3" s="7">
        <f>$B3 * IFERROR(VLOOKUP("industry|NOx|Infant mortality", US_national_yearly!$D:$AM, 12, FALSE) / VLOOKUP("industry|NOx|Infant mortality", US_national_yearly!$D:$AM, 10, FALSE), 1)</f>
        <v>5.1872116818763732E-8</v>
      </c>
      <c r="E3" s="7">
        <f>$B3 * IFERROR(VLOOKUP("industry|NOx|Infant mortality", US_national_yearly!$D:$AM, 13, FALSE) / VLOOKUP("industry|NOx|Infant mortality", US_national_yearly!$D:$AM, 10, FALSE), 1)</f>
        <v>5.1365645466297455E-8</v>
      </c>
      <c r="F3" s="7">
        <f>$B3 * IFERROR(VLOOKUP("industry|NOx|Infant mortality", US_national_yearly!$D:$AM, 14, FALSE) / VLOOKUP("industry|NOx|Infant mortality", US_national_yearly!$D:$AM, 10, FALSE), 1)</f>
        <v>5.0859174113831178E-8</v>
      </c>
      <c r="G3" s="7">
        <f>$B3 * IFERROR(VLOOKUP("industry|NOx|Infant mortality", US_national_yearly!$D:$AM, 15, FALSE) / VLOOKUP("industry|NOx|Infant mortality", US_national_yearly!$D:$AM, 10, FALSE), 1)</f>
        <v>3.3734291861863567E-8</v>
      </c>
      <c r="H3" s="7">
        <f>$B3 * IFERROR(VLOOKUP("industry|NOx|Infant mortality", US_national_yearly!$D:$AM, 16, FALSE) / VLOOKUP("industry|NOx|Infant mortality", US_national_yearly!$D:$AM, 10, FALSE), 1)</f>
        <v>1.660940960989596E-8</v>
      </c>
      <c r="I3" s="7">
        <f>$B3 * IFERROR(VLOOKUP("industry|NOx|Infant mortality", US_national_yearly!$D:$AM, 17, FALSE) / VLOOKUP("industry|NOx|Infant mortality", US_national_yearly!$D:$AM, 10, FALSE), 1)</f>
        <v>1.6489662937937819E-8</v>
      </c>
      <c r="J3" s="7">
        <f>$B3 * IFERROR(VLOOKUP("industry|NOx|Infant mortality", US_national_yearly!$D:$AM, 18, FALSE) / VLOOKUP("industry|NOx|Infant mortality", US_national_yearly!$D:$AM, 10, FALSE), 1)</f>
        <v>1.6369916265979684E-8</v>
      </c>
      <c r="K3" s="7">
        <f>$B3 * IFERROR(VLOOKUP("industry|NOx|Infant mortality", US_national_yearly!$D:$AM, 19, FALSE) / VLOOKUP("industry|NOx|Infant mortality", US_national_yearly!$D:$AM, 10, FALSE), 1)</f>
        <v>1.6250169594021543E-8</v>
      </c>
      <c r="L3" s="7">
        <f>$B3 * IFERROR(VLOOKUP("industry|NOx|Infant mortality", US_national_yearly!$D:$AM, 20, FALSE) / VLOOKUP("industry|NOx|Infant mortality", US_national_yearly!$D:$AM, 10, FALSE), 1)</f>
        <v>1.6130422922063402E-8</v>
      </c>
      <c r="M3" s="7">
        <f>$B3 * IFERROR(VLOOKUP("industry|NOx|Infant mortality", US_national_yearly!$D:$AM, 21, FALSE) / VLOOKUP("industry|NOx|Infant mortality", US_national_yearly!$D:$AM, 10, FALSE), 1)</f>
        <v>1.6010676250105261E-8</v>
      </c>
      <c r="N3" s="7">
        <f>$B3 * IFERROR(VLOOKUP("industry|NOx|Infant mortality", US_national_yearly!$D:$AM, 22, FALSE) / VLOOKUP("industry|NOx|Infant mortality", US_national_yearly!$D:$AM, 10, FALSE), 1)</f>
        <v>1.5929996343948405E-8</v>
      </c>
      <c r="O3" s="7">
        <f>$B3 * IFERROR(VLOOKUP("industry|NOx|Infant mortality", US_national_yearly!$D:$AM, 23, FALSE) / VLOOKUP("industry|NOx|Infant mortality", US_national_yearly!$D:$AM, 10, FALSE), 1)</f>
        <v>1.5849316437791543E-8</v>
      </c>
      <c r="P3" s="7">
        <f>$B3 * IFERROR(VLOOKUP("industry|NOx|Infant mortality", US_national_yearly!$D:$AM, 24, FALSE) / VLOOKUP("industry|NOx|Infant mortality", US_national_yearly!$D:$AM, 10, FALSE), 1)</f>
        <v>1.5768636531634684E-8</v>
      </c>
      <c r="Q3" s="7">
        <f>$B3 * IFERROR(VLOOKUP("industry|NOx|Infant mortality", US_national_yearly!$D:$AM, 25, FALSE) / VLOOKUP("industry|NOx|Infant mortality", US_national_yearly!$D:$AM, 10, FALSE), 1)</f>
        <v>1.5687956625477825E-8</v>
      </c>
      <c r="R3" s="7">
        <f>$B3 * IFERROR(VLOOKUP("industry|NOx|Infant mortality", US_national_yearly!$D:$AM, 26, FALSE) / VLOOKUP("industry|NOx|Infant mortality", US_national_yearly!$D:$AM, 10, FALSE), 1)</f>
        <v>1.560727671932097E-8</v>
      </c>
      <c r="S3" s="7">
        <f>$B3 * IFERROR(VLOOKUP("industry|NOx|Infant mortality", US_national_yearly!$D:$AM, 27, FALSE) / VLOOKUP("industry|NOx|Infant mortality", US_national_yearly!$D:$AM, 10, FALSE), 1)</f>
        <v>1.5511470773161162E-8</v>
      </c>
      <c r="T3" s="7">
        <f>$B3 * IFERROR(VLOOKUP("industry|NOx|Infant mortality", US_national_yearly!$D:$AM, 28, FALSE) / VLOOKUP("industry|NOx|Infant mortality", US_national_yearly!$D:$AM, 10, FALSE), 1)</f>
        <v>1.5415664827001355E-8</v>
      </c>
      <c r="U3" s="7">
        <f>$B3 * IFERROR(VLOOKUP("industry|NOx|Infant mortality", US_national_yearly!$D:$AM, 29, FALSE) / VLOOKUP("industry|NOx|Infant mortality", US_national_yearly!$D:$AM, 10, FALSE), 1)</f>
        <v>1.5319858880841548E-8</v>
      </c>
      <c r="V3" s="7">
        <f>$B3 * IFERROR(VLOOKUP("industry|NOx|Infant mortality", US_national_yearly!$D:$AM, 30, FALSE) / VLOOKUP("industry|NOx|Infant mortality", US_national_yearly!$D:$AM, 10, FALSE), 1)</f>
        <v>1.5224052934681741E-8</v>
      </c>
      <c r="W3" s="7">
        <f>$B3 * IFERROR(VLOOKUP("industry|NOx|Infant mortality", US_national_yearly!$D:$AM, 31, FALSE) / VLOOKUP("industry|NOx|Infant mortality", US_national_yearly!$D:$AM, 10, FALSE), 1)</f>
        <v>1.5128246988521937E-8</v>
      </c>
      <c r="X3" s="7">
        <f>$B3 * IFERROR(VLOOKUP("industry|NOx|Infant mortality", US_national_yearly!$D:$AM, 32, FALSE) / VLOOKUP("industry|NOx|Infant mortality", US_national_yearly!$D:$AM, 10, FALSE), 1)</f>
        <v>1.5027640136646497E-8</v>
      </c>
      <c r="Y3" s="7">
        <f>$B3 * IFERROR(VLOOKUP("industry|NOx|Infant mortality", US_national_yearly!$D:$AM, 33, FALSE) / VLOOKUP("industry|NOx|Infant mortality", US_national_yearly!$D:$AM, 10, FALSE), 1)</f>
        <v>1.492703328477106E-8</v>
      </c>
      <c r="Z3" s="7">
        <f>$B3 * IFERROR(VLOOKUP("industry|NOx|Infant mortality", US_national_yearly!$D:$AM, 34, FALSE) / VLOOKUP("industry|NOx|Infant mortality", US_national_yearly!$D:$AM, 10, FALSE), 1)</f>
        <v>1.4826426432895623E-8</v>
      </c>
      <c r="AA3" s="7">
        <f>$B3 * IFERROR(VLOOKUP("industry|NOx|Infant mortality", US_national_yearly!$D:$AM, 35, FALSE) / VLOOKUP("industry|NOx|Infant mortality", US_national_yearly!$D:$AM, 10, FALSE), 1)</f>
        <v>1.4725819581020185E-8</v>
      </c>
      <c r="AB3" s="7">
        <f>$B3 * IFERROR(VLOOKUP("industry|NOx|Infant mortality", US_national_yearly!$D:$AM, 36, FALSE) / VLOOKUP("industry|NOx|Infant mortality", US_national_yearly!$D:$AM, 10, FALSE), 1)</f>
        <v>1.4625212729144748E-8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4.8293073620653647E-5</v>
      </c>
      <c r="C6" s="7">
        <f>$B6 * IFERROR(VLOOKUP("industry|NOx|Asthma symptoms cough", US_national_yearly!$D:$AM, 11, FALSE) / VLOOKUP("industry|NOx|Asthma symptoms cough", US_national_yearly!$D:$AM, 10, FALSE), 1)</f>
        <v>4.8953739254495032E-5</v>
      </c>
      <c r="D6" s="7">
        <f>$B6 * IFERROR(VLOOKUP("industry|NOx|Asthma symptoms cough", US_national_yearly!$D:$AM, 12, FALSE) / VLOOKUP("industry|NOx|Asthma symptoms cough", US_national_yearly!$D:$AM, 10, FALSE), 1)</f>
        <v>4.9614404888336417E-5</v>
      </c>
      <c r="E6" s="7">
        <f>$B6 * IFERROR(VLOOKUP("industry|NOx|Asthma symptoms cough", US_national_yearly!$D:$AM, 13, FALSE) / VLOOKUP("industry|NOx|Asthma symptoms cough", US_national_yearly!$D:$AM, 10, FALSE), 1)</f>
        <v>5.0275070522177794E-5</v>
      </c>
      <c r="F6" s="7">
        <f>$B6 * IFERROR(VLOOKUP("industry|NOx|Asthma symptoms cough", US_national_yearly!$D:$AM, 14, FALSE) / VLOOKUP("industry|NOx|Asthma symptoms cough", US_national_yearly!$D:$AM, 10, FALSE), 1)</f>
        <v>5.0935736156019179E-5</v>
      </c>
      <c r="G6" s="7">
        <f>$B6 * IFERROR(VLOOKUP("industry|NOx|Asthma symptoms cough", US_national_yearly!$D:$AM, 15, FALSE) / VLOOKUP("industry|NOx|Asthma symptoms cough", US_national_yearly!$D:$AM, 10, FALSE), 1)</f>
        <v>5.1465487500379152E-5</v>
      </c>
      <c r="H6" s="7">
        <f>$B6 * IFERROR(VLOOKUP("industry|NOx|Asthma symptoms cough", US_national_yearly!$D:$AM, 16, FALSE) / VLOOKUP("industry|NOx|Asthma symptoms cough", US_national_yearly!$D:$AM, 10, FALSE), 1)</f>
        <v>5.1995238844739132E-5</v>
      </c>
      <c r="I6" s="7">
        <f>$B6 * IFERROR(VLOOKUP("industry|NOx|Asthma symptoms cough", US_national_yearly!$D:$AM, 17, FALSE) / VLOOKUP("industry|NOx|Asthma symptoms cough", US_national_yearly!$D:$AM, 10, FALSE), 1)</f>
        <v>5.2179597008857508E-5</v>
      </c>
      <c r="J6" s="7">
        <f>$B6 * IFERROR(VLOOKUP("industry|NOx|Asthma symptoms cough", US_national_yearly!$D:$AM, 18, FALSE) / VLOOKUP("industry|NOx|Asthma symptoms cough", US_national_yearly!$D:$AM, 10, FALSE), 1)</f>
        <v>5.236395517297589E-5</v>
      </c>
      <c r="K6" s="7">
        <f>$B6 * IFERROR(VLOOKUP("industry|NOx|Asthma symptoms cough", US_national_yearly!$D:$AM, 19, FALSE) / VLOOKUP("industry|NOx|Asthma symptoms cough", US_national_yearly!$D:$AM, 10, FALSE), 1)</f>
        <v>5.254831333709426E-5</v>
      </c>
      <c r="L6" s="7">
        <f>$B6 * IFERROR(VLOOKUP("industry|NOx|Asthma symptoms cough", US_national_yearly!$D:$AM, 20, FALSE) / VLOOKUP("industry|NOx|Asthma symptoms cough", US_national_yearly!$D:$AM, 10, FALSE), 1)</f>
        <v>5.2732671501212642E-5</v>
      </c>
      <c r="M6" s="7">
        <f>$B6 * IFERROR(VLOOKUP("industry|NOx|Asthma symptoms cough", US_national_yearly!$D:$AM, 21, FALSE) / VLOOKUP("industry|NOx|Asthma symptoms cough", US_national_yearly!$D:$AM, 10, FALSE), 1)</f>
        <v>5.2917029665331025E-5</v>
      </c>
      <c r="N6" s="7">
        <f>$B6 * IFERROR(VLOOKUP("industry|NOx|Asthma symptoms cough", US_national_yearly!$D:$AM, 22, FALSE) / VLOOKUP("industry|NOx|Asthma symptoms cough", US_national_yearly!$D:$AM, 10, FALSE), 1)</f>
        <v>5.3127479542405359E-5</v>
      </c>
      <c r="O6" s="7">
        <f>$B6 * IFERROR(VLOOKUP("industry|NOx|Asthma symptoms cough", US_national_yearly!$D:$AM, 23, FALSE) / VLOOKUP("industry|NOx|Asthma symptoms cough", US_national_yearly!$D:$AM, 10, FALSE), 1)</f>
        <v>5.333792941947968E-5</v>
      </c>
      <c r="P6" s="7">
        <f>$B6 * IFERROR(VLOOKUP("industry|NOx|Asthma symptoms cough", US_national_yearly!$D:$AM, 24, FALSE) / VLOOKUP("industry|NOx|Asthma symptoms cough", US_national_yearly!$D:$AM, 10, FALSE), 1)</f>
        <v>5.3548379296554014E-5</v>
      </c>
      <c r="Q6" s="7">
        <f>$B6 * IFERROR(VLOOKUP("industry|NOx|Asthma symptoms cough", US_national_yearly!$D:$AM, 25, FALSE) / VLOOKUP("industry|NOx|Asthma symptoms cough", US_national_yearly!$D:$AM, 10, FALSE), 1)</f>
        <v>5.3758829173628341E-5</v>
      </c>
      <c r="R6" s="7">
        <f>$B6 * IFERROR(VLOOKUP("industry|NOx|Asthma symptoms cough", US_national_yearly!$D:$AM, 26, FALSE) / VLOOKUP("industry|NOx|Asthma symptoms cough", US_national_yearly!$D:$AM, 10, FALSE), 1)</f>
        <v>5.3969279050702675E-5</v>
      </c>
      <c r="S6" s="7">
        <f>$B6 * IFERROR(VLOOKUP("industry|NOx|Asthma symptoms cough", US_national_yearly!$D:$AM, 27, FALSE) / VLOOKUP("industry|NOx|Asthma symptoms cough", US_national_yearly!$D:$AM, 10, FALSE), 1)</f>
        <v>5.4240750080561298E-5</v>
      </c>
      <c r="T6" s="7">
        <f>$B6 * IFERROR(VLOOKUP("industry|NOx|Asthma symptoms cough", US_national_yearly!$D:$AM, 28, FALSE) / VLOOKUP("industry|NOx|Asthma symptoms cough", US_national_yearly!$D:$AM, 10, FALSE), 1)</f>
        <v>5.451222111041992E-5</v>
      </c>
      <c r="U6" s="7">
        <f>$B6 * IFERROR(VLOOKUP("industry|NOx|Asthma symptoms cough", US_national_yearly!$D:$AM, 29, FALSE) / VLOOKUP("industry|NOx|Asthma symptoms cough", US_national_yearly!$D:$AM, 10, FALSE), 1)</f>
        <v>5.4783692140278536E-5</v>
      </c>
      <c r="V6" s="7">
        <f>$B6 * IFERROR(VLOOKUP("industry|NOx|Asthma symptoms cough", US_national_yearly!$D:$AM, 30, FALSE) / VLOOKUP("industry|NOx|Asthma symptoms cough", US_national_yearly!$D:$AM, 10, FALSE), 1)</f>
        <v>5.5055163170137145E-5</v>
      </c>
      <c r="W6" s="7">
        <f>$B6 * IFERROR(VLOOKUP("industry|NOx|Asthma symptoms cough", US_national_yearly!$D:$AM, 31, FALSE) / VLOOKUP("industry|NOx|Asthma symptoms cough", US_national_yearly!$D:$AM, 10, FALSE), 1)</f>
        <v>5.5326634199995781E-5</v>
      </c>
      <c r="X6" s="7">
        <f>$B6 * IFERROR(VLOOKUP("industry|NOx|Asthma symptoms cough", US_national_yearly!$D:$AM, 32, FALSE) / VLOOKUP("industry|NOx|Asthma symptoms cough", US_national_yearly!$D:$AM, 10, FALSE), 1)</f>
        <v>5.5578308720421604E-5</v>
      </c>
      <c r="Y6" s="7">
        <f>$B6 * IFERROR(VLOOKUP("industry|NOx|Asthma symptoms cough", US_national_yearly!$D:$AM, 33, FALSE) / VLOOKUP("industry|NOx|Asthma symptoms cough", US_national_yearly!$D:$AM, 10, FALSE), 1)</f>
        <v>5.5829983240847414E-5</v>
      </c>
      <c r="Z6" s="7">
        <f>$B6 * IFERROR(VLOOKUP("industry|NOx|Asthma symptoms cough", US_national_yearly!$D:$AM, 34, FALSE) / VLOOKUP("industry|NOx|Asthma symptoms cough", US_national_yearly!$D:$AM, 10, FALSE), 1)</f>
        <v>5.6081657761273238E-5</v>
      </c>
      <c r="AA6" s="7">
        <f>$B6 * IFERROR(VLOOKUP("industry|NOx|Asthma symptoms cough", US_national_yearly!$D:$AM, 35, FALSE) / VLOOKUP("industry|NOx|Asthma symptoms cough", US_national_yearly!$D:$AM, 10, FALSE), 1)</f>
        <v>5.6333332281699054E-5</v>
      </c>
      <c r="AB6" s="7">
        <f>$B6 * IFERROR(VLOOKUP("industry|NOx|Asthma symptoms cough", US_national_yearly!$D:$AM, 36, FALSE) / VLOOKUP("industry|NOx|Asthma symptoms cough", US_national_yearly!$D:$AM, 10, FALSE), 1)</f>
        <v>5.6585006802124877E-5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6.5033426169460912E-5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6.5923105504587514E-5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6.6812784839714116E-5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6.7702464174840732E-5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6.8592143509967347E-5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6.9305528313030003E-5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7.0018913116092672E-5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7.0267177349410422E-5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7.0515441582728186E-5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7.076370581604595E-5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7.101197004936374E-5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7.126023428268149E-5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7.1543634683084845E-5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7.18270350834882E-5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7.2110435483891568E-5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7.2393835884294937E-5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7.2677236284698278E-5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7.3042810263391141E-5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7.3408384242084018E-5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7.3773958220776882E-5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7.4139532199469759E-5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7.4505106178162609E-5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7.484402136813906E-5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7.5182936558115498E-5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7.5521851748091949E-5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7.5860766938068387E-5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7.6199682128044824E-5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9.9360784634475974E-5</v>
      </c>
      <c r="C8" s="7">
        <f>$B8 * IFERROR(VLOOKUP("industry|NOx|Asthma symptoms wheeze", US_national_yearly!$D:$AM, 11, FALSE) / VLOOKUP("industry|NOx|Asthma symptoms wheeze", US_national_yearly!$D:$AM, 10, FALSE), 1)</f>
        <v>1.0072007388409907E-4</v>
      </c>
      <c r="D8" s="7">
        <f>$B8 * IFERROR(VLOOKUP("industry|NOx|Asthma symptoms wheeze", US_national_yearly!$D:$AM, 12, FALSE) / VLOOKUP("industry|NOx|Asthma symptoms wheeze", US_national_yearly!$D:$AM, 10, FALSE), 1)</f>
        <v>1.0207936313372216E-4</v>
      </c>
      <c r="E8" s="7">
        <f>$B8 * IFERROR(VLOOKUP("industry|NOx|Asthma symptoms wheeze", US_national_yearly!$D:$AM, 13, FALSE) / VLOOKUP("industry|NOx|Asthma symptoms wheeze", US_national_yearly!$D:$AM, 10, FALSE), 1)</f>
        <v>1.0343865238334526E-4</v>
      </c>
      <c r="F8" s="7">
        <f>$B8 * IFERROR(VLOOKUP("industry|NOx|Asthma symptoms wheeze", US_national_yearly!$D:$AM, 14, FALSE) / VLOOKUP("industry|NOx|Asthma symptoms wheeze", US_national_yearly!$D:$AM, 10, FALSE), 1)</f>
        <v>1.0479794163296833E-4</v>
      </c>
      <c r="G8" s="7">
        <f>$B8 * IFERROR(VLOOKUP("industry|NOx|Asthma symptoms wheeze", US_national_yearly!$D:$AM, 15, FALSE) / VLOOKUP("industry|NOx|Asthma symptoms wheeze", US_national_yearly!$D:$AM, 10, FALSE), 1)</f>
        <v>1.0588788073477595E-4</v>
      </c>
      <c r="H8" s="7">
        <f>$B8 * IFERROR(VLOOKUP("industry|NOx|Asthma symptoms wheeze", US_national_yearly!$D:$AM, 16, FALSE) / VLOOKUP("industry|NOx|Asthma symptoms wheeze", US_national_yearly!$D:$AM, 10, FALSE), 1)</f>
        <v>1.0697781983658354E-4</v>
      </c>
      <c r="I8" s="7">
        <f>$B8 * IFERROR(VLOOKUP("industry|NOx|Asthma symptoms wheeze", US_national_yearly!$D:$AM, 17, FALSE) / VLOOKUP("industry|NOx|Asthma symptoms wheeze", US_national_yearly!$D:$AM, 10, FALSE), 1)</f>
        <v>1.0735712830671453E-4</v>
      </c>
      <c r="J8" s="7">
        <f>$B8 * IFERROR(VLOOKUP("industry|NOx|Asthma symptoms wheeze", US_national_yearly!$D:$AM, 18, FALSE) / VLOOKUP("industry|NOx|Asthma symptoms wheeze", US_national_yearly!$D:$AM, 10, FALSE), 1)</f>
        <v>1.0773643677684551E-4</v>
      </c>
      <c r="K8" s="7">
        <f>$B8 * IFERROR(VLOOKUP("industry|NOx|Asthma symptoms wheeze", US_national_yearly!$D:$AM, 19, FALSE) / VLOOKUP("industry|NOx|Asthma symptoms wheeze", US_national_yearly!$D:$AM, 10, FALSE), 1)</f>
        <v>1.0811574524697651E-4</v>
      </c>
      <c r="L8" s="7">
        <f>$B8 * IFERROR(VLOOKUP("industry|NOx|Asthma symptoms wheeze", US_national_yearly!$D:$AM, 20, FALSE) / VLOOKUP("industry|NOx|Asthma symptoms wheeze", US_national_yearly!$D:$AM, 10, FALSE), 1)</f>
        <v>1.0849505371710746E-4</v>
      </c>
      <c r="M8" s="7">
        <f>$B8 * IFERROR(VLOOKUP("industry|NOx|Asthma symptoms wheeze", US_national_yearly!$D:$AM, 21, FALSE) / VLOOKUP("industry|NOx|Asthma symptoms wheeze", US_national_yearly!$D:$AM, 10, FALSE), 1)</f>
        <v>1.0887436218723845E-4</v>
      </c>
      <c r="N8" s="7">
        <f>$B8 * IFERROR(VLOOKUP("industry|NOx|Asthma symptoms wheeze", US_national_yearly!$D:$AM, 22, FALSE) / VLOOKUP("industry|NOx|Asthma symptoms wheeze", US_national_yearly!$D:$AM, 10, FALSE), 1)</f>
        <v>1.093073531604204E-4</v>
      </c>
      <c r="O8" s="7">
        <f>$B8 * IFERROR(VLOOKUP("industry|NOx|Asthma symptoms wheeze", US_national_yearly!$D:$AM, 23, FALSE) / VLOOKUP("industry|NOx|Asthma symptoms wheeze", US_national_yearly!$D:$AM, 10, FALSE), 1)</f>
        <v>1.0974034413360234E-4</v>
      </c>
      <c r="P8" s="7">
        <f>$B8 * IFERROR(VLOOKUP("industry|NOx|Asthma symptoms wheeze", US_national_yearly!$D:$AM, 24, FALSE) / VLOOKUP("industry|NOx|Asthma symptoms wheeze", US_national_yearly!$D:$AM, 10, FALSE), 1)</f>
        <v>1.1017333510678426E-4</v>
      </c>
      <c r="Q8" s="7">
        <f>$B8 * IFERROR(VLOOKUP("industry|NOx|Asthma symptoms wheeze", US_national_yearly!$D:$AM, 25, FALSE) / VLOOKUP("industry|NOx|Asthma symptoms wheeze", US_national_yearly!$D:$AM, 10, FALSE), 1)</f>
        <v>1.106063260799662E-4</v>
      </c>
      <c r="R8" s="7">
        <f>$B8 * IFERROR(VLOOKUP("industry|NOx|Asthma symptoms wheeze", US_national_yearly!$D:$AM, 26, FALSE) / VLOOKUP("industry|NOx|Asthma symptoms wheeze", US_national_yearly!$D:$AM, 10, FALSE), 1)</f>
        <v>1.1103931705314815E-4</v>
      </c>
      <c r="S8" s="7">
        <f>$B8 * IFERROR(VLOOKUP("industry|NOx|Asthma symptoms wheeze", US_national_yearly!$D:$AM, 27, FALSE) / VLOOKUP("industry|NOx|Asthma symptoms wheeze", US_national_yearly!$D:$AM, 10, FALSE), 1)</f>
        <v>1.115978562502436E-4</v>
      </c>
      <c r="T8" s="7">
        <f>$B8 * IFERROR(VLOOKUP("industry|NOx|Asthma symptoms wheeze", US_national_yearly!$D:$AM, 28, FALSE) / VLOOKUP("industry|NOx|Asthma symptoms wheeze", US_national_yearly!$D:$AM, 10, FALSE), 1)</f>
        <v>1.1215639544733903E-4</v>
      </c>
      <c r="U8" s="7">
        <f>$B8 * IFERROR(VLOOKUP("industry|NOx|Asthma symptoms wheeze", US_national_yearly!$D:$AM, 29, FALSE) / VLOOKUP("industry|NOx|Asthma symptoms wheeze", US_national_yearly!$D:$AM, 10, FALSE), 1)</f>
        <v>1.1271493464443447E-4</v>
      </c>
      <c r="V8" s="7">
        <f>$B8 * IFERROR(VLOOKUP("industry|NOx|Asthma symptoms wheeze", US_national_yearly!$D:$AM, 30, FALSE) / VLOOKUP("industry|NOx|Asthma symptoms wheeze", US_national_yearly!$D:$AM, 10, FALSE), 1)</f>
        <v>1.1327347384152991E-4</v>
      </c>
      <c r="W8" s="7">
        <f>$B8 * IFERROR(VLOOKUP("industry|NOx|Asthma symptoms wheeze", US_national_yearly!$D:$AM, 31, FALSE) / VLOOKUP("industry|NOx|Asthma symptoms wheeze", US_national_yearly!$D:$AM, 10, FALSE), 1)</f>
        <v>1.1383201303862535E-4</v>
      </c>
      <c r="X8" s="7">
        <f>$B8 * IFERROR(VLOOKUP("industry|NOx|Asthma symptoms wheeze", US_national_yearly!$D:$AM, 32, FALSE) / VLOOKUP("industry|NOx|Asthma symptoms wheeze", US_national_yearly!$D:$AM, 10, FALSE), 1)</f>
        <v>1.1434982182521693E-4</v>
      </c>
      <c r="Y8" s="7">
        <f>$B8 * IFERROR(VLOOKUP("industry|NOx|Asthma symptoms wheeze", US_national_yearly!$D:$AM, 33, FALSE) / VLOOKUP("industry|NOx|Asthma symptoms wheeze", US_national_yearly!$D:$AM, 10, FALSE), 1)</f>
        <v>1.1486763061180848E-4</v>
      </c>
      <c r="Z8" s="7">
        <f>$B8 * IFERROR(VLOOKUP("industry|NOx|Asthma symptoms wheeze", US_national_yearly!$D:$AM, 34, FALSE) / VLOOKUP("industry|NOx|Asthma symptoms wheeze", US_national_yearly!$D:$AM, 10, FALSE), 1)</f>
        <v>1.1538543939840004E-4</v>
      </c>
      <c r="AA8" s="7">
        <f>$B8 * IFERROR(VLOOKUP("industry|NOx|Asthma symptoms wheeze", US_national_yearly!$D:$AM, 35, FALSE) / VLOOKUP("industry|NOx|Asthma symptoms wheeze", US_national_yearly!$D:$AM, 10, FALSE), 1)</f>
        <v>1.1590324818499157E-4</v>
      </c>
      <c r="AB8" s="7">
        <f>$B8 * IFERROR(VLOOKUP("industry|NOx|Asthma symptoms wheeze", US_national_yearly!$D:$AM, 36, FALSE) / VLOOKUP("industry|NOx|Asthma symptoms wheeze", US_national_yearly!$D:$AM, 10, FALSE), 1)</f>
        <v>1.1642105697158322E-4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8.405278921146781E-7</v>
      </c>
      <c r="C12" s="7">
        <f>$B12 * IFERROR(VLOOKUP("industry|NOx|Respiratory hospital admissions", US_national_yearly!$D:$AM, 11, FALSE) / VLOOKUP("industry|NOx|Respiratory hospital admissions", US_national_yearly!$D:$AM, 10, FALSE), 1)</f>
        <v>8.616447374451461E-7</v>
      </c>
      <c r="D12" s="7">
        <f>$B12 * IFERROR(VLOOKUP("industry|NOx|Respiratory hospital admissions", US_national_yearly!$D:$AM, 12, FALSE) / VLOOKUP("industry|NOx|Respiratory hospital admissions", US_national_yearly!$D:$AM, 10, FALSE), 1)</f>
        <v>8.8276158277561411E-7</v>
      </c>
      <c r="E12" s="7">
        <f>$B12 * IFERROR(VLOOKUP("industry|NOx|Respiratory hospital admissions", US_national_yearly!$D:$AM, 13, FALSE) / VLOOKUP("industry|NOx|Respiratory hospital admissions", US_national_yearly!$D:$AM, 10, FALSE), 1)</f>
        <v>9.0387842810608233E-7</v>
      </c>
      <c r="F12" s="7">
        <f>$B12 * IFERROR(VLOOKUP("industry|NOx|Respiratory hospital admissions", US_national_yearly!$D:$AM, 14, FALSE) / VLOOKUP("industry|NOx|Respiratory hospital admissions", US_national_yearly!$D:$AM, 10, FALSE), 1)</f>
        <v>9.2499527343655013E-7</v>
      </c>
      <c r="G12" s="7">
        <f>$B12 * IFERROR(VLOOKUP("industry|NOx|Respiratory hospital admissions", US_national_yearly!$D:$AM, 15, FALSE) / VLOOKUP("industry|NOx|Respiratory hospital admissions", US_national_yearly!$D:$AM, 10, FALSE), 1)</f>
        <v>9.4519447500309828E-7</v>
      </c>
      <c r="H12" s="7">
        <f>$B12 * IFERROR(VLOOKUP("industry|NOx|Respiratory hospital admissions", US_national_yearly!$D:$AM, 16, FALSE) / VLOOKUP("industry|NOx|Respiratory hospital admissions", US_national_yearly!$D:$AM, 10, FALSE), 1)</f>
        <v>9.6539367656964642E-7</v>
      </c>
      <c r="I12" s="7">
        <f>$B12 * IFERROR(VLOOKUP("industry|NOx|Respiratory hospital admissions", US_national_yearly!$D:$AM, 17, FALSE) / VLOOKUP("industry|NOx|Respiratory hospital admissions", US_national_yearly!$D:$AM, 10, FALSE), 1)</f>
        <v>9.8259603959595317E-7</v>
      </c>
      <c r="J12" s="7">
        <f>$B12 * IFERROR(VLOOKUP("industry|NOx|Respiratory hospital admissions", US_national_yearly!$D:$AM, 18, FALSE) / VLOOKUP("industry|NOx|Respiratory hospital admissions", US_national_yearly!$D:$AM, 10, FALSE), 1)</f>
        <v>9.9979840262225991E-7</v>
      </c>
      <c r="K12" s="7">
        <f>$B12 * IFERROR(VLOOKUP("industry|NOx|Respiratory hospital admissions", US_national_yearly!$D:$AM, 19, FALSE) / VLOOKUP("industry|NOx|Respiratory hospital admissions", US_national_yearly!$D:$AM, 10, FALSE), 1)</f>
        <v>1.0170007656485669E-6</v>
      </c>
      <c r="L12" s="7">
        <f>$B12 * IFERROR(VLOOKUP("industry|NOx|Respiratory hospital admissions", US_national_yearly!$D:$AM, 20, FALSE) / VLOOKUP("industry|NOx|Respiratory hospital admissions", US_national_yearly!$D:$AM, 10, FALSE), 1)</f>
        <v>1.0342031286748738E-6</v>
      </c>
      <c r="M12" s="7">
        <f>$B12 * IFERROR(VLOOKUP("industry|NOx|Respiratory hospital admissions", US_national_yearly!$D:$AM, 21, FALSE) / VLOOKUP("industry|NOx|Respiratory hospital admissions", US_national_yearly!$D:$AM, 10, FALSE), 1)</f>
        <v>1.0514054917011808E-6</v>
      </c>
      <c r="N12" s="7">
        <f>$B12 * IFERROR(VLOOKUP("industry|NOx|Respiratory hospital admissions", US_national_yearly!$D:$AM, 22, FALSE) / VLOOKUP("industry|NOx|Respiratory hospital admissions", US_national_yearly!$D:$AM, 10, FALSE), 1)</f>
        <v>1.0629348076492488E-6</v>
      </c>
      <c r="O12" s="7">
        <f>$B12 * IFERROR(VLOOKUP("industry|NOx|Respiratory hospital admissions", US_national_yearly!$D:$AM, 23, FALSE) / VLOOKUP("industry|NOx|Respiratory hospital admissions", US_national_yearly!$D:$AM, 10, FALSE), 1)</f>
        <v>1.0744641235973167E-6</v>
      </c>
      <c r="P12" s="7">
        <f>$B12 * IFERROR(VLOOKUP("industry|NOx|Respiratory hospital admissions", US_national_yearly!$D:$AM, 24, FALSE) / VLOOKUP("industry|NOx|Respiratory hospital admissions", US_national_yearly!$D:$AM, 10, FALSE), 1)</f>
        <v>1.0859934395453849E-6</v>
      </c>
      <c r="Q12" s="7">
        <f>$B12 * IFERROR(VLOOKUP("industry|NOx|Respiratory hospital admissions", US_national_yearly!$D:$AM, 25, FALSE) / VLOOKUP("industry|NOx|Respiratory hospital admissions", US_national_yearly!$D:$AM, 10, FALSE), 1)</f>
        <v>1.0975227554934527E-6</v>
      </c>
      <c r="R12" s="7">
        <f>$B12 * IFERROR(VLOOKUP("industry|NOx|Respiratory hospital admissions", US_national_yearly!$D:$AM, 26, FALSE) / VLOOKUP("industry|NOx|Respiratory hospital admissions", US_national_yearly!$D:$AM, 10, FALSE), 1)</f>
        <v>1.109052071441521E-6</v>
      </c>
      <c r="S12" s="7">
        <f>$B12 * IFERROR(VLOOKUP("industry|NOx|Respiratory hospital admissions", US_national_yearly!$D:$AM, 27, FALSE) / VLOOKUP("industry|NOx|Respiratory hospital admissions", US_national_yearly!$D:$AM, 10, FALSE), 1)</f>
        <v>1.1153114882523107E-6</v>
      </c>
      <c r="T12" s="7">
        <f>$B12 * IFERROR(VLOOKUP("industry|NOx|Respiratory hospital admissions", US_national_yearly!$D:$AM, 28, FALSE) / VLOOKUP("industry|NOx|Respiratory hospital admissions", US_national_yearly!$D:$AM, 10, FALSE), 1)</f>
        <v>1.1215709050631004E-6</v>
      </c>
      <c r="U12" s="7">
        <f>$B12 * IFERROR(VLOOKUP("industry|NOx|Respiratory hospital admissions", US_national_yearly!$D:$AM, 29, FALSE) / VLOOKUP("industry|NOx|Respiratory hospital admissions", US_national_yearly!$D:$AM, 10, FALSE), 1)</f>
        <v>1.12783032187389E-6</v>
      </c>
      <c r="V12" s="7">
        <f>$B12 * IFERROR(VLOOKUP("industry|NOx|Respiratory hospital admissions", US_national_yearly!$D:$AM, 30, FALSE) / VLOOKUP("industry|NOx|Respiratory hospital admissions", US_national_yearly!$D:$AM, 10, FALSE), 1)</f>
        <v>1.1340897386846797E-6</v>
      </c>
      <c r="W12" s="7">
        <f>$B12 * IFERROR(VLOOKUP("industry|NOx|Respiratory hospital admissions", US_national_yearly!$D:$AM, 31, FALSE) / VLOOKUP("industry|NOx|Respiratory hospital admissions", US_national_yearly!$D:$AM, 10, FALSE), 1)</f>
        <v>1.1403491554954696E-6</v>
      </c>
      <c r="X12" s="7">
        <f>$B12 * IFERROR(VLOOKUP("industry|NOx|Respiratory hospital admissions", US_national_yearly!$D:$AM, 32, FALSE) / VLOOKUP("industry|NOx|Respiratory hospital admissions", US_national_yearly!$D:$AM, 10, FALSE), 1)</f>
        <v>1.1447136064834102E-6</v>
      </c>
      <c r="Y12" s="7">
        <f>$B12 * IFERROR(VLOOKUP("industry|NOx|Respiratory hospital admissions", US_national_yearly!$D:$AM, 33, FALSE) / VLOOKUP("industry|NOx|Respiratory hospital admissions", US_national_yearly!$D:$AM, 10, FALSE), 1)</f>
        <v>1.149078057471351E-6</v>
      </c>
      <c r="Z12" s="7">
        <f>$B12 * IFERROR(VLOOKUP("industry|NOx|Respiratory hospital admissions", US_national_yearly!$D:$AM, 34, FALSE) / VLOOKUP("industry|NOx|Respiratory hospital admissions", US_national_yearly!$D:$AM, 10, FALSE), 1)</f>
        <v>1.1534425084592918E-6</v>
      </c>
      <c r="AA12" s="7">
        <f>$B12 * IFERROR(VLOOKUP("industry|NOx|Respiratory hospital admissions", US_national_yearly!$D:$AM, 35, FALSE) / VLOOKUP("industry|NOx|Respiratory hospital admissions", US_national_yearly!$D:$AM, 10, FALSE), 1)</f>
        <v>1.1578069594472324E-6</v>
      </c>
      <c r="AB12" s="7">
        <f>$B12 * IFERROR(VLOOKUP("industry|NOx|Respiratory hospital admissions", US_national_yearly!$D:$AM, 36, FALSE) / VLOOKUP("industry|NOx|Respiratory hospital admissions", US_national_yearly!$D:$AM, 10, FALSE), 1)</f>
        <v>1.162171410435173E-6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4.9217167656441817E-6</v>
      </c>
      <c r="C13" s="7">
        <f>$B13 * IFERROR(VLOOKUP("industry|NOx|Non-fatal heart attacks", US_national_yearly!$D:$AM, 11, FALSE) / VLOOKUP("industry|NOx|Non-fatal heart attacks", US_national_yearly!$D:$AM, 10, FALSE), 1)</f>
        <v>5.0623349300216316E-6</v>
      </c>
      <c r="D13" s="7">
        <f>$B13 * IFERROR(VLOOKUP("industry|NOx|Non-fatal heart attacks", US_national_yearly!$D:$AM, 12, FALSE) / VLOOKUP("industry|NOx|Non-fatal heart attacks", US_national_yearly!$D:$AM, 10, FALSE), 1)</f>
        <v>5.2029530943990816E-6</v>
      </c>
      <c r="E13" s="7">
        <f>$B13 * IFERROR(VLOOKUP("industry|NOx|Non-fatal heart attacks", US_national_yearly!$D:$AM, 13, FALSE) / VLOOKUP("industry|NOx|Non-fatal heart attacks", US_national_yearly!$D:$AM, 10, FALSE), 1)</f>
        <v>5.3435712587765315E-6</v>
      </c>
      <c r="F13" s="7">
        <f>$B13 * IFERROR(VLOOKUP("industry|NOx|Non-fatal heart attacks", US_national_yearly!$D:$AM, 14, FALSE) / VLOOKUP("industry|NOx|Non-fatal heart attacks", US_national_yearly!$D:$AM, 10, FALSE), 1)</f>
        <v>5.4841894231539815E-6</v>
      </c>
      <c r="G13" s="7">
        <f>$B13 * IFERROR(VLOOKUP("industry|NOx|Non-fatal heart attacks", US_national_yearly!$D:$AM, 15, FALSE) / VLOOKUP("industry|NOx|Non-fatal heart attacks", US_national_yearly!$D:$AM, 10, FALSE), 1)</f>
        <v>5.6157083696529011E-6</v>
      </c>
      <c r="H13" s="7">
        <f>$B13 * IFERROR(VLOOKUP("industry|NOx|Non-fatal heart attacks", US_national_yearly!$D:$AM, 16, FALSE) / VLOOKUP("industry|NOx|Non-fatal heart attacks", US_national_yearly!$D:$AM, 10, FALSE), 1)</f>
        <v>5.747227316151819E-6</v>
      </c>
      <c r="I13" s="7">
        <f>$B13 * IFERROR(VLOOKUP("industry|NOx|Non-fatal heart attacks", US_national_yearly!$D:$AM, 17, FALSE) / VLOOKUP("industry|NOx|Non-fatal heart attacks", US_national_yearly!$D:$AM, 10, FALSE), 1)</f>
        <v>5.851244977670485E-6</v>
      </c>
      <c r="J13" s="7">
        <f>$B13 * IFERROR(VLOOKUP("industry|NOx|Non-fatal heart attacks", US_national_yearly!$D:$AM, 18, FALSE) / VLOOKUP("industry|NOx|Non-fatal heart attacks", US_national_yearly!$D:$AM, 10, FALSE), 1)</f>
        <v>5.9552626391891518E-6</v>
      </c>
      <c r="K13" s="7">
        <f>$B13 * IFERROR(VLOOKUP("industry|NOx|Non-fatal heart attacks", US_national_yearly!$D:$AM, 19, FALSE) / VLOOKUP("industry|NOx|Non-fatal heart attacks", US_national_yearly!$D:$AM, 10, FALSE), 1)</f>
        <v>6.0592803007078162E-6</v>
      </c>
      <c r="L13" s="7">
        <f>$B13 * IFERROR(VLOOKUP("industry|NOx|Non-fatal heart attacks", US_national_yearly!$D:$AM, 20, FALSE) / VLOOKUP("industry|NOx|Non-fatal heart attacks", US_national_yearly!$D:$AM, 10, FALSE), 1)</f>
        <v>6.1632979622264847E-6</v>
      </c>
      <c r="M13" s="7">
        <f>$B13 * IFERROR(VLOOKUP("industry|NOx|Non-fatal heart attacks", US_national_yearly!$D:$AM, 21, FALSE) / VLOOKUP("industry|NOx|Non-fatal heart attacks", US_national_yearly!$D:$AM, 10, FALSE), 1)</f>
        <v>6.2673156237451524E-6</v>
      </c>
      <c r="N13" s="7">
        <f>$B13 * IFERROR(VLOOKUP("industry|NOx|Non-fatal heart attacks", US_national_yearly!$D:$AM, 22, FALSE) / VLOOKUP("industry|NOx|Non-fatal heart attacks", US_national_yearly!$D:$AM, 10, FALSE), 1)</f>
        <v>6.3299812724390436E-6</v>
      </c>
      <c r="O13" s="7">
        <f>$B13 * IFERROR(VLOOKUP("industry|NOx|Non-fatal heart attacks", US_national_yearly!$D:$AM, 23, FALSE) / VLOOKUP("industry|NOx|Non-fatal heart attacks", US_national_yearly!$D:$AM, 10, FALSE), 1)</f>
        <v>6.3926469211329332E-6</v>
      </c>
      <c r="P13" s="7">
        <f>$B13 * IFERROR(VLOOKUP("industry|NOx|Non-fatal heart attacks", US_national_yearly!$D:$AM, 24, FALSE) / VLOOKUP("industry|NOx|Non-fatal heart attacks", US_national_yearly!$D:$AM, 10, FALSE), 1)</f>
        <v>6.4553125698268236E-6</v>
      </c>
      <c r="Q13" s="7">
        <f>$B13 * IFERROR(VLOOKUP("industry|NOx|Non-fatal heart attacks", US_national_yearly!$D:$AM, 25, FALSE) / VLOOKUP("industry|NOx|Non-fatal heart attacks", US_national_yearly!$D:$AM, 10, FALSE), 1)</f>
        <v>6.5179782185207132E-6</v>
      </c>
      <c r="R13" s="7">
        <f>$B13 * IFERROR(VLOOKUP("industry|NOx|Non-fatal heart attacks", US_national_yearly!$D:$AM, 26, FALSE) / VLOOKUP("industry|NOx|Non-fatal heart attacks", US_national_yearly!$D:$AM, 10, FALSE), 1)</f>
        <v>6.5806438672146027E-6</v>
      </c>
      <c r="S13" s="7">
        <f>$B13 * IFERROR(VLOOKUP("industry|NOx|Non-fatal heart attacks", US_national_yearly!$D:$AM, 27, FALSE) / VLOOKUP("industry|NOx|Non-fatal heart attacks", US_national_yearly!$D:$AM, 10, FALSE), 1)</f>
        <v>6.6093961167905152E-6</v>
      </c>
      <c r="T13" s="7">
        <f>$B13 * IFERROR(VLOOKUP("industry|NOx|Non-fatal heart attacks", US_national_yearly!$D:$AM, 28, FALSE) / VLOOKUP("industry|NOx|Non-fatal heart attacks", US_national_yearly!$D:$AM, 10, FALSE), 1)</f>
        <v>6.6381483663664268E-6</v>
      </c>
      <c r="U13" s="7">
        <f>$B13 * IFERROR(VLOOKUP("industry|NOx|Non-fatal heart attacks", US_national_yearly!$D:$AM, 29, FALSE) / VLOOKUP("industry|NOx|Non-fatal heart attacks", US_national_yearly!$D:$AM, 10, FALSE), 1)</f>
        <v>6.6669006159423384E-6</v>
      </c>
      <c r="V13" s="7">
        <f>$B13 * IFERROR(VLOOKUP("industry|NOx|Non-fatal heart attacks", US_national_yearly!$D:$AM, 30, FALSE) / VLOOKUP("industry|NOx|Non-fatal heart attacks", US_national_yearly!$D:$AM, 10, FALSE), 1)</f>
        <v>6.6956528655182509E-6</v>
      </c>
      <c r="W13" s="7">
        <f>$B13 * IFERROR(VLOOKUP("industry|NOx|Non-fatal heart attacks", US_national_yearly!$D:$AM, 31, FALSE) / VLOOKUP("industry|NOx|Non-fatal heart attacks", US_national_yearly!$D:$AM, 10, FALSE), 1)</f>
        <v>6.7244051150941625E-6</v>
      </c>
      <c r="X13" s="7">
        <f>$B13 * IFERROR(VLOOKUP("industry|NOx|Non-fatal heart attacks", US_national_yearly!$D:$AM, 32, FALSE) / VLOOKUP("industry|NOx|Non-fatal heart attacks", US_national_yearly!$D:$AM, 10, FALSE), 1)</f>
        <v>6.7438097336164216E-6</v>
      </c>
      <c r="Y13" s="7">
        <f>$B13 * IFERROR(VLOOKUP("industry|NOx|Non-fatal heart attacks", US_national_yearly!$D:$AM, 33, FALSE) / VLOOKUP("industry|NOx|Non-fatal heart attacks", US_national_yearly!$D:$AM, 10, FALSE), 1)</f>
        <v>6.7632143521386808E-6</v>
      </c>
      <c r="Z13" s="7">
        <f>$B13 * IFERROR(VLOOKUP("industry|NOx|Non-fatal heart attacks", US_national_yearly!$D:$AM, 34, FALSE) / VLOOKUP("industry|NOx|Non-fatal heart attacks", US_national_yearly!$D:$AM, 10, FALSE), 1)</f>
        <v>6.7826189706609399E-6</v>
      </c>
      <c r="AA13" s="7">
        <f>$B13 * IFERROR(VLOOKUP("industry|NOx|Non-fatal heart attacks", US_national_yearly!$D:$AM, 35, FALSE) / VLOOKUP("industry|NOx|Non-fatal heart attacks", US_national_yearly!$D:$AM, 10, FALSE), 1)</f>
        <v>6.802023589183199E-6</v>
      </c>
      <c r="AB13" s="7">
        <f>$B13 * IFERROR(VLOOKUP("industry|NOx|Non-fatal heart attacks", US_national_yearly!$D:$AM, 36, FALSE) / VLOOKUP("industry|NOx|Non-fatal heart attacks", US_national_yearly!$D:$AM, 10, FALSE), 1)</f>
        <v>6.8214282077054581E-6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5.0898912906093075E-3</v>
      </c>
      <c r="C14" s="7">
        <f>$B14 * IFERROR(VLOOKUP("industry|NOx|Minor restricted activity days", US_national_yearly!$D:$AM, 11, FALSE) / VLOOKUP("industry|NOx|Minor restricted activity days", US_national_yearly!$D:$AM, 10, FALSE), 1)</f>
        <v>5.0974323573153447E-3</v>
      </c>
      <c r="D14" s="7">
        <f>$B14 * IFERROR(VLOOKUP("industry|NOx|Minor restricted activity days", US_national_yearly!$D:$AM, 12, FALSE) / VLOOKUP("industry|NOx|Minor restricted activity days", US_national_yearly!$D:$AM, 10, FALSE), 1)</f>
        <v>5.1049734240213801E-3</v>
      </c>
      <c r="E14" s="7">
        <f>$B14 * IFERROR(VLOOKUP("industry|NOx|Minor restricted activity days", US_national_yearly!$D:$AM, 13, FALSE) / VLOOKUP("industry|NOx|Minor restricted activity days", US_national_yearly!$D:$AM, 10, FALSE), 1)</f>
        <v>5.1125144907274173E-3</v>
      </c>
      <c r="F14" s="7">
        <f>$B14 * IFERROR(VLOOKUP("industry|NOx|Minor restricted activity days", US_national_yearly!$D:$AM, 14, FALSE) / VLOOKUP("industry|NOx|Minor restricted activity days", US_national_yearly!$D:$AM, 10, FALSE), 1)</f>
        <v>5.1200555574334528E-3</v>
      </c>
      <c r="G14" s="7">
        <f>$B14 * IFERROR(VLOOKUP("industry|NOx|Minor restricted activity days", US_national_yearly!$D:$AM, 15, FALSE) / VLOOKUP("industry|NOx|Minor restricted activity days", US_national_yearly!$D:$AM, 10, FALSE), 1)</f>
        <v>5.1337833641444276E-3</v>
      </c>
      <c r="H14" s="7">
        <f>$B14 * IFERROR(VLOOKUP("industry|NOx|Minor restricted activity days", US_national_yearly!$D:$AM, 16, FALSE) / VLOOKUP("industry|NOx|Minor restricted activity days", US_national_yearly!$D:$AM, 10, FALSE), 1)</f>
        <v>5.1475111708554023E-3</v>
      </c>
      <c r="I14" s="7">
        <f>$B14 * IFERROR(VLOOKUP("industry|NOx|Minor restricted activity days", US_national_yearly!$D:$AM, 17, FALSE) / VLOOKUP("industry|NOx|Minor restricted activity days", US_national_yearly!$D:$AM, 10, FALSE), 1)</f>
        <v>5.1745363124854503E-3</v>
      </c>
      <c r="J14" s="7">
        <f>$B14 * IFERROR(VLOOKUP("industry|NOx|Minor restricted activity days", US_national_yearly!$D:$AM, 18, FALSE) / VLOOKUP("industry|NOx|Minor restricted activity days", US_national_yearly!$D:$AM, 10, FALSE), 1)</f>
        <v>5.2015614541154965E-3</v>
      </c>
      <c r="K14" s="7">
        <f>$B14 * IFERROR(VLOOKUP("industry|NOx|Minor restricted activity days", US_national_yearly!$D:$AM, 19, FALSE) / VLOOKUP("industry|NOx|Minor restricted activity days", US_national_yearly!$D:$AM, 10, FALSE), 1)</f>
        <v>5.2285865957455418E-3</v>
      </c>
      <c r="L14" s="7">
        <f>$B14 * IFERROR(VLOOKUP("industry|NOx|Minor restricted activity days", US_national_yearly!$D:$AM, 20, FALSE) / VLOOKUP("industry|NOx|Minor restricted activity days", US_national_yearly!$D:$AM, 10, FALSE), 1)</f>
        <v>5.2556117373755897E-3</v>
      </c>
      <c r="M14" s="7">
        <f>$B14 * IFERROR(VLOOKUP("industry|NOx|Minor restricted activity days", US_national_yearly!$D:$AM, 21, FALSE) / VLOOKUP("industry|NOx|Minor restricted activity days", US_national_yearly!$D:$AM, 10, FALSE), 1)</f>
        <v>5.2826368790056368E-3</v>
      </c>
      <c r="N14" s="7">
        <f>$B14 * IFERROR(VLOOKUP("industry|NOx|Minor restricted activity days", US_national_yearly!$D:$AM, 22, FALSE) / VLOOKUP("industry|NOx|Minor restricted activity days", US_national_yearly!$D:$AM, 10, FALSE), 1)</f>
        <v>5.3215548896394524E-3</v>
      </c>
      <c r="O14" s="7">
        <f>$B14 * IFERROR(VLOOKUP("industry|NOx|Minor restricted activity days", US_national_yearly!$D:$AM, 23, FALSE) / VLOOKUP("industry|NOx|Minor restricted activity days", US_national_yearly!$D:$AM, 10, FALSE), 1)</f>
        <v>5.3604729002732698E-3</v>
      </c>
      <c r="P14" s="7">
        <f>$B14 * IFERROR(VLOOKUP("industry|NOx|Minor restricted activity days", US_national_yearly!$D:$AM, 24, FALSE) / VLOOKUP("industry|NOx|Minor restricted activity days", US_national_yearly!$D:$AM, 10, FALSE), 1)</f>
        <v>5.3993909109070872E-3</v>
      </c>
      <c r="Q14" s="7">
        <f>$B14 * IFERROR(VLOOKUP("industry|NOx|Minor restricted activity days", US_national_yearly!$D:$AM, 25, FALSE) / VLOOKUP("industry|NOx|Minor restricted activity days", US_national_yearly!$D:$AM, 10, FALSE), 1)</f>
        <v>5.4383089215409028E-3</v>
      </c>
      <c r="R14" s="7">
        <f>$B14 * IFERROR(VLOOKUP("industry|NOx|Minor restricted activity days", US_national_yearly!$D:$AM, 26, FALSE) / VLOOKUP("industry|NOx|Minor restricted activity days", US_national_yearly!$D:$AM, 10, FALSE), 1)</f>
        <v>5.4772269321747202E-3</v>
      </c>
      <c r="S14" s="7">
        <f>$B14 * IFERROR(VLOOKUP("industry|NOx|Minor restricted activity days", US_national_yearly!$D:$AM, 27, FALSE) / VLOOKUP("industry|NOx|Minor restricted activity days", US_national_yearly!$D:$AM, 10, FALSE), 1)</f>
        <v>5.5161866097471011E-3</v>
      </c>
      <c r="T14" s="7">
        <f>$B14 * IFERROR(VLOOKUP("industry|NOx|Minor restricted activity days", US_national_yearly!$D:$AM, 28, FALSE) / VLOOKUP("industry|NOx|Minor restricted activity days", US_national_yearly!$D:$AM, 10, FALSE), 1)</f>
        <v>5.555146287319482E-3</v>
      </c>
      <c r="U14" s="7">
        <f>$B14 * IFERROR(VLOOKUP("industry|NOx|Minor restricted activity days", US_national_yearly!$D:$AM, 29, FALSE) / VLOOKUP("industry|NOx|Minor restricted activity days", US_national_yearly!$D:$AM, 10, FALSE), 1)</f>
        <v>5.5941059648918637E-3</v>
      </c>
      <c r="V14" s="7">
        <f>$B14 * IFERROR(VLOOKUP("industry|NOx|Minor restricted activity days", US_national_yearly!$D:$AM, 30, FALSE) / VLOOKUP("industry|NOx|Minor restricted activity days", US_national_yearly!$D:$AM, 10, FALSE), 1)</f>
        <v>5.6330656424642446E-3</v>
      </c>
      <c r="W14" s="7">
        <f>$B14 * IFERROR(VLOOKUP("industry|NOx|Minor restricted activity days", US_national_yearly!$D:$AM, 31, FALSE) / VLOOKUP("industry|NOx|Minor restricted activity days", US_national_yearly!$D:$AM, 10, FALSE), 1)</f>
        <v>5.6720253200366264E-3</v>
      </c>
      <c r="X14" s="7">
        <f>$B14 * IFERROR(VLOOKUP("industry|NOx|Minor restricted activity days", US_national_yearly!$D:$AM, 32, FALSE) / VLOOKUP("industry|NOx|Minor restricted activity days", US_national_yearly!$D:$AM, 10, FALSE), 1)</f>
        <v>5.7049184072138241E-3</v>
      </c>
      <c r="Y14" s="7">
        <f>$B14 * IFERROR(VLOOKUP("industry|NOx|Minor restricted activity days", US_national_yearly!$D:$AM, 33, FALSE) / VLOOKUP("industry|NOx|Minor restricted activity days", US_national_yearly!$D:$AM, 10, FALSE), 1)</f>
        <v>5.737811494391021E-3</v>
      </c>
      <c r="Z14" s="7">
        <f>$B14 * IFERROR(VLOOKUP("industry|NOx|Minor restricted activity days", US_national_yearly!$D:$AM, 34, FALSE) / VLOOKUP("industry|NOx|Minor restricted activity days", US_national_yearly!$D:$AM, 10, FALSE), 1)</f>
        <v>5.770704581568217E-3</v>
      </c>
      <c r="AA14" s="7">
        <f>$B14 * IFERROR(VLOOKUP("industry|NOx|Minor restricted activity days", US_national_yearly!$D:$AM, 35, FALSE) / VLOOKUP("industry|NOx|Minor restricted activity days", US_national_yearly!$D:$AM, 10, FALSE), 1)</f>
        <v>5.8035976687454147E-3</v>
      </c>
      <c r="AB14" s="7">
        <f>$B14 * IFERROR(VLOOKUP("industry|NOx|Minor restricted activity days", US_national_yearly!$D:$AM, 36, FALSE) / VLOOKUP("industry|NOx|Minor restricted activity days", US_national_yearly!$D:$AM, 10, FALSE), 1)</f>
        <v>5.8364907559226133E-3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8.6539214903810628E-4</v>
      </c>
      <c r="C15" s="7">
        <f>$B15 * IFERROR(VLOOKUP("industry|NOx|Work loss days", US_national_yearly!$D:$AM, 11, FALSE) / VLOOKUP("industry|NOx|Work loss days", US_national_yearly!$D:$AM, 10, FALSE), 1)</f>
        <v>8.6726717419990864E-4</v>
      </c>
      <c r="D15" s="7">
        <f>$B15 * IFERROR(VLOOKUP("industry|NOx|Work loss days", US_national_yearly!$D:$AM, 12, FALSE) / VLOOKUP("industry|NOx|Work loss days", US_national_yearly!$D:$AM, 10, FALSE), 1)</f>
        <v>8.6914219936171056E-4</v>
      </c>
      <c r="E15" s="7">
        <f>$B15 * IFERROR(VLOOKUP("industry|NOx|Work loss days", US_national_yearly!$D:$AM, 13, FALSE) / VLOOKUP("industry|NOx|Work loss days", US_national_yearly!$D:$AM, 10, FALSE), 1)</f>
        <v>8.7101722452351282E-4</v>
      </c>
      <c r="F15" s="7">
        <f>$B15 * IFERROR(VLOOKUP("industry|NOx|Work loss days", US_national_yearly!$D:$AM, 14, FALSE) / VLOOKUP("industry|NOx|Work loss days", US_national_yearly!$D:$AM, 10, FALSE), 1)</f>
        <v>8.7289224968531496E-4</v>
      </c>
      <c r="G15" s="7">
        <f>$B15 * IFERROR(VLOOKUP("industry|NOx|Work loss days", US_national_yearly!$D:$AM, 15, FALSE) / VLOOKUP("industry|NOx|Work loss days", US_national_yearly!$D:$AM, 10, FALSE), 1)</f>
        <v>8.7563494122704251E-4</v>
      </c>
      <c r="H15" s="7">
        <f>$B15 * IFERROR(VLOOKUP("industry|NOx|Work loss days", US_national_yearly!$D:$AM, 16, FALSE) / VLOOKUP("industry|NOx|Work loss days", US_national_yearly!$D:$AM, 10, FALSE), 1)</f>
        <v>8.7837763276876995E-4</v>
      </c>
      <c r="I15" s="7">
        <f>$B15 * IFERROR(VLOOKUP("industry|NOx|Work loss days", US_national_yearly!$D:$AM, 17, FALSE) / VLOOKUP("industry|NOx|Work loss days", US_national_yearly!$D:$AM, 10, FALSE), 1)</f>
        <v>8.8283381110201083E-4</v>
      </c>
      <c r="J15" s="7">
        <f>$B15 * IFERROR(VLOOKUP("industry|NOx|Work loss days", US_national_yearly!$D:$AM, 18, FALSE) / VLOOKUP("industry|NOx|Work loss days", US_national_yearly!$D:$AM, 10, FALSE), 1)</f>
        <v>8.8728998943525159E-4</v>
      </c>
      <c r="K15" s="7">
        <f>$B15 * IFERROR(VLOOKUP("industry|NOx|Work loss days", US_national_yearly!$D:$AM, 19, FALSE) / VLOOKUP("industry|NOx|Work loss days", US_national_yearly!$D:$AM, 10, FALSE), 1)</f>
        <v>8.9174616776849258E-4</v>
      </c>
      <c r="L15" s="7">
        <f>$B15 * IFERROR(VLOOKUP("industry|NOx|Work loss days", US_national_yearly!$D:$AM, 20, FALSE) / VLOOKUP("industry|NOx|Work loss days", US_national_yearly!$D:$AM, 10, FALSE), 1)</f>
        <v>8.9620234610173334E-4</v>
      </c>
      <c r="M15" s="7">
        <f>$B15 * IFERROR(VLOOKUP("industry|NOx|Work loss days", US_national_yearly!$D:$AM, 21, FALSE) / VLOOKUP("industry|NOx|Work loss days", US_national_yearly!$D:$AM, 10, FALSE), 1)</f>
        <v>9.0065852443497422E-4</v>
      </c>
      <c r="N15" s="7">
        <f>$B15 * IFERROR(VLOOKUP("industry|NOx|Work loss days", US_national_yearly!$D:$AM, 22, FALSE) / VLOOKUP("industry|NOx|Work loss days", US_national_yearly!$D:$AM, 10, FALSE), 1)</f>
        <v>9.0648619513718188E-4</v>
      </c>
      <c r="O15" s="7">
        <f>$B15 * IFERROR(VLOOKUP("industry|NOx|Work loss days", US_national_yearly!$D:$AM, 23, FALSE) / VLOOKUP("industry|NOx|Work loss days", US_national_yearly!$D:$AM, 10, FALSE), 1)</f>
        <v>9.1231386583938976E-4</v>
      </c>
      <c r="P15" s="7">
        <f>$B15 * IFERROR(VLOOKUP("industry|NOx|Work loss days", US_national_yearly!$D:$AM, 24, FALSE) / VLOOKUP("industry|NOx|Work loss days", US_national_yearly!$D:$AM, 10, FALSE), 1)</f>
        <v>9.1814153654159742E-4</v>
      </c>
      <c r="Q15" s="7">
        <f>$B15 * IFERROR(VLOOKUP("industry|NOx|Work loss days", US_national_yearly!$D:$AM, 25, FALSE) / VLOOKUP("industry|NOx|Work loss days", US_national_yearly!$D:$AM, 10, FALSE), 1)</f>
        <v>9.2396920724380509E-4</v>
      </c>
      <c r="R15" s="7">
        <f>$B15 * IFERROR(VLOOKUP("industry|NOx|Work loss days", US_national_yearly!$D:$AM, 26, FALSE) / VLOOKUP("industry|NOx|Work loss days", US_national_yearly!$D:$AM, 10, FALSE), 1)</f>
        <v>9.2979687794601297E-4</v>
      </c>
      <c r="S15" s="7">
        <f>$B15 * IFERROR(VLOOKUP("industry|NOx|Work loss days", US_national_yearly!$D:$AM, 27, FALSE) / VLOOKUP("industry|NOx|Work loss days", US_national_yearly!$D:$AM, 10, FALSE), 1)</f>
        <v>9.3631186079794855E-4</v>
      </c>
      <c r="T15" s="7">
        <f>$B15 * IFERROR(VLOOKUP("industry|NOx|Work loss days", US_national_yearly!$D:$AM, 28, FALSE) / VLOOKUP("industry|NOx|Work loss days", US_national_yearly!$D:$AM, 10, FALSE), 1)</f>
        <v>9.4282684364988423E-4</v>
      </c>
      <c r="U15" s="7">
        <f>$B15 * IFERROR(VLOOKUP("industry|NOx|Work loss days", US_national_yearly!$D:$AM, 29, FALSE) / VLOOKUP("industry|NOx|Work loss days", US_national_yearly!$D:$AM, 10, FALSE), 1)</f>
        <v>9.4934182650182003E-4</v>
      </c>
      <c r="V15" s="7">
        <f>$B15 * IFERROR(VLOOKUP("industry|NOx|Work loss days", US_national_yearly!$D:$AM, 30, FALSE) / VLOOKUP("industry|NOx|Work loss days", US_national_yearly!$D:$AM, 10, FALSE), 1)</f>
        <v>9.5585680935375561E-4</v>
      </c>
      <c r="W15" s="7">
        <f>$B15 * IFERROR(VLOOKUP("industry|NOx|Work loss days", US_national_yearly!$D:$AM, 31, FALSE) / VLOOKUP("industry|NOx|Work loss days", US_national_yearly!$D:$AM, 10, FALSE), 1)</f>
        <v>9.623717922056913E-4</v>
      </c>
      <c r="X15" s="7">
        <f>$B15 * IFERROR(VLOOKUP("industry|NOx|Work loss days", US_national_yearly!$D:$AM, 32, FALSE) / VLOOKUP("industry|NOx|Work loss days", US_national_yearly!$D:$AM, 10, FALSE), 1)</f>
        <v>9.6802376703974936E-4</v>
      </c>
      <c r="Y15" s="7">
        <f>$B15 * IFERROR(VLOOKUP("industry|NOx|Work loss days", US_national_yearly!$D:$AM, 33, FALSE) / VLOOKUP("industry|NOx|Work loss days", US_national_yearly!$D:$AM, 10, FALSE), 1)</f>
        <v>9.736757418738073E-4</v>
      </c>
      <c r="Z15" s="7">
        <f>$B15 * IFERROR(VLOOKUP("industry|NOx|Work loss days", US_national_yearly!$D:$AM, 34, FALSE) / VLOOKUP("industry|NOx|Work loss days", US_national_yearly!$D:$AM, 10, FALSE), 1)</f>
        <v>9.7932771670786525E-4</v>
      </c>
      <c r="AA15" s="7">
        <f>$B15 * IFERROR(VLOOKUP("industry|NOx|Work loss days", US_national_yearly!$D:$AM, 35, FALSE) / VLOOKUP("industry|NOx|Work loss days", US_national_yearly!$D:$AM, 10, FALSE), 1)</f>
        <v>9.8497969154192331E-4</v>
      </c>
      <c r="AB15" s="7">
        <f>$B15 * IFERROR(VLOOKUP("industry|NOx|Work loss days", US_national_yearly!$D:$AM, 36, FALSE) / VLOOKUP("industry|NOx|Work loss days", US_national_yearly!$D:$AM, 10, FALSE), 1)</f>
        <v>9.9063166637598137E-4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1.1808817674583833E-6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1.2155556104674916E-6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1.2502294534765999E-6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1.2849032964857085E-6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1.319577139494817E-6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1.3525319972373991E-6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1.3854868549799814E-6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1.4132701845749566E-6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1.4410535141699315E-6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1.4688368437649065E-6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1.4966201733598817E-6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1.5244035029548564E-6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1.5417970105849946E-6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1.5591905182151321E-6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1.5765840258452701E-6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1.5939775334754079E-6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1.6113710411055456E-6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1.6193950082635081E-6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1.6274189754214705E-6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1.635442942579433E-6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1.6434669097373955E-6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1.651490876895358E-6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1.6560243622621719E-6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1.6605578476289858E-6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1.6650913329957997E-6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1.6696248183626132E-6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1.6741583037294273E-6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1.6405948307218414E-3</v>
      </c>
      <c r="C2" s="7">
        <f>$B2 * IFERROR(VLOOKUP("industry|SO2|Premature mortality", US_national_yearly!$D:$AM, 11, FALSE) / VLOOKUP("industry|SO2|Premature mortality", US_national_yearly!$D:$AM, 10, FALSE), 1)</f>
        <v>1.6613924917544913E-3</v>
      </c>
      <c r="D2" s="7">
        <f>$B2 * IFERROR(VLOOKUP("industry|SO2|Premature mortality", US_national_yearly!$D:$AM, 12, FALSE) / VLOOKUP("industry|SO2|Premature mortality", US_national_yearly!$D:$AM, 10, FALSE), 1)</f>
        <v>1.6821901527871409E-3</v>
      </c>
      <c r="E2" s="7">
        <f>$B2 * IFERROR(VLOOKUP("industry|SO2|Premature mortality", US_national_yearly!$D:$AM, 13, FALSE) / VLOOKUP("industry|SO2|Premature mortality", US_national_yearly!$D:$AM, 10, FALSE), 1)</f>
        <v>1.7029878138197904E-3</v>
      </c>
      <c r="F2" s="7">
        <f>$B2 * IFERROR(VLOOKUP("industry|SO2|Premature mortality", US_national_yearly!$D:$AM, 14, FALSE) / VLOOKUP("industry|SO2|Premature mortality", US_national_yearly!$D:$AM, 10, FALSE), 1)</f>
        <v>1.7237854748524404E-3</v>
      </c>
      <c r="G2" s="7">
        <f>$B2 * IFERROR(VLOOKUP("industry|SO2|Premature mortality", US_national_yearly!$D:$AM, 15, FALSE) / VLOOKUP("industry|SO2|Premature mortality", US_national_yearly!$D:$AM, 10, FALSE), 1)</f>
        <v>1.7638722097816379E-3</v>
      </c>
      <c r="H2" s="7">
        <f>$B2 * IFERROR(VLOOKUP("industry|SO2|Premature mortality", US_national_yearly!$D:$AM, 16, FALSE) / VLOOKUP("industry|SO2|Premature mortality", US_national_yearly!$D:$AM, 10, FALSE), 1)</f>
        <v>1.8039589447108356E-3</v>
      </c>
      <c r="I2" s="7">
        <f>$B2 * IFERROR(VLOOKUP("industry|SO2|Premature mortality", US_national_yearly!$D:$AM, 17, FALSE) / VLOOKUP("industry|SO2|Premature mortality", US_national_yearly!$D:$AM, 10, FALSE), 1)</f>
        <v>1.8305032072841428E-3</v>
      </c>
      <c r="J2" s="7">
        <f>$B2 * IFERROR(VLOOKUP("industry|SO2|Premature mortality", US_national_yearly!$D:$AM, 18, FALSE) / VLOOKUP("industry|SO2|Premature mortality", US_national_yearly!$D:$AM, 10, FALSE), 1)</f>
        <v>1.8570474698574497E-3</v>
      </c>
      <c r="K2" s="7">
        <f>$B2 * IFERROR(VLOOKUP("industry|SO2|Premature mortality", US_national_yearly!$D:$AM, 19, FALSE) / VLOOKUP("industry|SO2|Premature mortality", US_national_yearly!$D:$AM, 10, FALSE), 1)</f>
        <v>1.8835917324307567E-3</v>
      </c>
      <c r="L2" s="7">
        <f>$B2 * IFERROR(VLOOKUP("industry|SO2|Premature mortality", US_national_yearly!$D:$AM, 20, FALSE) / VLOOKUP("industry|SO2|Premature mortality", US_national_yearly!$D:$AM, 10, FALSE), 1)</f>
        <v>1.9101359950040638E-3</v>
      </c>
      <c r="M2" s="7">
        <f>$B2 * IFERROR(VLOOKUP("industry|SO2|Premature mortality", US_national_yearly!$D:$AM, 21, FALSE) / VLOOKUP("industry|SO2|Premature mortality", US_national_yearly!$D:$AM, 10, FALSE), 1)</f>
        <v>1.9366802575773708E-3</v>
      </c>
      <c r="N2" s="7">
        <f>$B2 * IFERROR(VLOOKUP("industry|SO2|Premature mortality", US_national_yearly!$D:$AM, 22, FALSE) / VLOOKUP("industry|SO2|Premature mortality", US_national_yearly!$D:$AM, 10, FALSE), 1)</f>
        <v>1.9574441821097032E-3</v>
      </c>
      <c r="O2" s="7">
        <f>$B2 * IFERROR(VLOOKUP("industry|SO2|Premature mortality", US_national_yearly!$D:$AM, 23, FALSE) / VLOOKUP("industry|SO2|Premature mortality", US_national_yearly!$D:$AM, 10, FALSE), 1)</f>
        <v>1.9782081066420354E-3</v>
      </c>
      <c r="P2" s="7">
        <f>$B2 * IFERROR(VLOOKUP("industry|SO2|Premature mortality", US_national_yearly!$D:$AM, 24, FALSE) / VLOOKUP("industry|SO2|Premature mortality", US_national_yearly!$D:$AM, 10, FALSE), 1)</f>
        <v>1.9989720311743677E-3</v>
      </c>
      <c r="Q2" s="7">
        <f>$B2 * IFERROR(VLOOKUP("industry|SO2|Premature mortality", US_national_yearly!$D:$AM, 25, FALSE) / VLOOKUP("industry|SO2|Premature mortality", US_national_yearly!$D:$AM, 10, FALSE), 1)</f>
        <v>2.0197359557066999E-3</v>
      </c>
      <c r="R2" s="7">
        <f>$B2 * IFERROR(VLOOKUP("industry|SO2|Premature mortality", US_national_yearly!$D:$AM, 26, FALSE) / VLOOKUP("industry|SO2|Premature mortality", US_national_yearly!$D:$AM, 10, FALSE), 1)</f>
        <v>2.0404998802390326E-3</v>
      </c>
      <c r="S2" s="7">
        <f>$B2 * IFERROR(VLOOKUP("industry|SO2|Premature mortality", US_national_yearly!$D:$AM, 27, FALSE) / VLOOKUP("industry|SO2|Premature mortality", US_national_yearly!$D:$AM, 10, FALSE), 1)</f>
        <v>2.0517112555876928E-3</v>
      </c>
      <c r="T2" s="7">
        <f>$B2 * IFERROR(VLOOKUP("industry|SO2|Premature mortality", US_national_yearly!$D:$AM, 28, FALSE) / VLOOKUP("industry|SO2|Premature mortality", US_national_yearly!$D:$AM, 10, FALSE), 1)</f>
        <v>2.0629226309363535E-3</v>
      </c>
      <c r="U2" s="7">
        <f>$B2 * IFERROR(VLOOKUP("industry|SO2|Premature mortality", US_national_yearly!$D:$AM, 29, FALSE) / VLOOKUP("industry|SO2|Premature mortality", US_national_yearly!$D:$AM, 10, FALSE), 1)</f>
        <v>2.0741340062850142E-3</v>
      </c>
      <c r="V2" s="7">
        <f>$B2 * IFERROR(VLOOKUP("industry|SO2|Premature mortality", US_national_yearly!$D:$AM, 30, FALSE) / VLOOKUP("industry|SO2|Premature mortality", US_national_yearly!$D:$AM, 10, FALSE), 1)</f>
        <v>2.0853453816336749E-3</v>
      </c>
      <c r="W2" s="7">
        <f>$B2 * IFERROR(VLOOKUP("industry|SO2|Premature mortality", US_national_yearly!$D:$AM, 31, FALSE) / VLOOKUP("industry|SO2|Premature mortality", US_national_yearly!$D:$AM, 10, FALSE), 1)</f>
        <v>2.0965567569823356E-3</v>
      </c>
      <c r="X2" s="7">
        <f>$B2 * IFERROR(VLOOKUP("industry|SO2|Premature mortality", US_national_yearly!$D:$AM, 32, FALSE) / VLOOKUP("industry|SO2|Premature mortality", US_national_yearly!$D:$AM, 10, FALSE), 1)</f>
        <v>2.098969787060233E-3</v>
      </c>
      <c r="Y2" s="7">
        <f>$B2 * IFERROR(VLOOKUP("industry|SO2|Premature mortality", US_national_yearly!$D:$AM, 33, FALSE) / VLOOKUP("industry|SO2|Premature mortality", US_national_yearly!$D:$AM, 10, FALSE), 1)</f>
        <v>2.1013828171381299E-3</v>
      </c>
      <c r="Z2" s="7">
        <f>$B2 * IFERROR(VLOOKUP("industry|SO2|Premature mortality", US_national_yearly!$D:$AM, 34, FALSE) / VLOOKUP("industry|SO2|Premature mortality", US_national_yearly!$D:$AM, 10, FALSE), 1)</f>
        <v>2.1037958472160273E-3</v>
      </c>
      <c r="AA2" s="7">
        <f>$B2 * IFERROR(VLOOKUP("industry|SO2|Premature mortality", US_national_yearly!$D:$AM, 35, FALSE) / VLOOKUP("industry|SO2|Premature mortality", US_national_yearly!$D:$AM, 10, FALSE), 1)</f>
        <v>2.1062088772939242E-3</v>
      </c>
      <c r="AB2" s="7">
        <f>$B2 * IFERROR(VLOOKUP("industry|SO2|Premature mortality", US_national_yearly!$D:$AM, 36, FALSE) / VLOOKUP("industry|SO2|Premature mortality", US_national_yearly!$D:$AM, 10, FALSE), 1)</f>
        <v>2.1086219073718211E-3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4.3703394243511453E-6</v>
      </c>
      <c r="C3" s="7">
        <f>$B3 * IFERROR(VLOOKUP("industry|SO2|Infant mortality", US_national_yearly!$D:$AM, 11, FALSE) / VLOOKUP("industry|SO2|Infant mortality", US_national_yearly!$D:$AM, 10, FALSE), 1)</f>
        <v>4.3327410572570374E-6</v>
      </c>
      <c r="D3" s="7">
        <f>$B3 * IFERROR(VLOOKUP("industry|SO2|Infant mortality", US_national_yearly!$D:$AM, 12, FALSE) / VLOOKUP("industry|SO2|Infant mortality", US_national_yearly!$D:$AM, 10, FALSE), 1)</f>
        <v>4.2951426901629296E-6</v>
      </c>
      <c r="E3" s="7">
        <f>$B3 * IFERROR(VLOOKUP("industry|SO2|Infant mortality", US_national_yearly!$D:$AM, 13, FALSE) / VLOOKUP("industry|SO2|Infant mortality", US_national_yearly!$D:$AM, 10, FALSE), 1)</f>
        <v>4.2575443230688217E-6</v>
      </c>
      <c r="F3" s="7">
        <f>$B3 * IFERROR(VLOOKUP("industry|SO2|Infant mortality", US_national_yearly!$D:$AM, 14, FALSE) / VLOOKUP("industry|SO2|Infant mortality", US_national_yearly!$D:$AM, 10, FALSE), 1)</f>
        <v>4.2199459559747147E-6</v>
      </c>
      <c r="G3" s="7">
        <f>$B3 * IFERROR(VLOOKUP("industry|SO2|Infant mortality", US_national_yearly!$D:$AM, 15, FALSE) / VLOOKUP("industry|SO2|Infant mortality", US_national_yearly!$D:$AM, 10, FALSE), 1)</f>
        <v>2.8092110442296289E-6</v>
      </c>
      <c r="H3" s="7">
        <f>$B3 * IFERROR(VLOOKUP("industry|SO2|Infant mortality", US_national_yearly!$D:$AM, 16, FALSE) / VLOOKUP("industry|SO2|Infant mortality", US_national_yearly!$D:$AM, 10, FALSE), 1)</f>
        <v>1.3984761324845434E-6</v>
      </c>
      <c r="I3" s="7">
        <f>$B3 * IFERROR(VLOOKUP("industry|SO2|Infant mortality", US_national_yearly!$D:$AM, 17, FALSE) / VLOOKUP("industry|SO2|Infant mortality", US_national_yearly!$D:$AM, 10, FALSE), 1)</f>
        <v>1.38959592832032E-6</v>
      </c>
      <c r="J3" s="7">
        <f>$B3 * IFERROR(VLOOKUP("industry|SO2|Infant mortality", US_national_yearly!$D:$AM, 18, FALSE) / VLOOKUP("industry|SO2|Infant mortality", US_national_yearly!$D:$AM, 10, FALSE), 1)</f>
        <v>1.3807157241560966E-6</v>
      </c>
      <c r="K3" s="7">
        <f>$B3 * IFERROR(VLOOKUP("industry|SO2|Infant mortality", US_national_yearly!$D:$AM, 19, FALSE) / VLOOKUP("industry|SO2|Infant mortality", US_national_yearly!$D:$AM, 10, FALSE), 1)</f>
        <v>1.3718355199918732E-6</v>
      </c>
      <c r="L3" s="7">
        <f>$B3 * IFERROR(VLOOKUP("industry|SO2|Infant mortality", US_national_yearly!$D:$AM, 20, FALSE) / VLOOKUP("industry|SO2|Infant mortality", US_national_yearly!$D:$AM, 10, FALSE), 1)</f>
        <v>1.3629553158276498E-6</v>
      </c>
      <c r="M3" s="7">
        <f>$B3 * IFERROR(VLOOKUP("industry|SO2|Infant mortality", US_national_yearly!$D:$AM, 21, FALSE) / VLOOKUP("industry|SO2|Infant mortality", US_national_yearly!$D:$AM, 10, FALSE), 1)</f>
        <v>1.3540751116634264E-6</v>
      </c>
      <c r="N3" s="7">
        <f>$B3 * IFERROR(VLOOKUP("industry|SO2|Infant mortality", US_national_yearly!$D:$AM, 22, FALSE) / VLOOKUP("industry|SO2|Infant mortality", US_national_yearly!$D:$AM, 10, FALSE), 1)</f>
        <v>1.3484467965454071E-6</v>
      </c>
      <c r="O3" s="7">
        <f>$B3 * IFERROR(VLOOKUP("industry|SO2|Infant mortality", US_national_yearly!$D:$AM, 23, FALSE) / VLOOKUP("industry|SO2|Infant mortality", US_national_yearly!$D:$AM, 10, FALSE), 1)</f>
        <v>1.3428184814273877E-6</v>
      </c>
      <c r="P3" s="7">
        <f>$B3 * IFERROR(VLOOKUP("industry|SO2|Infant mortality", US_national_yearly!$D:$AM, 24, FALSE) / VLOOKUP("industry|SO2|Infant mortality", US_national_yearly!$D:$AM, 10, FALSE), 1)</f>
        <v>1.3371901663093684E-6</v>
      </c>
      <c r="Q3" s="7">
        <f>$B3 * IFERROR(VLOOKUP("industry|SO2|Infant mortality", US_national_yearly!$D:$AM, 25, FALSE) / VLOOKUP("industry|SO2|Infant mortality", US_national_yearly!$D:$AM, 10, FALSE), 1)</f>
        <v>1.3315618511913491E-6</v>
      </c>
      <c r="R3" s="7">
        <f>$B3 * IFERROR(VLOOKUP("industry|SO2|Infant mortality", US_national_yearly!$D:$AM, 26, FALSE) / VLOOKUP("industry|SO2|Infant mortality", US_national_yearly!$D:$AM, 10, FALSE), 1)</f>
        <v>1.3259335360733297E-6</v>
      </c>
      <c r="S3" s="7">
        <f>$B3 * IFERROR(VLOOKUP("industry|SO2|Infant mortality", US_national_yearly!$D:$AM, 27, FALSE) / VLOOKUP("industry|SO2|Infant mortality", US_national_yearly!$D:$AM, 10, FALSE), 1)</f>
        <v>1.3189291621149958E-6</v>
      </c>
      <c r="T3" s="7">
        <f>$B3 * IFERROR(VLOOKUP("industry|SO2|Infant mortality", US_national_yearly!$D:$AM, 28, FALSE) / VLOOKUP("industry|SO2|Infant mortality", US_national_yearly!$D:$AM, 10, FALSE), 1)</f>
        <v>1.3119247881566619E-6</v>
      </c>
      <c r="U3" s="7">
        <f>$B3 * IFERROR(VLOOKUP("industry|SO2|Infant mortality", US_national_yearly!$D:$AM, 29, FALSE) / VLOOKUP("industry|SO2|Infant mortality", US_national_yearly!$D:$AM, 10, FALSE), 1)</f>
        <v>1.304920414198328E-6</v>
      </c>
      <c r="V3" s="7">
        <f>$B3 * IFERROR(VLOOKUP("industry|SO2|Infant mortality", US_national_yearly!$D:$AM, 30, FALSE) / VLOOKUP("industry|SO2|Infant mortality", US_national_yearly!$D:$AM, 10, FALSE), 1)</f>
        <v>1.2979160402399941E-6</v>
      </c>
      <c r="W3" s="7">
        <f>$B3 * IFERROR(VLOOKUP("industry|SO2|Infant mortality", US_national_yearly!$D:$AM, 31, FALSE) / VLOOKUP("industry|SO2|Infant mortality", US_national_yearly!$D:$AM, 10, FALSE), 1)</f>
        <v>1.2909116662816602E-6</v>
      </c>
      <c r="X3" s="7">
        <f>$B3 * IFERROR(VLOOKUP("industry|SO2|Infant mortality", US_national_yearly!$D:$AM, 32, FALSE) / VLOOKUP("industry|SO2|Infant mortality", US_national_yearly!$D:$AM, 10, FALSE), 1)</f>
        <v>1.2833000020418776E-6</v>
      </c>
      <c r="Y3" s="7">
        <f>$B3 * IFERROR(VLOOKUP("industry|SO2|Infant mortality", US_national_yearly!$D:$AM, 33, FALSE) / VLOOKUP("industry|SO2|Infant mortality", US_national_yearly!$D:$AM, 10, FALSE), 1)</f>
        <v>1.2756883378020947E-6</v>
      </c>
      <c r="Z3" s="7">
        <f>$B3 * IFERROR(VLOOKUP("industry|SO2|Infant mortality", US_national_yearly!$D:$AM, 34, FALSE) / VLOOKUP("industry|SO2|Infant mortality", US_national_yearly!$D:$AM, 10, FALSE), 1)</f>
        <v>1.2680766735623121E-6</v>
      </c>
      <c r="AA3" s="7">
        <f>$B3 * IFERROR(VLOOKUP("industry|SO2|Infant mortality", US_national_yearly!$D:$AM, 35, FALSE) / VLOOKUP("industry|SO2|Infant mortality", US_national_yearly!$D:$AM, 10, FALSE), 1)</f>
        <v>1.2604650093225295E-6</v>
      </c>
      <c r="AB3" s="7">
        <f>$B3 * IFERROR(VLOOKUP("industry|SO2|Infant mortality", US_national_yearly!$D:$AM, 36, FALSE) / VLOOKUP("industry|SO2|Infant mortality", US_national_yearly!$D:$AM, 10, FALSE), 1)</f>
        <v>1.2528533450827468E-6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4.4397337620208435E-3</v>
      </c>
      <c r="C6" s="7">
        <f>$B6 * IFERROR(VLOOKUP("industry|SO2|Asthma symptoms cough", US_national_yearly!$D:$AM, 11, FALSE) / VLOOKUP("industry|SO2|Asthma symptoms cough", US_national_yearly!$D:$AM, 10, FALSE), 1)</f>
        <v>4.4397337620208435E-3</v>
      </c>
      <c r="D6" s="7">
        <f>$B6 * IFERROR(VLOOKUP("industry|SO2|Asthma symptoms cough", US_national_yearly!$D:$AM, 12, FALSE) / VLOOKUP("industry|SO2|Asthma symptoms cough", US_national_yearly!$D:$AM, 10, FALSE), 1)</f>
        <v>4.4397337620208435E-3</v>
      </c>
      <c r="E6" s="7">
        <f>$B6 * IFERROR(VLOOKUP("industry|SO2|Asthma symptoms cough", US_national_yearly!$D:$AM, 13, FALSE) / VLOOKUP("industry|SO2|Asthma symptoms cough", US_national_yearly!$D:$AM, 10, FALSE), 1)</f>
        <v>4.4397337620208435E-3</v>
      </c>
      <c r="F6" s="7">
        <f>$B6 * IFERROR(VLOOKUP("industry|SO2|Asthma symptoms cough", US_national_yearly!$D:$AM, 14, FALSE) / VLOOKUP("industry|SO2|Asthma symptoms cough", US_national_yearly!$D:$AM, 10, FALSE), 1)</f>
        <v>4.4397337620208435E-3</v>
      </c>
      <c r="G6" s="7">
        <f>$B6 * IFERROR(VLOOKUP("industry|SO2|Asthma symptoms cough", US_national_yearly!$D:$AM, 15, FALSE) / VLOOKUP("industry|SO2|Asthma symptoms cough", US_national_yearly!$D:$AM, 10, FALSE), 1)</f>
        <v>4.4397337620208435E-3</v>
      </c>
      <c r="H6" s="7">
        <f>$B6 * IFERROR(VLOOKUP("industry|SO2|Asthma symptoms cough", US_national_yearly!$D:$AM, 16, FALSE) / VLOOKUP("industry|SO2|Asthma symptoms cough", US_national_yearly!$D:$AM, 10, FALSE), 1)</f>
        <v>4.4397337620208435E-3</v>
      </c>
      <c r="I6" s="7">
        <f>$B6 * IFERROR(VLOOKUP("industry|SO2|Asthma symptoms cough", US_national_yearly!$D:$AM, 17, FALSE) / VLOOKUP("industry|SO2|Asthma symptoms cough", US_national_yearly!$D:$AM, 10, FALSE), 1)</f>
        <v>4.4397337620208435E-3</v>
      </c>
      <c r="J6" s="7">
        <f>$B6 * IFERROR(VLOOKUP("industry|SO2|Asthma symptoms cough", US_national_yearly!$D:$AM, 18, FALSE) / VLOOKUP("industry|SO2|Asthma symptoms cough", US_national_yearly!$D:$AM, 10, FALSE), 1)</f>
        <v>4.4397337620208435E-3</v>
      </c>
      <c r="K6" s="7">
        <f>$B6 * IFERROR(VLOOKUP("industry|SO2|Asthma symptoms cough", US_national_yearly!$D:$AM, 19, FALSE) / VLOOKUP("industry|SO2|Asthma symptoms cough", US_national_yearly!$D:$AM, 10, FALSE), 1)</f>
        <v>4.4397337620208435E-3</v>
      </c>
      <c r="L6" s="7">
        <f>$B6 * IFERROR(VLOOKUP("industry|SO2|Asthma symptoms cough", US_national_yearly!$D:$AM, 20, FALSE) / VLOOKUP("industry|SO2|Asthma symptoms cough", US_national_yearly!$D:$AM, 10, FALSE), 1)</f>
        <v>4.4397337620208435E-3</v>
      </c>
      <c r="M6" s="7">
        <f>$B6 * IFERROR(VLOOKUP("industry|SO2|Asthma symptoms cough", US_national_yearly!$D:$AM, 21, FALSE) / VLOOKUP("industry|SO2|Asthma symptoms cough", US_national_yearly!$D:$AM, 10, FALSE), 1)</f>
        <v>4.4397337620208435E-3</v>
      </c>
      <c r="N6" s="7">
        <f>$B6 * IFERROR(VLOOKUP("industry|SO2|Asthma symptoms cough", US_national_yearly!$D:$AM, 22, FALSE) / VLOOKUP("industry|SO2|Asthma symptoms cough", US_national_yearly!$D:$AM, 10, FALSE), 1)</f>
        <v>4.4397337620208435E-3</v>
      </c>
      <c r="O6" s="7">
        <f>$B6 * IFERROR(VLOOKUP("industry|SO2|Asthma symptoms cough", US_national_yearly!$D:$AM, 23, FALSE) / VLOOKUP("industry|SO2|Asthma symptoms cough", US_national_yearly!$D:$AM, 10, FALSE), 1)</f>
        <v>4.4397337620208435E-3</v>
      </c>
      <c r="P6" s="7">
        <f>$B6 * IFERROR(VLOOKUP("industry|SO2|Asthma symptoms cough", US_national_yearly!$D:$AM, 24, FALSE) / VLOOKUP("industry|SO2|Asthma symptoms cough", US_national_yearly!$D:$AM, 10, FALSE), 1)</f>
        <v>4.4397337620208435E-3</v>
      </c>
      <c r="Q6" s="7">
        <f>$B6 * IFERROR(VLOOKUP("industry|SO2|Asthma symptoms cough", US_national_yearly!$D:$AM, 25, FALSE) / VLOOKUP("industry|SO2|Asthma symptoms cough", US_national_yearly!$D:$AM, 10, FALSE), 1)</f>
        <v>4.4397337620208435E-3</v>
      </c>
      <c r="R6" s="7">
        <f>$B6 * IFERROR(VLOOKUP("industry|SO2|Asthma symptoms cough", US_national_yearly!$D:$AM, 26, FALSE) / VLOOKUP("industry|SO2|Asthma symptoms cough", US_national_yearly!$D:$AM, 10, FALSE), 1)</f>
        <v>4.4397337620208435E-3</v>
      </c>
      <c r="S6" s="7">
        <f>$B6 * IFERROR(VLOOKUP("industry|SO2|Asthma symptoms cough", US_national_yearly!$D:$AM, 27, FALSE) / VLOOKUP("industry|SO2|Asthma symptoms cough", US_national_yearly!$D:$AM, 10, FALSE), 1)</f>
        <v>4.4397337620208435E-3</v>
      </c>
      <c r="T6" s="7">
        <f>$B6 * IFERROR(VLOOKUP("industry|SO2|Asthma symptoms cough", US_national_yearly!$D:$AM, 28, FALSE) / VLOOKUP("industry|SO2|Asthma symptoms cough", US_national_yearly!$D:$AM, 10, FALSE), 1)</f>
        <v>4.4397337620208435E-3</v>
      </c>
      <c r="U6" s="7">
        <f>$B6 * IFERROR(VLOOKUP("industry|SO2|Asthma symptoms cough", US_national_yearly!$D:$AM, 29, FALSE) / VLOOKUP("industry|SO2|Asthma symptoms cough", US_national_yearly!$D:$AM, 10, FALSE), 1)</f>
        <v>4.4397337620208435E-3</v>
      </c>
      <c r="V6" s="7">
        <f>$B6 * IFERROR(VLOOKUP("industry|SO2|Asthma symptoms cough", US_national_yearly!$D:$AM, 30, FALSE) / VLOOKUP("industry|SO2|Asthma symptoms cough", US_national_yearly!$D:$AM, 10, FALSE), 1)</f>
        <v>4.4397337620208435E-3</v>
      </c>
      <c r="W6" s="7">
        <f>$B6 * IFERROR(VLOOKUP("industry|SO2|Asthma symptoms cough", US_national_yearly!$D:$AM, 31, FALSE) / VLOOKUP("industry|SO2|Asthma symptoms cough", US_national_yearly!$D:$AM, 10, FALSE), 1)</f>
        <v>4.4397337620208435E-3</v>
      </c>
      <c r="X6" s="7">
        <f>$B6 * IFERROR(VLOOKUP("industry|SO2|Asthma symptoms cough", US_national_yearly!$D:$AM, 32, FALSE) / VLOOKUP("industry|SO2|Asthma symptoms cough", US_national_yearly!$D:$AM, 10, FALSE), 1)</f>
        <v>4.4397337620208435E-3</v>
      </c>
      <c r="Y6" s="7">
        <f>$B6 * IFERROR(VLOOKUP("industry|SO2|Asthma symptoms cough", US_national_yearly!$D:$AM, 33, FALSE) / VLOOKUP("industry|SO2|Asthma symptoms cough", US_national_yearly!$D:$AM, 10, FALSE), 1)</f>
        <v>4.4397337620208435E-3</v>
      </c>
      <c r="Z6" s="7">
        <f>$B6 * IFERROR(VLOOKUP("industry|SO2|Asthma symptoms cough", US_national_yearly!$D:$AM, 34, FALSE) / VLOOKUP("industry|SO2|Asthma symptoms cough", US_national_yearly!$D:$AM, 10, FALSE), 1)</f>
        <v>4.4397337620208435E-3</v>
      </c>
      <c r="AA6" s="7">
        <f>$B6 * IFERROR(VLOOKUP("industry|SO2|Asthma symptoms cough", US_national_yearly!$D:$AM, 35, FALSE) / VLOOKUP("industry|SO2|Asthma symptoms cough", US_national_yearly!$D:$AM, 10, FALSE), 1)</f>
        <v>4.4397337620208435E-3</v>
      </c>
      <c r="AB6" s="7">
        <f>$B6 * IFERROR(VLOOKUP("industry|SO2|Asthma symptoms cough", US_national_yearly!$D:$AM, 36, FALSE) / VLOOKUP("industry|SO2|Asthma symptoms cough", US_national_yearly!$D:$AM, 10, FALSE), 1)</f>
        <v>4.4397337620208435E-3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5.9786636654229975E-3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5.9786636654229975E-3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5.9786636654229975E-3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5.9786636654229975E-3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5.9786636654229975E-3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5.9786636654229975E-3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5.9786636654229975E-3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5.9786636654229975E-3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5.9786636654229975E-3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5.9786636654229975E-3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5.9786636654229975E-3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5.9786636654229975E-3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5.9786636654229975E-3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5.9786636654229975E-3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5.9786636654229975E-3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5.9786636654229975E-3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5.9786636654229975E-3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5.9786636654229975E-3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5.9786636654229975E-3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5.9786636654229975E-3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5.9786636654229975E-3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5.9786636654229975E-3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5.9786636654229975E-3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5.9786636654229975E-3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5.9786636654229975E-3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5.9786636654229975E-3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5.9786636654229975E-3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9.1346775245939246E-3</v>
      </c>
      <c r="C8" s="7">
        <f>$B8 * IFERROR(VLOOKUP("industry|SO2|Asthma symptoms wheeze", US_national_yearly!$D:$AM, 11, FALSE) / VLOOKUP("industry|SO2|Asthma symptoms wheeze", US_national_yearly!$D:$AM, 10, FALSE), 1)</f>
        <v>9.1346775245939246E-3</v>
      </c>
      <c r="D8" s="7">
        <f>$B8 * IFERROR(VLOOKUP("industry|SO2|Asthma symptoms wheeze", US_national_yearly!$D:$AM, 12, FALSE) / VLOOKUP("industry|SO2|Asthma symptoms wheeze", US_national_yearly!$D:$AM, 10, FALSE), 1)</f>
        <v>9.1346775245939246E-3</v>
      </c>
      <c r="E8" s="7">
        <f>$B8 * IFERROR(VLOOKUP("industry|SO2|Asthma symptoms wheeze", US_national_yearly!$D:$AM, 13, FALSE) / VLOOKUP("industry|SO2|Asthma symptoms wheeze", US_national_yearly!$D:$AM, 10, FALSE), 1)</f>
        <v>9.1346775245939246E-3</v>
      </c>
      <c r="F8" s="7">
        <f>$B8 * IFERROR(VLOOKUP("industry|SO2|Asthma symptoms wheeze", US_national_yearly!$D:$AM, 14, FALSE) / VLOOKUP("industry|SO2|Asthma symptoms wheeze", US_national_yearly!$D:$AM, 10, FALSE), 1)</f>
        <v>9.1346775245939246E-3</v>
      </c>
      <c r="G8" s="7">
        <f>$B8 * IFERROR(VLOOKUP("industry|SO2|Asthma symptoms wheeze", US_national_yearly!$D:$AM, 15, FALSE) / VLOOKUP("industry|SO2|Asthma symptoms wheeze", US_national_yearly!$D:$AM, 10, FALSE), 1)</f>
        <v>9.1346775245939246E-3</v>
      </c>
      <c r="H8" s="7">
        <f>$B8 * IFERROR(VLOOKUP("industry|SO2|Asthma symptoms wheeze", US_national_yearly!$D:$AM, 16, FALSE) / VLOOKUP("industry|SO2|Asthma symptoms wheeze", US_national_yearly!$D:$AM, 10, FALSE), 1)</f>
        <v>9.1346775245939246E-3</v>
      </c>
      <c r="I8" s="7">
        <f>$B8 * IFERROR(VLOOKUP("industry|SO2|Asthma symptoms wheeze", US_national_yearly!$D:$AM, 17, FALSE) / VLOOKUP("industry|SO2|Asthma symptoms wheeze", US_national_yearly!$D:$AM, 10, FALSE), 1)</f>
        <v>9.1346775245939246E-3</v>
      </c>
      <c r="J8" s="7">
        <f>$B8 * IFERROR(VLOOKUP("industry|SO2|Asthma symptoms wheeze", US_national_yearly!$D:$AM, 18, FALSE) / VLOOKUP("industry|SO2|Asthma symptoms wheeze", US_national_yearly!$D:$AM, 10, FALSE), 1)</f>
        <v>9.1346775245939246E-3</v>
      </c>
      <c r="K8" s="7">
        <f>$B8 * IFERROR(VLOOKUP("industry|SO2|Asthma symptoms wheeze", US_national_yearly!$D:$AM, 19, FALSE) / VLOOKUP("industry|SO2|Asthma symptoms wheeze", US_national_yearly!$D:$AM, 10, FALSE), 1)</f>
        <v>9.1346775245939246E-3</v>
      </c>
      <c r="L8" s="7">
        <f>$B8 * IFERROR(VLOOKUP("industry|SO2|Asthma symptoms wheeze", US_national_yearly!$D:$AM, 20, FALSE) / VLOOKUP("industry|SO2|Asthma symptoms wheeze", US_national_yearly!$D:$AM, 10, FALSE), 1)</f>
        <v>9.1346775245939246E-3</v>
      </c>
      <c r="M8" s="7">
        <f>$B8 * IFERROR(VLOOKUP("industry|SO2|Asthma symptoms wheeze", US_national_yearly!$D:$AM, 21, FALSE) / VLOOKUP("industry|SO2|Asthma symptoms wheeze", US_national_yearly!$D:$AM, 10, FALSE), 1)</f>
        <v>9.1346775245939246E-3</v>
      </c>
      <c r="N8" s="7">
        <f>$B8 * IFERROR(VLOOKUP("industry|SO2|Asthma symptoms wheeze", US_national_yearly!$D:$AM, 22, FALSE) / VLOOKUP("industry|SO2|Asthma symptoms wheeze", US_national_yearly!$D:$AM, 10, FALSE), 1)</f>
        <v>9.1346775245939246E-3</v>
      </c>
      <c r="O8" s="7">
        <f>$B8 * IFERROR(VLOOKUP("industry|SO2|Asthma symptoms wheeze", US_national_yearly!$D:$AM, 23, FALSE) / VLOOKUP("industry|SO2|Asthma symptoms wheeze", US_national_yearly!$D:$AM, 10, FALSE), 1)</f>
        <v>9.1346775245939246E-3</v>
      </c>
      <c r="P8" s="7">
        <f>$B8 * IFERROR(VLOOKUP("industry|SO2|Asthma symptoms wheeze", US_national_yearly!$D:$AM, 24, FALSE) / VLOOKUP("industry|SO2|Asthma symptoms wheeze", US_national_yearly!$D:$AM, 10, FALSE), 1)</f>
        <v>9.1346775245939246E-3</v>
      </c>
      <c r="Q8" s="7">
        <f>$B8 * IFERROR(VLOOKUP("industry|SO2|Asthma symptoms wheeze", US_national_yearly!$D:$AM, 25, FALSE) / VLOOKUP("industry|SO2|Asthma symptoms wheeze", US_national_yearly!$D:$AM, 10, FALSE), 1)</f>
        <v>9.1346775245939246E-3</v>
      </c>
      <c r="R8" s="7">
        <f>$B8 * IFERROR(VLOOKUP("industry|SO2|Asthma symptoms wheeze", US_national_yearly!$D:$AM, 26, FALSE) / VLOOKUP("industry|SO2|Asthma symptoms wheeze", US_national_yearly!$D:$AM, 10, FALSE), 1)</f>
        <v>9.1346775245939246E-3</v>
      </c>
      <c r="S8" s="7">
        <f>$B8 * IFERROR(VLOOKUP("industry|SO2|Asthma symptoms wheeze", US_national_yearly!$D:$AM, 27, FALSE) / VLOOKUP("industry|SO2|Asthma symptoms wheeze", US_national_yearly!$D:$AM, 10, FALSE), 1)</f>
        <v>9.1346775245939246E-3</v>
      </c>
      <c r="T8" s="7">
        <f>$B8 * IFERROR(VLOOKUP("industry|SO2|Asthma symptoms wheeze", US_national_yearly!$D:$AM, 28, FALSE) / VLOOKUP("industry|SO2|Asthma symptoms wheeze", US_national_yearly!$D:$AM, 10, FALSE), 1)</f>
        <v>9.1346775245939246E-3</v>
      </c>
      <c r="U8" s="7">
        <f>$B8 * IFERROR(VLOOKUP("industry|SO2|Asthma symptoms wheeze", US_national_yearly!$D:$AM, 29, FALSE) / VLOOKUP("industry|SO2|Asthma symptoms wheeze", US_national_yearly!$D:$AM, 10, FALSE), 1)</f>
        <v>9.1346775245939246E-3</v>
      </c>
      <c r="V8" s="7">
        <f>$B8 * IFERROR(VLOOKUP("industry|SO2|Asthma symptoms wheeze", US_national_yearly!$D:$AM, 30, FALSE) / VLOOKUP("industry|SO2|Asthma symptoms wheeze", US_national_yearly!$D:$AM, 10, FALSE), 1)</f>
        <v>9.1346775245939246E-3</v>
      </c>
      <c r="W8" s="7">
        <f>$B8 * IFERROR(VLOOKUP("industry|SO2|Asthma symptoms wheeze", US_national_yearly!$D:$AM, 31, FALSE) / VLOOKUP("industry|SO2|Asthma symptoms wheeze", US_national_yearly!$D:$AM, 10, FALSE), 1)</f>
        <v>9.1346775245939246E-3</v>
      </c>
      <c r="X8" s="7">
        <f>$B8 * IFERROR(VLOOKUP("industry|SO2|Asthma symptoms wheeze", US_national_yearly!$D:$AM, 32, FALSE) / VLOOKUP("industry|SO2|Asthma symptoms wheeze", US_national_yearly!$D:$AM, 10, FALSE), 1)</f>
        <v>9.1346775245939246E-3</v>
      </c>
      <c r="Y8" s="7">
        <f>$B8 * IFERROR(VLOOKUP("industry|SO2|Asthma symptoms wheeze", US_national_yearly!$D:$AM, 33, FALSE) / VLOOKUP("industry|SO2|Asthma symptoms wheeze", US_national_yearly!$D:$AM, 10, FALSE), 1)</f>
        <v>9.1346775245939246E-3</v>
      </c>
      <c r="Z8" s="7">
        <f>$B8 * IFERROR(VLOOKUP("industry|SO2|Asthma symptoms wheeze", US_national_yearly!$D:$AM, 34, FALSE) / VLOOKUP("industry|SO2|Asthma symptoms wheeze", US_national_yearly!$D:$AM, 10, FALSE), 1)</f>
        <v>9.1346775245939246E-3</v>
      </c>
      <c r="AA8" s="7">
        <f>$B8 * IFERROR(VLOOKUP("industry|SO2|Asthma symptoms wheeze", US_national_yearly!$D:$AM, 35, FALSE) / VLOOKUP("industry|SO2|Asthma symptoms wheeze", US_national_yearly!$D:$AM, 10, FALSE), 1)</f>
        <v>9.1346775245939246E-3</v>
      </c>
      <c r="AB8" s="7">
        <f>$B8 * IFERROR(VLOOKUP("industry|SO2|Asthma symptoms wheeze", US_national_yearly!$D:$AM, 36, FALSE) / VLOOKUP("industry|SO2|Asthma symptoms wheeze", US_national_yearly!$D:$AM, 10, FALSE), 1)</f>
        <v>9.1346775245939246E-3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9.5830594775914916E-5</v>
      </c>
      <c r="C12" s="7">
        <f>$B12 * IFERROR(VLOOKUP("industry|SO2|Respiratory hospital admissions", US_national_yearly!$D:$AM, 11, FALSE) / VLOOKUP("industry|SO2|Respiratory hospital admissions", US_national_yearly!$D:$AM, 10, FALSE), 1)</f>
        <v>9.6391979115753135E-5</v>
      </c>
      <c r="D12" s="7">
        <f>$B12 * IFERROR(VLOOKUP("industry|SO2|Respiratory hospital admissions", US_national_yearly!$D:$AM, 12, FALSE) / VLOOKUP("industry|SO2|Respiratory hospital admissions", US_national_yearly!$D:$AM, 10, FALSE), 1)</f>
        <v>9.6953363455591353E-5</v>
      </c>
      <c r="E12" s="7">
        <f>$B12 * IFERROR(VLOOKUP("industry|SO2|Respiratory hospital admissions", US_national_yearly!$D:$AM, 13, FALSE) / VLOOKUP("industry|SO2|Respiratory hospital admissions", US_national_yearly!$D:$AM, 10, FALSE), 1)</f>
        <v>9.7514747795429571E-5</v>
      </c>
      <c r="F12" s="7">
        <f>$B12 * IFERROR(VLOOKUP("industry|SO2|Respiratory hospital admissions", US_national_yearly!$D:$AM, 14, FALSE) / VLOOKUP("industry|SO2|Respiratory hospital admissions", US_national_yearly!$D:$AM, 10, FALSE), 1)</f>
        <v>9.8076132135267816E-5</v>
      </c>
      <c r="G12" s="7">
        <f>$B12 * IFERROR(VLOOKUP("industry|SO2|Respiratory hospital admissions", US_national_yearly!$D:$AM, 15, FALSE) / VLOOKUP("industry|SO2|Respiratory hospital admissions", US_national_yearly!$D:$AM, 10, FALSE), 1)</f>
        <v>9.868814966110255E-5</v>
      </c>
      <c r="H12" s="7">
        <f>$B12 * IFERROR(VLOOKUP("industry|SO2|Respiratory hospital admissions", US_national_yearly!$D:$AM, 16, FALSE) / VLOOKUP("industry|SO2|Respiratory hospital admissions", US_national_yearly!$D:$AM, 10, FALSE), 1)</f>
        <v>9.9300167186937296E-5</v>
      </c>
      <c r="I12" s="7">
        <f>$B12 * IFERROR(VLOOKUP("industry|SO2|Respiratory hospital admissions", US_national_yearly!$D:$AM, 17, FALSE) / VLOOKUP("industry|SO2|Respiratory hospital admissions", US_national_yearly!$D:$AM, 10, FALSE), 1)</f>
        <v>9.9901268750507137E-5</v>
      </c>
      <c r="J12" s="7">
        <f>$B12 * IFERROR(VLOOKUP("industry|SO2|Respiratory hospital admissions", US_national_yearly!$D:$AM, 18, FALSE) / VLOOKUP("industry|SO2|Respiratory hospital admissions", US_national_yearly!$D:$AM, 10, FALSE), 1)</f>
        <v>1.0050237031407699E-4</v>
      </c>
      <c r="K12" s="7">
        <f>$B12 * IFERROR(VLOOKUP("industry|SO2|Respiratory hospital admissions", US_national_yearly!$D:$AM, 19, FALSE) / VLOOKUP("industry|SO2|Respiratory hospital admissions", US_national_yearly!$D:$AM, 10, FALSE), 1)</f>
        <v>1.0110347187764682E-4</v>
      </c>
      <c r="L12" s="7">
        <f>$B12 * IFERROR(VLOOKUP("industry|SO2|Respiratory hospital admissions", US_national_yearly!$D:$AM, 20, FALSE) / VLOOKUP("industry|SO2|Respiratory hospital admissions", US_national_yearly!$D:$AM, 10, FALSE), 1)</f>
        <v>1.0170457344121667E-4</v>
      </c>
      <c r="M12" s="7">
        <f>$B12 * IFERROR(VLOOKUP("industry|SO2|Respiratory hospital admissions", US_national_yearly!$D:$AM, 21, FALSE) / VLOOKUP("industry|SO2|Respiratory hospital admissions", US_national_yearly!$D:$AM, 10, FALSE), 1)</f>
        <v>1.0230567500478653E-4</v>
      </c>
      <c r="N12" s="7">
        <f>$B12 * IFERROR(VLOOKUP("industry|SO2|Respiratory hospital admissions", US_national_yearly!$D:$AM, 22, FALSE) / VLOOKUP("industry|SO2|Respiratory hospital admissions", US_national_yearly!$D:$AM, 10, FALSE), 1)</f>
        <v>1.0274064055676858E-4</v>
      </c>
      <c r="O12" s="7">
        <f>$B12 * IFERROR(VLOOKUP("industry|SO2|Respiratory hospital admissions", US_national_yearly!$D:$AM, 23, FALSE) / VLOOKUP("industry|SO2|Respiratory hospital admissions", US_national_yearly!$D:$AM, 10, FALSE), 1)</f>
        <v>1.0317560610875065E-4</v>
      </c>
      <c r="P12" s="7">
        <f>$B12 * IFERROR(VLOOKUP("industry|SO2|Respiratory hospital admissions", US_national_yearly!$D:$AM, 24, FALSE) / VLOOKUP("industry|SO2|Respiratory hospital admissions", US_national_yearly!$D:$AM, 10, FALSE), 1)</f>
        <v>1.0361057166073267E-4</v>
      </c>
      <c r="Q12" s="7">
        <f>$B12 * IFERROR(VLOOKUP("industry|SO2|Respiratory hospital admissions", US_national_yearly!$D:$AM, 25, FALSE) / VLOOKUP("industry|SO2|Respiratory hospital admissions", US_national_yearly!$D:$AM, 10, FALSE), 1)</f>
        <v>1.0404553721271474E-4</v>
      </c>
      <c r="R12" s="7">
        <f>$B12 * IFERROR(VLOOKUP("industry|SO2|Respiratory hospital admissions", US_national_yearly!$D:$AM, 26, FALSE) / VLOOKUP("industry|SO2|Respiratory hospital admissions", US_national_yearly!$D:$AM, 10, FALSE), 1)</f>
        <v>1.0448050276469678E-4</v>
      </c>
      <c r="S12" s="7">
        <f>$B12 * IFERROR(VLOOKUP("industry|SO2|Respiratory hospital admissions", US_national_yearly!$D:$AM, 27, FALSE) / VLOOKUP("industry|SO2|Respiratory hospital admissions", US_national_yearly!$D:$AM, 10, FALSE), 1)</f>
        <v>1.04893871034098E-4</v>
      </c>
      <c r="T12" s="7">
        <f>$B12 * IFERROR(VLOOKUP("industry|SO2|Respiratory hospital admissions", US_national_yearly!$D:$AM, 28, FALSE) / VLOOKUP("industry|SO2|Respiratory hospital admissions", US_national_yearly!$D:$AM, 10, FALSE), 1)</f>
        <v>1.0530723930349922E-4</v>
      </c>
      <c r="U12" s="7">
        <f>$B12 * IFERROR(VLOOKUP("industry|SO2|Respiratory hospital admissions", US_national_yearly!$D:$AM, 29, FALSE) / VLOOKUP("industry|SO2|Respiratory hospital admissions", US_national_yearly!$D:$AM, 10, FALSE), 1)</f>
        <v>1.0572060757290042E-4</v>
      </c>
      <c r="V12" s="7">
        <f>$B12 * IFERROR(VLOOKUP("industry|SO2|Respiratory hospital admissions", US_national_yearly!$D:$AM, 30, FALSE) / VLOOKUP("industry|SO2|Respiratory hospital admissions", US_national_yearly!$D:$AM, 10, FALSE), 1)</f>
        <v>1.0613397584230164E-4</v>
      </c>
      <c r="W12" s="7">
        <f>$B12 * IFERROR(VLOOKUP("industry|SO2|Respiratory hospital admissions", US_national_yearly!$D:$AM, 31, FALSE) / VLOOKUP("industry|SO2|Respiratory hospital admissions", US_national_yearly!$D:$AM, 10, FALSE), 1)</f>
        <v>1.0654734411170285E-4</v>
      </c>
      <c r="X12" s="7">
        <f>$B12 * IFERROR(VLOOKUP("industry|SO2|Respiratory hospital admissions", US_national_yearly!$D:$AM, 32, FALSE) / VLOOKUP("industry|SO2|Respiratory hospital admissions", US_national_yearly!$D:$AM, 10, FALSE), 1)</f>
        <v>1.0693988482989781E-4</v>
      </c>
      <c r="Y12" s="7">
        <f>$B12 * IFERROR(VLOOKUP("industry|SO2|Respiratory hospital admissions", US_national_yearly!$D:$AM, 33, FALSE) / VLOOKUP("industry|SO2|Respiratory hospital admissions", US_national_yearly!$D:$AM, 10, FALSE), 1)</f>
        <v>1.0733242554809281E-4</v>
      </c>
      <c r="Z12" s="7">
        <f>$B12 * IFERROR(VLOOKUP("industry|SO2|Respiratory hospital admissions", US_national_yearly!$D:$AM, 34, FALSE) / VLOOKUP("industry|SO2|Respiratory hospital admissions", US_national_yearly!$D:$AM, 10, FALSE), 1)</f>
        <v>1.0772496626628778E-4</v>
      </c>
      <c r="AA12" s="7">
        <f>$B12 * IFERROR(VLOOKUP("industry|SO2|Respiratory hospital admissions", US_national_yearly!$D:$AM, 35, FALSE) / VLOOKUP("industry|SO2|Respiratory hospital admissions", US_national_yearly!$D:$AM, 10, FALSE), 1)</f>
        <v>1.0811750698448274E-4</v>
      </c>
      <c r="AB12" s="7">
        <f>$B12 * IFERROR(VLOOKUP("industry|SO2|Respiratory hospital admissions", US_national_yearly!$D:$AM, 36, FALSE) / VLOOKUP("industry|SO2|Respiratory hospital admissions", US_national_yearly!$D:$AM, 10, FALSE), 1)</f>
        <v>1.0851004770267773E-4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5.4304405340409399E-4</v>
      </c>
      <c r="C13" s="7">
        <f>$B13 * IFERROR(VLOOKUP("industry|SO2|Non-fatal heart attacks", US_national_yearly!$D:$AM, 11, FALSE) / VLOOKUP("industry|SO2|Non-fatal heart attacks", US_national_yearly!$D:$AM, 10, FALSE), 1)</f>
        <v>5.5898579043184098E-4</v>
      </c>
      <c r="D13" s="7">
        <f>$B13 * IFERROR(VLOOKUP("industry|SO2|Non-fatal heart attacks", US_national_yearly!$D:$AM, 12, FALSE) / VLOOKUP("industry|SO2|Non-fatal heart attacks", US_national_yearly!$D:$AM, 10, FALSE), 1)</f>
        <v>5.7492752745958787E-4</v>
      </c>
      <c r="E13" s="7">
        <f>$B13 * IFERROR(VLOOKUP("industry|SO2|Non-fatal heart attacks", US_national_yearly!$D:$AM, 13, FALSE) / VLOOKUP("industry|SO2|Non-fatal heart attacks", US_national_yearly!$D:$AM, 10, FALSE), 1)</f>
        <v>5.9086926448733475E-4</v>
      </c>
      <c r="F13" s="7">
        <f>$B13 * IFERROR(VLOOKUP("industry|SO2|Non-fatal heart attacks", US_national_yearly!$D:$AM, 14, FALSE) / VLOOKUP("industry|SO2|Non-fatal heart attacks", US_national_yearly!$D:$AM, 10, FALSE), 1)</f>
        <v>6.0681100151508186E-4</v>
      </c>
      <c r="G13" s="7">
        <f>$B13 * IFERROR(VLOOKUP("industry|SO2|Non-fatal heart attacks", US_national_yearly!$D:$AM, 15, FALSE) / VLOOKUP("industry|SO2|Non-fatal heart attacks", US_national_yearly!$D:$AM, 10, FALSE), 1)</f>
        <v>6.2185553538131864E-4</v>
      </c>
      <c r="H13" s="7">
        <f>$B13 * IFERROR(VLOOKUP("industry|SO2|Non-fatal heart attacks", US_national_yearly!$D:$AM, 16, FALSE) / VLOOKUP("industry|SO2|Non-fatal heart attacks", US_national_yearly!$D:$AM, 10, FALSE), 1)</f>
        <v>6.3690006924755553E-4</v>
      </c>
      <c r="I13" s="7">
        <f>$B13 * IFERROR(VLOOKUP("industry|SO2|Non-fatal heart attacks", US_national_yearly!$D:$AM, 17, FALSE) / VLOOKUP("industry|SO2|Non-fatal heart attacks", US_national_yearly!$D:$AM, 10, FALSE), 1)</f>
        <v>6.4902856766299588E-4</v>
      </c>
      <c r="J13" s="7">
        <f>$B13 * IFERROR(VLOOKUP("industry|SO2|Non-fatal heart attacks", US_national_yearly!$D:$AM, 18, FALSE) / VLOOKUP("industry|SO2|Non-fatal heart attacks", US_national_yearly!$D:$AM, 10, FALSE), 1)</f>
        <v>6.6115706607843645E-4</v>
      </c>
      <c r="K13" s="7">
        <f>$B13 * IFERROR(VLOOKUP("industry|SO2|Non-fatal heart attacks", US_national_yearly!$D:$AM, 19, FALSE) / VLOOKUP("industry|SO2|Non-fatal heart attacks", US_national_yearly!$D:$AM, 10, FALSE), 1)</f>
        <v>6.732855644938768E-4</v>
      </c>
      <c r="L13" s="7">
        <f>$B13 * IFERROR(VLOOKUP("industry|SO2|Non-fatal heart attacks", US_national_yearly!$D:$AM, 20, FALSE) / VLOOKUP("industry|SO2|Non-fatal heart attacks", US_national_yearly!$D:$AM, 10, FALSE), 1)</f>
        <v>6.8541406290931726E-4</v>
      </c>
      <c r="M13" s="7">
        <f>$B13 * IFERROR(VLOOKUP("industry|SO2|Non-fatal heart attacks", US_national_yearly!$D:$AM, 21, FALSE) / VLOOKUP("industry|SO2|Non-fatal heart attacks", US_national_yearly!$D:$AM, 10, FALSE), 1)</f>
        <v>6.9754256132475772E-4</v>
      </c>
      <c r="N13" s="7">
        <f>$B13 * IFERROR(VLOOKUP("industry|SO2|Non-fatal heart attacks", US_national_yearly!$D:$AM, 22, FALSE) / VLOOKUP("industry|SO2|Non-fatal heart attacks", US_national_yearly!$D:$AM, 10, FALSE), 1)</f>
        <v>7.0542188005233322E-4</v>
      </c>
      <c r="O13" s="7">
        <f>$B13 * IFERROR(VLOOKUP("industry|SO2|Non-fatal heart attacks", US_national_yearly!$D:$AM, 23, FALSE) / VLOOKUP("industry|SO2|Non-fatal heart attacks", US_national_yearly!$D:$AM, 10, FALSE), 1)</f>
        <v>7.1330119877990904E-4</v>
      </c>
      <c r="P13" s="7">
        <f>$B13 * IFERROR(VLOOKUP("industry|SO2|Non-fatal heart attacks", US_national_yearly!$D:$AM, 24, FALSE) / VLOOKUP("industry|SO2|Non-fatal heart attacks", US_national_yearly!$D:$AM, 10, FALSE), 1)</f>
        <v>7.2118051750748454E-4</v>
      </c>
      <c r="Q13" s="7">
        <f>$B13 * IFERROR(VLOOKUP("industry|SO2|Non-fatal heart attacks", US_national_yearly!$D:$AM, 25, FALSE) / VLOOKUP("industry|SO2|Non-fatal heart attacks", US_national_yearly!$D:$AM, 10, FALSE), 1)</f>
        <v>7.2905983623506004E-4</v>
      </c>
      <c r="R13" s="7">
        <f>$B13 * IFERROR(VLOOKUP("industry|SO2|Non-fatal heart attacks", US_national_yearly!$D:$AM, 26, FALSE) / VLOOKUP("industry|SO2|Non-fatal heart attacks", US_national_yearly!$D:$AM, 10, FALSE), 1)</f>
        <v>7.3693915496263565E-4</v>
      </c>
      <c r="S13" s="7">
        <f>$B13 * IFERROR(VLOOKUP("industry|SO2|Non-fatal heart attacks", US_national_yearly!$D:$AM, 27, FALSE) / VLOOKUP("industry|SO2|Non-fatal heart attacks", US_national_yearly!$D:$AM, 10, FALSE), 1)</f>
        <v>7.4107748900772519E-4</v>
      </c>
      <c r="T13" s="7">
        <f>$B13 * IFERROR(VLOOKUP("industry|SO2|Non-fatal heart attacks", US_national_yearly!$D:$AM, 28, FALSE) / VLOOKUP("industry|SO2|Non-fatal heart attacks", US_national_yearly!$D:$AM, 10, FALSE), 1)</f>
        <v>7.4521582305281462E-4</v>
      </c>
      <c r="U13" s="7">
        <f>$B13 * IFERROR(VLOOKUP("industry|SO2|Non-fatal heart attacks", US_national_yearly!$D:$AM, 29, FALSE) / VLOOKUP("industry|SO2|Non-fatal heart attacks", US_national_yearly!$D:$AM, 10, FALSE), 1)</f>
        <v>7.4935415709790406E-4</v>
      </c>
      <c r="V13" s="7">
        <f>$B13 * IFERROR(VLOOKUP("industry|SO2|Non-fatal heart attacks", US_national_yearly!$D:$AM, 30, FALSE) / VLOOKUP("industry|SO2|Non-fatal heart attacks", US_national_yearly!$D:$AM, 10, FALSE), 1)</f>
        <v>7.534924911429936E-4</v>
      </c>
      <c r="W13" s="7">
        <f>$B13 * IFERROR(VLOOKUP("industry|SO2|Non-fatal heart attacks", US_national_yearly!$D:$AM, 31, FALSE) / VLOOKUP("industry|SO2|Non-fatal heart attacks", US_national_yearly!$D:$AM, 10, FALSE), 1)</f>
        <v>7.5763082518808303E-4</v>
      </c>
      <c r="X13" s="7">
        <f>$B13 * IFERROR(VLOOKUP("industry|SO2|Non-fatal heart attacks", US_national_yearly!$D:$AM, 32, FALSE) / VLOOKUP("industry|SO2|Non-fatal heart attacks", US_national_yearly!$D:$AM, 10, FALSE), 1)</f>
        <v>7.6077377047501719E-4</v>
      </c>
      <c r="Y13" s="7">
        <f>$B13 * IFERROR(VLOOKUP("industry|SO2|Non-fatal heart attacks", US_national_yearly!$D:$AM, 33, FALSE) / VLOOKUP("industry|SO2|Non-fatal heart attacks", US_national_yearly!$D:$AM, 10, FALSE), 1)</f>
        <v>7.6391671576195145E-4</v>
      </c>
      <c r="Z13" s="7">
        <f>$B13 * IFERROR(VLOOKUP("industry|SO2|Non-fatal heart attacks", US_national_yearly!$D:$AM, 34, FALSE) / VLOOKUP("industry|SO2|Non-fatal heart attacks", US_national_yearly!$D:$AM, 10, FALSE), 1)</f>
        <v>7.6705966104888561E-4</v>
      </c>
      <c r="AA13" s="7">
        <f>$B13 * IFERROR(VLOOKUP("industry|SO2|Non-fatal heart attacks", US_national_yearly!$D:$AM, 35, FALSE) / VLOOKUP("industry|SO2|Non-fatal heart attacks", US_national_yearly!$D:$AM, 10, FALSE), 1)</f>
        <v>7.7020260633581998E-4</v>
      </c>
      <c r="AB13" s="7">
        <f>$B13 * IFERROR(VLOOKUP("industry|SO2|Non-fatal heart attacks", US_national_yearly!$D:$AM, 36, FALSE) / VLOOKUP("industry|SO2|Non-fatal heart attacks", US_national_yearly!$D:$AM, 10, FALSE), 1)</f>
        <v>7.7334555162275414E-4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0.50479072044297901</v>
      </c>
      <c r="C14" s="7">
        <f>$B14 * IFERROR(VLOOKUP("industry|SO2|Minor restricted activity days", US_national_yearly!$D:$AM, 11, FALSE) / VLOOKUP("industry|SO2|Minor restricted activity days", US_national_yearly!$D:$AM, 10, FALSE), 1)</f>
        <v>0.50605339842150321</v>
      </c>
      <c r="D14" s="7">
        <f>$B14 * IFERROR(VLOOKUP("industry|SO2|Minor restricted activity days", US_national_yearly!$D:$AM, 12, FALSE) / VLOOKUP("industry|SO2|Minor restricted activity days", US_national_yearly!$D:$AM, 10, FALSE), 1)</f>
        <v>0.50731607640002718</v>
      </c>
      <c r="E14" s="7">
        <f>$B14 * IFERROR(VLOOKUP("industry|SO2|Minor restricted activity days", US_national_yearly!$D:$AM, 13, FALSE) / VLOOKUP("industry|SO2|Minor restricted activity days", US_national_yearly!$D:$AM, 10, FALSE), 1)</f>
        <v>0.50857875437855138</v>
      </c>
      <c r="F14" s="7">
        <f>$B14 * IFERROR(VLOOKUP("industry|SO2|Minor restricted activity days", US_national_yearly!$D:$AM, 14, FALSE) / VLOOKUP("industry|SO2|Minor restricted activity days", US_national_yearly!$D:$AM, 10, FALSE), 1)</f>
        <v>0.50984143235707557</v>
      </c>
      <c r="G14" s="7">
        <f>$B14 * IFERROR(VLOOKUP("industry|SO2|Minor restricted activity days", US_national_yearly!$D:$AM, 15, FALSE) / VLOOKUP("industry|SO2|Minor restricted activity days", US_national_yearly!$D:$AM, 10, FALSE), 1)</f>
        <v>0.51169895198064297</v>
      </c>
      <c r="H14" s="7">
        <f>$B14 * IFERROR(VLOOKUP("industry|SO2|Minor restricted activity days", US_national_yearly!$D:$AM, 16, FALSE) / VLOOKUP("industry|SO2|Minor restricted activity days", US_national_yearly!$D:$AM, 10, FALSE), 1)</f>
        <v>0.51355647160421036</v>
      </c>
      <c r="I14" s="7">
        <f>$B14 * IFERROR(VLOOKUP("industry|SO2|Minor restricted activity days", US_national_yearly!$D:$AM, 17, FALSE) / VLOOKUP("industry|SO2|Minor restricted activity days", US_national_yearly!$D:$AM, 10, FALSE), 1)</f>
        <v>0.51672410441971617</v>
      </c>
      <c r="J14" s="7">
        <f>$B14 * IFERROR(VLOOKUP("industry|SO2|Minor restricted activity days", US_national_yearly!$D:$AM, 18, FALSE) / VLOOKUP("industry|SO2|Minor restricted activity days", US_national_yearly!$D:$AM, 10, FALSE), 1)</f>
        <v>0.51989173723522197</v>
      </c>
      <c r="K14" s="7">
        <f>$B14 * IFERROR(VLOOKUP("industry|SO2|Minor restricted activity days", US_national_yearly!$D:$AM, 19, FALSE) / VLOOKUP("industry|SO2|Minor restricted activity days", US_national_yearly!$D:$AM, 10, FALSE), 1)</f>
        <v>0.52305937005072778</v>
      </c>
      <c r="L14" s="7">
        <f>$B14 * IFERROR(VLOOKUP("industry|SO2|Minor restricted activity days", US_national_yearly!$D:$AM, 20, FALSE) / VLOOKUP("industry|SO2|Minor restricted activity days", US_national_yearly!$D:$AM, 10, FALSE), 1)</f>
        <v>0.52622700286623358</v>
      </c>
      <c r="M14" s="7">
        <f>$B14 * IFERROR(VLOOKUP("industry|SO2|Minor restricted activity days", US_national_yearly!$D:$AM, 21, FALSE) / VLOOKUP("industry|SO2|Minor restricted activity days", US_national_yearly!$D:$AM, 10, FALSE), 1)</f>
        <v>0.52939463568173939</v>
      </c>
      <c r="N14" s="7">
        <f>$B14 * IFERROR(VLOOKUP("industry|SO2|Minor restricted activity days", US_national_yearly!$D:$AM, 22, FALSE) / VLOOKUP("industry|SO2|Minor restricted activity days", US_national_yearly!$D:$AM, 10, FALSE), 1)</f>
        <v>0.53373784123418522</v>
      </c>
      <c r="O14" s="7">
        <f>$B14 * IFERROR(VLOOKUP("industry|SO2|Minor restricted activity days", US_national_yearly!$D:$AM, 23, FALSE) / VLOOKUP("industry|SO2|Minor restricted activity days", US_national_yearly!$D:$AM, 10, FALSE), 1)</f>
        <v>0.53808104678663116</v>
      </c>
      <c r="P14" s="7">
        <f>$B14 * IFERROR(VLOOKUP("industry|SO2|Minor restricted activity days", US_national_yearly!$D:$AM, 24, FALSE) / VLOOKUP("industry|SO2|Minor restricted activity days", US_national_yearly!$D:$AM, 10, FALSE), 1)</f>
        <v>0.54242425233907698</v>
      </c>
      <c r="Q14" s="7">
        <f>$B14 * IFERROR(VLOOKUP("industry|SO2|Minor restricted activity days", US_national_yearly!$D:$AM, 25, FALSE) / VLOOKUP("industry|SO2|Minor restricted activity days", US_national_yearly!$D:$AM, 10, FALSE), 1)</f>
        <v>0.54676745789152292</v>
      </c>
      <c r="R14" s="7">
        <f>$B14 * IFERROR(VLOOKUP("industry|SO2|Minor restricted activity days", US_national_yearly!$D:$AM, 26, FALSE) / VLOOKUP("industry|SO2|Minor restricted activity days", US_national_yearly!$D:$AM, 10, FALSE), 1)</f>
        <v>0.55111066344396875</v>
      </c>
      <c r="S14" s="7">
        <f>$B14 * IFERROR(VLOOKUP("industry|SO2|Minor restricted activity days", US_national_yearly!$D:$AM, 27, FALSE) / VLOOKUP("industry|SO2|Minor restricted activity days", US_national_yearly!$D:$AM, 10, FALSE), 1)</f>
        <v>0.55554325547613737</v>
      </c>
      <c r="T14" s="7">
        <f>$B14 * IFERROR(VLOOKUP("industry|SO2|Minor restricted activity days", US_national_yearly!$D:$AM, 28, FALSE) / VLOOKUP("industry|SO2|Minor restricted activity days", US_national_yearly!$D:$AM, 10, FALSE), 1)</f>
        <v>0.55997584750830598</v>
      </c>
      <c r="U14" s="7">
        <f>$B14 * IFERROR(VLOOKUP("industry|SO2|Minor restricted activity days", US_national_yearly!$D:$AM, 29, FALSE) / VLOOKUP("industry|SO2|Minor restricted activity days", US_national_yearly!$D:$AM, 10, FALSE), 1)</f>
        <v>0.56440843954047459</v>
      </c>
      <c r="V14" s="7">
        <f>$B14 * IFERROR(VLOOKUP("industry|SO2|Minor restricted activity days", US_national_yearly!$D:$AM, 30, FALSE) / VLOOKUP("industry|SO2|Minor restricted activity days", US_national_yearly!$D:$AM, 10, FALSE), 1)</f>
        <v>0.56884103157264321</v>
      </c>
      <c r="W14" s="7">
        <f>$B14 * IFERROR(VLOOKUP("industry|SO2|Minor restricted activity days", US_national_yearly!$D:$AM, 31, FALSE) / VLOOKUP("industry|SO2|Minor restricted activity days", US_national_yearly!$D:$AM, 10, FALSE), 1)</f>
        <v>0.57327362360481182</v>
      </c>
      <c r="X14" s="7">
        <f>$B14 * IFERROR(VLOOKUP("industry|SO2|Minor restricted activity days", US_national_yearly!$D:$AM, 32, FALSE) / VLOOKUP("industry|SO2|Minor restricted activity days", US_national_yearly!$D:$AM, 10, FALSE), 1)</f>
        <v>0.57717116679414171</v>
      </c>
      <c r="Y14" s="7">
        <f>$B14 * IFERROR(VLOOKUP("industry|SO2|Minor restricted activity days", US_national_yearly!$D:$AM, 33, FALSE) / VLOOKUP("industry|SO2|Minor restricted activity days", US_national_yearly!$D:$AM, 10, FALSE), 1)</f>
        <v>0.5810687099834716</v>
      </c>
      <c r="Z14" s="7">
        <f>$B14 * IFERROR(VLOOKUP("industry|SO2|Minor restricted activity days", US_national_yearly!$D:$AM, 34, FALSE) / VLOOKUP("industry|SO2|Minor restricted activity days", US_national_yearly!$D:$AM, 10, FALSE), 1)</f>
        <v>0.58496625317280138</v>
      </c>
      <c r="AA14" s="7">
        <f>$B14 * IFERROR(VLOOKUP("industry|SO2|Minor restricted activity days", US_national_yearly!$D:$AM, 35, FALSE) / VLOOKUP("industry|SO2|Minor restricted activity days", US_national_yearly!$D:$AM, 10, FALSE), 1)</f>
        <v>0.58886379636213115</v>
      </c>
      <c r="AB14" s="7">
        <f>$B14 * IFERROR(VLOOKUP("industry|SO2|Minor restricted activity days", US_national_yearly!$D:$AM, 36, FALSE) / VLOOKUP("industry|SO2|Minor restricted activity days", US_national_yearly!$D:$AM, 10, FALSE), 1)</f>
        <v>0.59276133955146115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8.5690910298820824E-2</v>
      </c>
      <c r="C15" s="7">
        <f>$B15 * IFERROR(VLOOKUP("industry|SO2|Work loss days", US_national_yearly!$D:$AM, 11, FALSE) / VLOOKUP("industry|SO2|Work loss days", US_national_yearly!$D:$AM, 10, FALSE), 1)</f>
        <v>8.5966482585250942E-2</v>
      </c>
      <c r="D15" s="7">
        <f>$B15 * IFERROR(VLOOKUP("industry|SO2|Work loss days", US_national_yearly!$D:$AM, 12, FALSE) / VLOOKUP("industry|SO2|Work loss days", US_national_yearly!$D:$AM, 10, FALSE), 1)</f>
        <v>8.6242054871681101E-2</v>
      </c>
      <c r="E15" s="7">
        <f>$B15 * IFERROR(VLOOKUP("industry|SO2|Work loss days", US_national_yearly!$D:$AM, 13, FALSE) / VLOOKUP("industry|SO2|Work loss days", US_national_yearly!$D:$AM, 10, FALSE), 1)</f>
        <v>8.6517627158111218E-2</v>
      </c>
      <c r="F15" s="7">
        <f>$B15 * IFERROR(VLOOKUP("industry|SO2|Work loss days", US_national_yearly!$D:$AM, 14, FALSE) / VLOOKUP("industry|SO2|Work loss days", US_national_yearly!$D:$AM, 10, FALSE), 1)</f>
        <v>8.6793199444541377E-2</v>
      </c>
      <c r="G15" s="7">
        <f>$B15 * IFERROR(VLOOKUP("industry|SO2|Work loss days", US_national_yearly!$D:$AM, 15, FALSE) / VLOOKUP("industry|SO2|Work loss days", US_national_yearly!$D:$AM, 10, FALSE), 1)</f>
        <v>8.7152895748493803E-2</v>
      </c>
      <c r="H15" s="7">
        <f>$B15 * IFERROR(VLOOKUP("industry|SO2|Work loss days", US_national_yearly!$D:$AM, 16, FALSE) / VLOOKUP("industry|SO2|Work loss days", US_national_yearly!$D:$AM, 10, FALSE), 1)</f>
        <v>8.7512592052446228E-2</v>
      </c>
      <c r="I15" s="7">
        <f>$B15 * IFERROR(VLOOKUP("industry|SO2|Work loss days", US_national_yearly!$D:$AM, 17, FALSE) / VLOOKUP("industry|SO2|Work loss days", US_national_yearly!$D:$AM, 10, FALSE), 1)</f>
        <v>8.8038366691489053E-2</v>
      </c>
      <c r="J15" s="7">
        <f>$B15 * IFERROR(VLOOKUP("industry|SO2|Work loss days", US_national_yearly!$D:$AM, 18, FALSE) / VLOOKUP("industry|SO2|Work loss days", US_national_yearly!$D:$AM, 10, FALSE), 1)</f>
        <v>8.8564141330531851E-2</v>
      </c>
      <c r="K15" s="7">
        <f>$B15 * IFERROR(VLOOKUP("industry|SO2|Work loss days", US_national_yearly!$D:$AM, 19, FALSE) / VLOOKUP("industry|SO2|Work loss days", US_national_yearly!$D:$AM, 10, FALSE), 1)</f>
        <v>8.9089915969574648E-2</v>
      </c>
      <c r="L15" s="7">
        <f>$B15 * IFERROR(VLOOKUP("industry|SO2|Work loss days", US_national_yearly!$D:$AM, 20, FALSE) / VLOOKUP("industry|SO2|Work loss days", US_national_yearly!$D:$AM, 10, FALSE), 1)</f>
        <v>8.961569060861746E-2</v>
      </c>
      <c r="M15" s="7">
        <f>$B15 * IFERROR(VLOOKUP("industry|SO2|Work loss days", US_national_yearly!$D:$AM, 21, FALSE) / VLOOKUP("industry|SO2|Work loss days", US_national_yearly!$D:$AM, 10, FALSE), 1)</f>
        <v>9.0141465247660271E-2</v>
      </c>
      <c r="N15" s="7">
        <f>$B15 * IFERROR(VLOOKUP("industry|SO2|Work loss days", US_national_yearly!$D:$AM, 22, FALSE) / VLOOKUP("industry|SO2|Work loss days", US_national_yearly!$D:$AM, 10, FALSE), 1)</f>
        <v>9.0802286564745593E-2</v>
      </c>
      <c r="O15" s="7">
        <f>$B15 * IFERROR(VLOOKUP("industry|SO2|Work loss days", US_national_yearly!$D:$AM, 23, FALSE) / VLOOKUP("industry|SO2|Work loss days", US_national_yearly!$D:$AM, 10, FALSE), 1)</f>
        <v>9.146310788183093E-2</v>
      </c>
      <c r="P15" s="7">
        <f>$B15 * IFERROR(VLOOKUP("industry|SO2|Work loss days", US_national_yearly!$D:$AM, 24, FALSE) / VLOOKUP("industry|SO2|Work loss days", US_national_yearly!$D:$AM, 10, FALSE), 1)</f>
        <v>9.2123929198916252E-2</v>
      </c>
      <c r="Q15" s="7">
        <f>$B15 * IFERROR(VLOOKUP("industry|SO2|Work loss days", US_national_yearly!$D:$AM, 25, FALSE) / VLOOKUP("industry|SO2|Work loss days", US_national_yearly!$D:$AM, 10, FALSE), 1)</f>
        <v>9.2784750516001588E-2</v>
      </c>
      <c r="R15" s="7">
        <f>$B15 * IFERROR(VLOOKUP("industry|SO2|Work loss days", US_national_yearly!$D:$AM, 26, FALSE) / VLOOKUP("industry|SO2|Work loss days", US_national_yearly!$D:$AM, 10, FALSE), 1)</f>
        <v>9.3445571833086924E-2</v>
      </c>
      <c r="S15" s="7">
        <f>$B15 * IFERROR(VLOOKUP("industry|SO2|Work loss days", US_national_yearly!$D:$AM, 27, FALSE) / VLOOKUP("industry|SO2|Work loss days", US_national_yearly!$D:$AM, 10, FALSE), 1)</f>
        <v>9.4185003652727875E-2</v>
      </c>
      <c r="T15" s="7">
        <f>$B15 * IFERROR(VLOOKUP("industry|SO2|Work loss days", US_national_yearly!$D:$AM, 28, FALSE) / VLOOKUP("industry|SO2|Work loss days", US_national_yearly!$D:$AM, 10, FALSE), 1)</f>
        <v>9.4924435472368868E-2</v>
      </c>
      <c r="U15" s="7">
        <f>$B15 * IFERROR(VLOOKUP("industry|SO2|Work loss days", US_national_yearly!$D:$AM, 29, FALSE) / VLOOKUP("industry|SO2|Work loss days", US_national_yearly!$D:$AM, 10, FALSE), 1)</f>
        <v>9.566386729200986E-2</v>
      </c>
      <c r="V15" s="7">
        <f>$B15 * IFERROR(VLOOKUP("industry|SO2|Work loss days", US_national_yearly!$D:$AM, 30, FALSE) / VLOOKUP("industry|SO2|Work loss days", US_national_yearly!$D:$AM, 10, FALSE), 1)</f>
        <v>9.6403299111650825E-2</v>
      </c>
      <c r="W15" s="7">
        <f>$B15 * IFERROR(VLOOKUP("industry|SO2|Work loss days", US_national_yearly!$D:$AM, 31, FALSE) / VLOOKUP("industry|SO2|Work loss days", US_national_yearly!$D:$AM, 10, FALSE), 1)</f>
        <v>9.7142730931291804E-2</v>
      </c>
      <c r="X15" s="7">
        <f>$B15 * IFERROR(VLOOKUP("industry|SO2|Work loss days", US_national_yearly!$D:$AM, 32, FALSE) / VLOOKUP("industry|SO2|Work loss days", US_national_yearly!$D:$AM, 10, FALSE), 1)</f>
        <v>9.7806868548399262E-2</v>
      </c>
      <c r="Y15" s="7">
        <f>$B15 * IFERROR(VLOOKUP("industry|SO2|Work loss days", US_national_yearly!$D:$AM, 33, FALSE) / VLOOKUP("industry|SO2|Work loss days", US_national_yearly!$D:$AM, 10, FALSE), 1)</f>
        <v>9.8471006165506747E-2</v>
      </c>
      <c r="Z15" s="7">
        <f>$B15 * IFERROR(VLOOKUP("industry|SO2|Work loss days", US_national_yearly!$D:$AM, 34, FALSE) / VLOOKUP("industry|SO2|Work loss days", US_national_yearly!$D:$AM, 10, FALSE), 1)</f>
        <v>9.9135143782614177E-2</v>
      </c>
      <c r="AA15" s="7">
        <f>$B15 * IFERROR(VLOOKUP("industry|SO2|Work loss days", US_national_yearly!$D:$AM, 35, FALSE) / VLOOKUP("industry|SO2|Work loss days", US_national_yearly!$D:$AM, 10, FALSE), 1)</f>
        <v>9.9799281399721662E-2</v>
      </c>
      <c r="AB15" s="7">
        <f>$B15 * IFERROR(VLOOKUP("industry|SO2|Work loss days", US_national_yearly!$D:$AM, 36, FALSE) / VLOOKUP("industry|SO2|Work loss days", US_national_yearly!$D:$AM, 10, FALSE), 1)</f>
        <v>0.10046341901682912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1.4172417427264457E-4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1.4600951598112957E-4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1.5029485768961457E-4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1.5458019939809959E-4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1.5886554110658462E-4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1.6297244414705314E-4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1.6707934718752167E-4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1.7060321380573204E-4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1.7412708042394246E-4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1.7765094704215285E-4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1.8117481366036327E-4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1.8469868027857364E-4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1.870662048901814E-4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1.8943372950178919E-4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1.9180125411339693E-4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1.9416877872500472E-4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1.9653630333661248E-4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1.9778815856606863E-4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1.990400137955248E-4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2.0029186902498095E-4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2.0154372425443715E-4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2.0279557948389327E-4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2.0364216553254167E-4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2.0448875158119006E-4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2.0533533762983849E-4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2.0618192367848691E-4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2.0702850972713528E-4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1.6132095921973778E-5</v>
      </c>
      <c r="C2" s="7">
        <f>$B2 * IFERROR(VLOOKUP("LULUCF|PM25|Premature mortality", US_national_yearly!$D:$AM, 11, FALSE) / VLOOKUP("LULUCF|PM25|Premature mortality", US_national_yearly!$D:$AM, 10, FALSE), 1)</f>
        <v>1.6332098558141729E-5</v>
      </c>
      <c r="D2" s="7">
        <f>$B2 * IFERROR(VLOOKUP("LULUCF|PM25|Premature mortality", US_national_yearly!$D:$AM, 12, FALSE) / VLOOKUP("LULUCF|PM25|Premature mortality", US_national_yearly!$D:$AM, 10, FALSE), 1)</f>
        <v>1.6532101194309676E-5</v>
      </c>
      <c r="E2" s="7">
        <f>$B2 * IFERROR(VLOOKUP("LULUCF|PM25|Premature mortality", US_national_yearly!$D:$AM, 13, FALSE) / VLOOKUP("LULUCF|PM25|Premature mortality", US_national_yearly!$D:$AM, 10, FALSE), 1)</f>
        <v>1.6732103830477624E-5</v>
      </c>
      <c r="F2" s="7">
        <f>$B2 * IFERROR(VLOOKUP("LULUCF|PM25|Premature mortality", US_national_yearly!$D:$AM, 14, FALSE) / VLOOKUP("LULUCF|PM25|Premature mortality", US_national_yearly!$D:$AM, 10, FALSE), 1)</f>
        <v>1.6932106466645568E-5</v>
      </c>
      <c r="G2" s="7">
        <f>$B2 * IFERROR(VLOOKUP("LULUCF|PM25|Premature mortality", US_national_yearly!$D:$AM, 15, FALSE) / VLOOKUP("LULUCF|PM25|Premature mortality", US_national_yearly!$D:$AM, 10, FALSE), 1)</f>
        <v>1.7321610092198473E-5</v>
      </c>
      <c r="H2" s="7">
        <f>$B2 * IFERROR(VLOOKUP("LULUCF|PM25|Premature mortality", US_national_yearly!$D:$AM, 16, FALSE) / VLOOKUP("LULUCF|PM25|Premature mortality", US_national_yearly!$D:$AM, 10, FALSE), 1)</f>
        <v>1.7711113717751375E-5</v>
      </c>
      <c r="I2" s="7">
        <f>$B2 * IFERROR(VLOOKUP("LULUCF|PM25|Premature mortality", US_national_yearly!$D:$AM, 17, FALSE) / VLOOKUP("LULUCF|PM25|Premature mortality", US_national_yearly!$D:$AM, 10, FALSE), 1)</f>
        <v>1.7966956095222392E-5</v>
      </c>
      <c r="J2" s="7">
        <f>$B2 * IFERROR(VLOOKUP("LULUCF|PM25|Premature mortality", US_national_yearly!$D:$AM, 18, FALSE) / VLOOKUP("LULUCF|PM25|Premature mortality", US_national_yearly!$D:$AM, 10, FALSE), 1)</f>
        <v>1.8222798472693413E-5</v>
      </c>
      <c r="K2" s="7">
        <f>$B2 * IFERROR(VLOOKUP("LULUCF|PM25|Premature mortality", US_national_yearly!$D:$AM, 19, FALSE) / VLOOKUP("LULUCF|PM25|Premature mortality", US_national_yearly!$D:$AM, 10, FALSE), 1)</f>
        <v>1.8478640850164434E-5</v>
      </c>
      <c r="L2" s="7">
        <f>$B2 * IFERROR(VLOOKUP("LULUCF|PM25|Premature mortality", US_national_yearly!$D:$AM, 20, FALSE) / VLOOKUP("LULUCF|PM25|Premature mortality", US_national_yearly!$D:$AM, 10, FALSE), 1)</f>
        <v>1.8734483227635454E-5</v>
      </c>
      <c r="M2" s="7">
        <f>$B2 * IFERROR(VLOOKUP("LULUCF|PM25|Premature mortality", US_national_yearly!$D:$AM, 21, FALSE) / VLOOKUP("LULUCF|PM25|Premature mortality", US_national_yearly!$D:$AM, 10, FALSE), 1)</f>
        <v>1.8990325605106475E-5</v>
      </c>
      <c r="N2" s="7">
        <f>$B2 * IFERROR(VLOOKUP("LULUCF|PM25|Premature mortality", US_national_yearly!$D:$AM, 22, FALSE) / VLOOKUP("LULUCF|PM25|Premature mortality", US_national_yearly!$D:$AM, 10, FALSE), 1)</f>
        <v>1.9188970928370367E-5</v>
      </c>
      <c r="O2" s="7">
        <f>$B2 * IFERROR(VLOOKUP("LULUCF|PM25|Premature mortality", US_national_yearly!$D:$AM, 23, FALSE) / VLOOKUP("LULUCF|PM25|Premature mortality", US_national_yearly!$D:$AM, 10, FALSE), 1)</f>
        <v>1.9387616251634259E-5</v>
      </c>
      <c r="P2" s="7">
        <f>$B2 * IFERROR(VLOOKUP("LULUCF|PM25|Premature mortality", US_national_yearly!$D:$AM, 24, FALSE) / VLOOKUP("LULUCF|PM25|Premature mortality", US_national_yearly!$D:$AM, 10, FALSE), 1)</f>
        <v>1.958626157489815E-5</v>
      </c>
      <c r="Q2" s="7">
        <f>$B2 * IFERROR(VLOOKUP("LULUCF|PM25|Premature mortality", US_national_yearly!$D:$AM, 25, FALSE) / VLOOKUP("LULUCF|PM25|Premature mortality", US_national_yearly!$D:$AM, 10, FALSE), 1)</f>
        <v>1.9784906898162042E-5</v>
      </c>
      <c r="R2" s="7">
        <f>$B2 * IFERROR(VLOOKUP("LULUCF|PM25|Premature mortality", US_national_yearly!$D:$AM, 26, FALSE) / VLOOKUP("LULUCF|PM25|Premature mortality", US_national_yearly!$D:$AM, 10, FALSE), 1)</f>
        <v>1.9983552221425937E-5</v>
      </c>
      <c r="S2" s="7">
        <f>$B2 * IFERROR(VLOOKUP("LULUCF|PM25|Premature mortality", US_national_yearly!$D:$AM, 27, FALSE) / VLOOKUP("LULUCF|PM25|Premature mortality", US_national_yearly!$D:$AM, 10, FALSE), 1)</f>
        <v>2.0088788611741879E-5</v>
      </c>
      <c r="T2" s="7">
        <f>$B2 * IFERROR(VLOOKUP("LULUCF|PM25|Premature mortality", US_national_yearly!$D:$AM, 28, FALSE) / VLOOKUP("LULUCF|PM25|Premature mortality", US_national_yearly!$D:$AM, 10, FALSE), 1)</f>
        <v>2.0194025002057818E-5</v>
      </c>
      <c r="U2" s="7">
        <f>$B2 * IFERROR(VLOOKUP("LULUCF|PM25|Premature mortality", US_national_yearly!$D:$AM, 29, FALSE) / VLOOKUP("LULUCF|PM25|Premature mortality", US_national_yearly!$D:$AM, 10, FALSE), 1)</f>
        <v>2.0299261392373753E-5</v>
      </c>
      <c r="V2" s="7">
        <f>$B2 * IFERROR(VLOOKUP("LULUCF|PM25|Premature mortality", US_national_yearly!$D:$AM, 30, FALSE) / VLOOKUP("LULUCF|PM25|Premature mortality", US_national_yearly!$D:$AM, 10, FALSE), 1)</f>
        <v>2.0404497782689691E-5</v>
      </c>
      <c r="W2" s="7">
        <f>$B2 * IFERROR(VLOOKUP("LULUCF|PM25|Premature mortality", US_national_yearly!$D:$AM, 31, FALSE) / VLOOKUP("LULUCF|PM25|Premature mortality", US_national_yearly!$D:$AM, 10, FALSE), 1)</f>
        <v>2.0509734173005627E-5</v>
      </c>
      <c r="X2" s="7">
        <f>$B2 * IFERROR(VLOOKUP("LULUCF|PM25|Premature mortality", US_national_yearly!$D:$AM, 32, FALSE) / VLOOKUP("LULUCF|PM25|Premature mortality", US_national_yearly!$D:$AM, 10, FALSE), 1)</f>
        <v>2.0528135569912241E-5</v>
      </c>
      <c r="Y2" s="7">
        <f>$B2 * IFERROR(VLOOKUP("LULUCF|PM25|Premature mortality", US_national_yearly!$D:$AM, 33, FALSE) / VLOOKUP("LULUCF|PM25|Premature mortality", US_national_yearly!$D:$AM, 10, FALSE), 1)</f>
        <v>2.0546536966818858E-5</v>
      </c>
      <c r="Z2" s="7">
        <f>$B2 * IFERROR(VLOOKUP("LULUCF|PM25|Premature mortality", US_national_yearly!$D:$AM, 34, FALSE) / VLOOKUP("LULUCF|PM25|Premature mortality", US_national_yearly!$D:$AM, 10, FALSE), 1)</f>
        <v>2.0564938363725472E-5</v>
      </c>
      <c r="AA2" s="7">
        <f>$B2 * IFERROR(VLOOKUP("LULUCF|PM25|Premature mortality", US_national_yearly!$D:$AM, 35, FALSE) / VLOOKUP("LULUCF|PM25|Premature mortality", US_national_yearly!$D:$AM, 10, FALSE), 1)</f>
        <v>2.058333976063209E-5</v>
      </c>
      <c r="AB2" s="7">
        <f>$B2 * IFERROR(VLOOKUP("LULUCF|PM25|Premature mortality", US_national_yearly!$D:$AM, 36, FALSE) / VLOOKUP("LULUCF|PM25|Premature mortality", US_national_yearly!$D:$AM, 10, FALSE), 1)</f>
        <v>2.0601741157538708E-5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5.2885059523696287E-8</v>
      </c>
      <c r="C3" s="7">
        <f>$B3 * IFERROR(VLOOKUP("LULUCF|PM25|Infant mortality", US_national_yearly!$D:$AM, 11, FALSE) / VLOOKUP("LULUCF|PM25|Infant mortality", US_national_yearly!$D:$AM, 10, FALSE), 1)</f>
        <v>5.2423950062610443E-8</v>
      </c>
      <c r="D3" s="7">
        <f>$B3 * IFERROR(VLOOKUP("LULUCF|PM25|Infant mortality", US_national_yearly!$D:$AM, 12, FALSE) / VLOOKUP("LULUCF|PM25|Infant mortality", US_national_yearly!$D:$AM, 10, FALSE), 1)</f>
        <v>5.1962840601524599E-8</v>
      </c>
      <c r="E3" s="7">
        <f>$B3 * IFERROR(VLOOKUP("LULUCF|PM25|Infant mortality", US_national_yearly!$D:$AM, 13, FALSE) / VLOOKUP("LULUCF|PM25|Infant mortality", US_national_yearly!$D:$AM, 10, FALSE), 1)</f>
        <v>5.1501731140438755E-8</v>
      </c>
      <c r="F3" s="7">
        <f>$B3 * IFERROR(VLOOKUP("LULUCF|PM25|Infant mortality", US_national_yearly!$D:$AM, 14, FALSE) / VLOOKUP("LULUCF|PM25|Infant mortality", US_national_yearly!$D:$AM, 10, FALSE), 1)</f>
        <v>5.1040621679352904E-8</v>
      </c>
      <c r="G3" s="7">
        <f>$B3 * IFERROR(VLOOKUP("LULUCF|PM25|Infant mortality", US_national_yearly!$D:$AM, 15, FALSE) / VLOOKUP("LULUCF|PM25|Infant mortality", US_national_yearly!$D:$AM, 10, FALSE), 1)</f>
        <v>3.3944743679463048E-8</v>
      </c>
      <c r="H3" s="7">
        <f>$B3 * IFERROR(VLOOKUP("LULUCF|PM25|Infant mortality", US_national_yearly!$D:$AM, 16, FALSE) / VLOOKUP("LULUCF|PM25|Infant mortality", US_national_yearly!$D:$AM, 10, FALSE), 1)</f>
        <v>1.6848865679573184E-8</v>
      </c>
      <c r="I3" s="7">
        <f>$B3 * IFERROR(VLOOKUP("LULUCF|PM25|Infant mortality", US_national_yearly!$D:$AM, 17, FALSE) / VLOOKUP("LULUCF|PM25|Infant mortality", US_national_yearly!$D:$AM, 10, FALSE), 1)</f>
        <v>1.6738730510513118E-8</v>
      </c>
      <c r="J3" s="7">
        <f>$B3 * IFERROR(VLOOKUP("LULUCF|PM25|Infant mortality", US_national_yearly!$D:$AM, 18, FALSE) / VLOOKUP("LULUCF|PM25|Infant mortality", US_national_yearly!$D:$AM, 10, FALSE), 1)</f>
        <v>1.6628595341453049E-8</v>
      </c>
      <c r="K3" s="7">
        <f>$B3 * IFERROR(VLOOKUP("LULUCF|PM25|Infant mortality", US_national_yearly!$D:$AM, 19, FALSE) / VLOOKUP("LULUCF|PM25|Infant mortality", US_national_yearly!$D:$AM, 10, FALSE), 1)</f>
        <v>1.6518460172392977E-8</v>
      </c>
      <c r="L3" s="7">
        <f>$B3 * IFERROR(VLOOKUP("LULUCF|PM25|Infant mortality", US_national_yearly!$D:$AM, 20, FALSE) / VLOOKUP("LULUCF|PM25|Infant mortality", US_national_yearly!$D:$AM, 10, FALSE), 1)</f>
        <v>1.6408325003332911E-8</v>
      </c>
      <c r="M3" s="7">
        <f>$B3 * IFERROR(VLOOKUP("LULUCF|PM25|Infant mortality", US_national_yearly!$D:$AM, 21, FALSE) / VLOOKUP("LULUCF|PM25|Infant mortality", US_national_yearly!$D:$AM, 10, FALSE), 1)</f>
        <v>1.6298189834272841E-8</v>
      </c>
      <c r="N3" s="7">
        <f>$B3 * IFERROR(VLOOKUP("LULUCF|PM25|Infant mortality", US_national_yearly!$D:$AM, 22, FALSE) / VLOOKUP("LULUCF|PM25|Infant mortality", US_national_yearly!$D:$AM, 10, FALSE), 1)</f>
        <v>1.6229012754949067E-8</v>
      </c>
      <c r="O3" s="7">
        <f>$B3 * IFERROR(VLOOKUP("LULUCF|PM25|Infant mortality", US_national_yearly!$D:$AM, 23, FALSE) / VLOOKUP("LULUCF|PM25|Infant mortality", US_national_yearly!$D:$AM, 10, FALSE), 1)</f>
        <v>1.6159835675625293E-8</v>
      </c>
      <c r="P3" s="7">
        <f>$B3 * IFERROR(VLOOKUP("LULUCF|PM25|Infant mortality", US_national_yearly!$D:$AM, 24, FALSE) / VLOOKUP("LULUCF|PM25|Infant mortality", US_national_yearly!$D:$AM, 10, FALSE), 1)</f>
        <v>1.6090658596301512E-8</v>
      </c>
      <c r="Q3" s="7">
        <f>$B3 * IFERROR(VLOOKUP("LULUCF|PM25|Infant mortality", US_national_yearly!$D:$AM, 25, FALSE) / VLOOKUP("LULUCF|PM25|Infant mortality", US_national_yearly!$D:$AM, 10, FALSE), 1)</f>
        <v>1.6021481516977738E-8</v>
      </c>
      <c r="R3" s="7">
        <f>$B3 * IFERROR(VLOOKUP("LULUCF|PM25|Infant mortality", US_national_yearly!$D:$AM, 26, FALSE) / VLOOKUP("LULUCF|PM25|Infant mortality", US_national_yearly!$D:$AM, 10, FALSE), 1)</f>
        <v>1.5952304437653964E-8</v>
      </c>
      <c r="S3" s="7">
        <f>$B3 * IFERROR(VLOOKUP("LULUCF|PM25|Infant mortality", US_national_yearly!$D:$AM, 27, FALSE) / VLOOKUP("LULUCF|PM25|Infant mortality", US_national_yearly!$D:$AM, 10, FALSE), 1)</f>
        <v>1.5866073793840901E-8</v>
      </c>
      <c r="T3" s="7">
        <f>$B3 * IFERROR(VLOOKUP("LULUCF|PM25|Infant mortality", US_national_yearly!$D:$AM, 28, FALSE) / VLOOKUP("LULUCF|PM25|Infant mortality", US_national_yearly!$D:$AM, 10, FALSE), 1)</f>
        <v>1.5779843150027835E-8</v>
      </c>
      <c r="U3" s="7">
        <f>$B3 * IFERROR(VLOOKUP("LULUCF|PM25|Infant mortality", US_national_yearly!$D:$AM, 29, FALSE) / VLOOKUP("LULUCF|PM25|Infant mortality", US_national_yearly!$D:$AM, 10, FALSE), 1)</f>
        <v>1.5693612506214772E-8</v>
      </c>
      <c r="V3" s="7">
        <f>$B3 * IFERROR(VLOOKUP("LULUCF|PM25|Infant mortality", US_national_yearly!$D:$AM, 30, FALSE) / VLOOKUP("LULUCF|PM25|Infant mortality", US_national_yearly!$D:$AM, 10, FALSE), 1)</f>
        <v>1.5607381862401713E-8</v>
      </c>
      <c r="W3" s="7">
        <f>$B3 * IFERROR(VLOOKUP("LULUCF|PM25|Infant mortality", US_national_yearly!$D:$AM, 31, FALSE) / VLOOKUP("LULUCF|PM25|Infant mortality", US_national_yearly!$D:$AM, 10, FALSE), 1)</f>
        <v>1.5521151218588647E-8</v>
      </c>
      <c r="X3" s="7">
        <f>$B3 * IFERROR(VLOOKUP("LULUCF|PM25|Infant mortality", US_national_yearly!$D:$AM, 32, FALSE) / VLOOKUP("LULUCF|PM25|Infant mortality", US_national_yearly!$D:$AM, 10, FALSE), 1)</f>
        <v>1.5428183746503282E-8</v>
      </c>
      <c r="Y3" s="7">
        <f>$B3 * IFERROR(VLOOKUP("LULUCF|PM25|Infant mortality", US_national_yearly!$D:$AM, 33, FALSE) / VLOOKUP("LULUCF|PM25|Infant mortality", US_national_yearly!$D:$AM, 10, FALSE), 1)</f>
        <v>1.533521627441791E-8</v>
      </c>
      <c r="Z3" s="7">
        <f>$B3 * IFERROR(VLOOKUP("LULUCF|PM25|Infant mortality", US_national_yearly!$D:$AM, 34, FALSE) / VLOOKUP("LULUCF|PM25|Infant mortality", US_national_yearly!$D:$AM, 10, FALSE), 1)</f>
        <v>1.5242248802332542E-8</v>
      </c>
      <c r="AA3" s="7">
        <f>$B3 * IFERROR(VLOOKUP("LULUCF|PM25|Infant mortality", US_national_yearly!$D:$AM, 35, FALSE) / VLOOKUP("LULUCF|PM25|Infant mortality", US_national_yearly!$D:$AM, 10, FALSE), 1)</f>
        <v>1.5149281330247174E-8</v>
      </c>
      <c r="AB3" s="7">
        <f>$B3 * IFERROR(VLOOKUP("LULUCF|PM25|Infant mortality", US_national_yearly!$D:$AM, 36, FALSE) / VLOOKUP("LULUCF|PM25|Infant mortality", US_national_yearly!$D:$AM, 10, FALSE), 1)</f>
        <v>1.5056313858161809E-8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4.8293073620653647E-5</v>
      </c>
      <c r="C6" s="7">
        <f>$B6 * IFERROR(VLOOKUP("LULUCF|PM25|Asthma symptoms cough", US_national_yearly!$D:$AM, 11, FALSE) / VLOOKUP("LULUCF|PM25|Asthma symptoms cough", US_national_yearly!$D:$AM, 10, FALSE), 1)</f>
        <v>4.8293073620653647E-5</v>
      </c>
      <c r="D6" s="7">
        <f>$B6 * IFERROR(VLOOKUP("LULUCF|PM25|Asthma symptoms cough", US_national_yearly!$D:$AM, 12, FALSE) / VLOOKUP("LULUCF|PM25|Asthma symptoms cough", US_national_yearly!$D:$AM, 10, FALSE), 1)</f>
        <v>4.8293073620653647E-5</v>
      </c>
      <c r="E6" s="7">
        <f>$B6 * IFERROR(VLOOKUP("LULUCF|PM25|Asthma symptoms cough", US_national_yearly!$D:$AM, 13, FALSE) / VLOOKUP("LULUCF|PM25|Asthma symptoms cough", US_national_yearly!$D:$AM, 10, FALSE), 1)</f>
        <v>4.8293073620653647E-5</v>
      </c>
      <c r="F6" s="7">
        <f>$B6 * IFERROR(VLOOKUP("LULUCF|PM25|Asthma symptoms cough", US_national_yearly!$D:$AM, 14, FALSE) / VLOOKUP("LULUCF|PM25|Asthma symptoms cough", US_national_yearly!$D:$AM, 10, FALSE), 1)</f>
        <v>4.8293073620653647E-5</v>
      </c>
      <c r="G6" s="7">
        <f>$B6 * IFERROR(VLOOKUP("LULUCF|PM25|Asthma symptoms cough", US_national_yearly!$D:$AM, 15, FALSE) / VLOOKUP("LULUCF|PM25|Asthma symptoms cough", US_national_yearly!$D:$AM, 10, FALSE), 1)</f>
        <v>4.8293073620653647E-5</v>
      </c>
      <c r="H6" s="7">
        <f>$B6 * IFERROR(VLOOKUP("LULUCF|PM25|Asthma symptoms cough", US_national_yearly!$D:$AM, 16, FALSE) / VLOOKUP("LULUCF|PM25|Asthma symptoms cough", US_national_yearly!$D:$AM, 10, FALSE), 1)</f>
        <v>4.8293073620653647E-5</v>
      </c>
      <c r="I6" s="7">
        <f>$B6 * IFERROR(VLOOKUP("LULUCF|PM25|Asthma symptoms cough", US_national_yearly!$D:$AM, 17, FALSE) / VLOOKUP("LULUCF|PM25|Asthma symptoms cough", US_national_yearly!$D:$AM, 10, FALSE), 1)</f>
        <v>4.8293073620653647E-5</v>
      </c>
      <c r="J6" s="7">
        <f>$B6 * IFERROR(VLOOKUP("LULUCF|PM25|Asthma symptoms cough", US_national_yearly!$D:$AM, 18, FALSE) / VLOOKUP("LULUCF|PM25|Asthma symptoms cough", US_national_yearly!$D:$AM, 10, FALSE), 1)</f>
        <v>4.8293073620653647E-5</v>
      </c>
      <c r="K6" s="7">
        <f>$B6 * IFERROR(VLOOKUP("LULUCF|PM25|Asthma symptoms cough", US_national_yearly!$D:$AM, 19, FALSE) / VLOOKUP("LULUCF|PM25|Asthma symptoms cough", US_national_yearly!$D:$AM, 10, FALSE), 1)</f>
        <v>4.8293073620653647E-5</v>
      </c>
      <c r="L6" s="7">
        <f>$B6 * IFERROR(VLOOKUP("LULUCF|PM25|Asthma symptoms cough", US_national_yearly!$D:$AM, 20, FALSE) / VLOOKUP("LULUCF|PM25|Asthma symptoms cough", US_national_yearly!$D:$AM, 10, FALSE), 1)</f>
        <v>4.8293073620653647E-5</v>
      </c>
      <c r="M6" s="7">
        <f>$B6 * IFERROR(VLOOKUP("LULUCF|PM25|Asthma symptoms cough", US_national_yearly!$D:$AM, 21, FALSE) / VLOOKUP("LULUCF|PM25|Asthma symptoms cough", US_national_yearly!$D:$AM, 10, FALSE), 1)</f>
        <v>4.8293073620653647E-5</v>
      </c>
      <c r="N6" s="7">
        <f>$B6 * IFERROR(VLOOKUP("LULUCF|PM25|Asthma symptoms cough", US_national_yearly!$D:$AM, 22, FALSE) / VLOOKUP("LULUCF|PM25|Asthma symptoms cough", US_national_yearly!$D:$AM, 10, FALSE), 1)</f>
        <v>4.8293073620653647E-5</v>
      </c>
      <c r="O6" s="7">
        <f>$B6 * IFERROR(VLOOKUP("LULUCF|PM25|Asthma symptoms cough", US_national_yearly!$D:$AM, 23, FALSE) / VLOOKUP("LULUCF|PM25|Asthma symptoms cough", US_national_yearly!$D:$AM, 10, FALSE), 1)</f>
        <v>4.8293073620653647E-5</v>
      </c>
      <c r="P6" s="7">
        <f>$B6 * IFERROR(VLOOKUP("LULUCF|PM25|Asthma symptoms cough", US_national_yearly!$D:$AM, 24, FALSE) / VLOOKUP("LULUCF|PM25|Asthma symptoms cough", US_national_yearly!$D:$AM, 10, FALSE), 1)</f>
        <v>4.8293073620653647E-5</v>
      </c>
      <c r="Q6" s="7">
        <f>$B6 * IFERROR(VLOOKUP("LULUCF|PM25|Asthma symptoms cough", US_national_yearly!$D:$AM, 25, FALSE) / VLOOKUP("LULUCF|PM25|Asthma symptoms cough", US_national_yearly!$D:$AM, 10, FALSE), 1)</f>
        <v>4.8293073620653647E-5</v>
      </c>
      <c r="R6" s="7">
        <f>$B6 * IFERROR(VLOOKUP("LULUCF|PM25|Asthma symptoms cough", US_national_yearly!$D:$AM, 26, FALSE) / VLOOKUP("LULUCF|PM25|Asthma symptoms cough", US_national_yearly!$D:$AM, 10, FALSE), 1)</f>
        <v>4.8293073620653647E-5</v>
      </c>
      <c r="S6" s="7">
        <f>$B6 * IFERROR(VLOOKUP("LULUCF|PM25|Asthma symptoms cough", US_national_yearly!$D:$AM, 27, FALSE) / VLOOKUP("LULUCF|PM25|Asthma symptoms cough", US_national_yearly!$D:$AM, 10, FALSE), 1)</f>
        <v>4.8293073620653647E-5</v>
      </c>
      <c r="T6" s="7">
        <f>$B6 * IFERROR(VLOOKUP("LULUCF|PM25|Asthma symptoms cough", US_national_yearly!$D:$AM, 28, FALSE) / VLOOKUP("LULUCF|PM25|Asthma symptoms cough", US_national_yearly!$D:$AM, 10, FALSE), 1)</f>
        <v>4.8293073620653647E-5</v>
      </c>
      <c r="U6" s="7">
        <f>$B6 * IFERROR(VLOOKUP("LULUCF|PM25|Asthma symptoms cough", US_national_yearly!$D:$AM, 29, FALSE) / VLOOKUP("LULUCF|PM25|Asthma symptoms cough", US_national_yearly!$D:$AM, 10, FALSE), 1)</f>
        <v>4.8293073620653647E-5</v>
      </c>
      <c r="V6" s="7">
        <f>$B6 * IFERROR(VLOOKUP("LULUCF|PM25|Asthma symptoms cough", US_national_yearly!$D:$AM, 30, FALSE) / VLOOKUP("LULUCF|PM25|Asthma symptoms cough", US_national_yearly!$D:$AM, 10, FALSE), 1)</f>
        <v>4.8293073620653647E-5</v>
      </c>
      <c r="W6" s="7">
        <f>$B6 * IFERROR(VLOOKUP("LULUCF|PM25|Asthma symptoms cough", US_national_yearly!$D:$AM, 31, FALSE) / VLOOKUP("LULUCF|PM25|Asthma symptoms cough", US_national_yearly!$D:$AM, 10, FALSE), 1)</f>
        <v>4.8293073620653647E-5</v>
      </c>
      <c r="X6" s="7">
        <f>$B6 * IFERROR(VLOOKUP("LULUCF|PM25|Asthma symptoms cough", US_national_yearly!$D:$AM, 32, FALSE) / VLOOKUP("LULUCF|PM25|Asthma symptoms cough", US_national_yearly!$D:$AM, 10, FALSE), 1)</f>
        <v>4.8293073620653647E-5</v>
      </c>
      <c r="Y6" s="7">
        <f>$B6 * IFERROR(VLOOKUP("LULUCF|PM25|Asthma symptoms cough", US_national_yearly!$D:$AM, 33, FALSE) / VLOOKUP("LULUCF|PM25|Asthma symptoms cough", US_national_yearly!$D:$AM, 10, FALSE), 1)</f>
        <v>4.8293073620653647E-5</v>
      </c>
      <c r="Z6" s="7">
        <f>$B6 * IFERROR(VLOOKUP("LULUCF|PM25|Asthma symptoms cough", US_national_yearly!$D:$AM, 34, FALSE) / VLOOKUP("LULUCF|PM25|Asthma symptoms cough", US_national_yearly!$D:$AM, 10, FALSE), 1)</f>
        <v>4.8293073620653647E-5</v>
      </c>
      <c r="AA6" s="7">
        <f>$B6 * IFERROR(VLOOKUP("LULUCF|PM25|Asthma symptoms cough", US_national_yearly!$D:$AM, 35, FALSE) / VLOOKUP("LULUCF|PM25|Asthma symptoms cough", US_national_yearly!$D:$AM, 10, FALSE), 1)</f>
        <v>4.8293073620653647E-5</v>
      </c>
      <c r="AB6" s="7">
        <f>$B6 * IFERROR(VLOOKUP("LULUCF|PM25|Asthma symptoms cough", US_national_yearly!$D:$AM, 36, FALSE) / VLOOKUP("LULUCF|PM25|Asthma symptoms cough", US_national_yearly!$D:$AM, 10, FALSE), 1)</f>
        <v>4.8293073620653647E-5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6.5033426169460912E-5</v>
      </c>
      <c r="C7" s="7">
        <f>$B7 * IFERROR(VLOOKUP("LULUCF|PM25|Asthma symptoms shortness of breath", US_national_yearly!$D:$AM, 11, FALSE) / VLOOKUP("LULUCF|PM25|Asthma symptoms shortness of breath", US_national_yearly!$D:$AM, 10, FALSE), 1)</f>
        <v>6.5033426169460912E-5</v>
      </c>
      <c r="D7" s="7">
        <f>$B7 * IFERROR(VLOOKUP("LULUCF|PM25|Asthma symptoms shortness of breath", US_national_yearly!$D:$AM, 12, FALSE) / VLOOKUP("LULUCF|PM25|Asthma symptoms shortness of breath", US_national_yearly!$D:$AM, 10, FALSE), 1)</f>
        <v>6.5033426169460912E-5</v>
      </c>
      <c r="E7" s="7">
        <f>$B7 * IFERROR(VLOOKUP("LULUCF|PM25|Asthma symptoms shortness of breath", US_national_yearly!$D:$AM, 13, FALSE) / VLOOKUP("LULUCF|PM25|Asthma symptoms shortness of breath", US_national_yearly!$D:$AM, 10, FALSE), 1)</f>
        <v>6.5033426169460912E-5</v>
      </c>
      <c r="F7" s="7">
        <f>$B7 * IFERROR(VLOOKUP("LULUCF|PM25|Asthma symptoms shortness of breath", US_national_yearly!$D:$AM, 14, FALSE) / VLOOKUP("LULUCF|PM25|Asthma symptoms shortness of breath", US_national_yearly!$D:$AM, 10, FALSE), 1)</f>
        <v>6.5033426169460912E-5</v>
      </c>
      <c r="G7" s="7">
        <f>$B7 * IFERROR(VLOOKUP("LULUCF|PM25|Asthma symptoms shortness of breath", US_national_yearly!$D:$AM, 15, FALSE) / VLOOKUP("LULUCF|PM25|Asthma symptoms shortness of breath", US_national_yearly!$D:$AM, 10, FALSE), 1)</f>
        <v>6.5033426169460912E-5</v>
      </c>
      <c r="H7" s="7">
        <f>$B7 * IFERROR(VLOOKUP("LULUCF|PM25|Asthma symptoms shortness of breath", US_national_yearly!$D:$AM, 16, FALSE) / VLOOKUP("LULUCF|PM25|Asthma symptoms shortness of breath", US_national_yearly!$D:$AM, 10, FALSE), 1)</f>
        <v>6.5033426169460912E-5</v>
      </c>
      <c r="I7" s="7">
        <f>$B7 * IFERROR(VLOOKUP("LULUCF|PM25|Asthma symptoms shortness of breath", US_national_yearly!$D:$AM, 17, FALSE) / VLOOKUP("LULUCF|PM25|Asthma symptoms shortness of breath", US_national_yearly!$D:$AM, 10, FALSE), 1)</f>
        <v>6.5033426169460912E-5</v>
      </c>
      <c r="J7" s="7">
        <f>$B7 * IFERROR(VLOOKUP("LULUCF|PM25|Asthma symptoms shortness of breath", US_national_yearly!$D:$AM, 18, FALSE) / VLOOKUP("LULUCF|PM25|Asthma symptoms shortness of breath", US_national_yearly!$D:$AM, 10, FALSE), 1)</f>
        <v>6.5033426169460912E-5</v>
      </c>
      <c r="K7" s="7">
        <f>$B7 * IFERROR(VLOOKUP("LULUCF|PM25|Asthma symptoms shortness of breath", US_national_yearly!$D:$AM, 19, FALSE) / VLOOKUP("LULUCF|PM25|Asthma symptoms shortness of breath", US_national_yearly!$D:$AM, 10, FALSE), 1)</f>
        <v>6.5033426169460912E-5</v>
      </c>
      <c r="L7" s="7">
        <f>$B7 * IFERROR(VLOOKUP("LULUCF|PM25|Asthma symptoms shortness of breath", US_national_yearly!$D:$AM, 20, FALSE) / VLOOKUP("LULUCF|PM25|Asthma symptoms shortness of breath", US_national_yearly!$D:$AM, 10, FALSE), 1)</f>
        <v>6.5033426169460912E-5</v>
      </c>
      <c r="M7" s="7">
        <f>$B7 * IFERROR(VLOOKUP("LULUCF|PM25|Asthma symptoms shortness of breath", US_national_yearly!$D:$AM, 21, FALSE) / VLOOKUP("LULUCF|PM25|Asthma symptoms shortness of breath", US_national_yearly!$D:$AM, 10, FALSE), 1)</f>
        <v>6.5033426169460912E-5</v>
      </c>
      <c r="N7" s="7">
        <f>$B7 * IFERROR(VLOOKUP("LULUCF|PM25|Asthma symptoms shortness of breath", US_national_yearly!$D:$AM, 22, FALSE) / VLOOKUP("LULUCF|PM25|Asthma symptoms shortness of breath", US_national_yearly!$D:$AM, 10, FALSE), 1)</f>
        <v>6.5033426169460912E-5</v>
      </c>
      <c r="O7" s="7">
        <f>$B7 * IFERROR(VLOOKUP("LULUCF|PM25|Asthma symptoms shortness of breath", US_national_yearly!$D:$AM, 23, FALSE) / VLOOKUP("LULUCF|PM25|Asthma symptoms shortness of breath", US_national_yearly!$D:$AM, 10, FALSE), 1)</f>
        <v>6.5033426169460912E-5</v>
      </c>
      <c r="P7" s="7">
        <f>$B7 * IFERROR(VLOOKUP("LULUCF|PM25|Asthma symptoms shortness of breath", US_national_yearly!$D:$AM, 24, FALSE) / VLOOKUP("LULUCF|PM25|Asthma symptoms shortness of breath", US_national_yearly!$D:$AM, 10, FALSE), 1)</f>
        <v>6.5033426169460912E-5</v>
      </c>
      <c r="Q7" s="7">
        <f>$B7 * IFERROR(VLOOKUP("LULUCF|PM25|Asthma symptoms shortness of breath", US_national_yearly!$D:$AM, 25, FALSE) / VLOOKUP("LULUCF|PM25|Asthma symptoms shortness of breath", US_national_yearly!$D:$AM, 10, FALSE), 1)</f>
        <v>6.5033426169460912E-5</v>
      </c>
      <c r="R7" s="7">
        <f>$B7 * IFERROR(VLOOKUP("LULUCF|PM25|Asthma symptoms shortness of breath", US_national_yearly!$D:$AM, 26, FALSE) / VLOOKUP("LULUCF|PM25|Asthma symptoms shortness of breath", US_national_yearly!$D:$AM, 10, FALSE), 1)</f>
        <v>6.5033426169460912E-5</v>
      </c>
      <c r="S7" s="7">
        <f>$B7 * IFERROR(VLOOKUP("LULUCF|PM25|Asthma symptoms shortness of breath", US_national_yearly!$D:$AM, 27, FALSE) / VLOOKUP("LULUCF|PM25|Asthma symptoms shortness of breath", US_national_yearly!$D:$AM, 10, FALSE), 1)</f>
        <v>6.5033426169460912E-5</v>
      </c>
      <c r="T7" s="7">
        <f>$B7 * IFERROR(VLOOKUP("LULUCF|PM25|Asthma symptoms shortness of breath", US_national_yearly!$D:$AM, 28, FALSE) / VLOOKUP("LULUCF|PM25|Asthma symptoms shortness of breath", US_national_yearly!$D:$AM, 10, FALSE), 1)</f>
        <v>6.5033426169460912E-5</v>
      </c>
      <c r="U7" s="7">
        <f>$B7 * IFERROR(VLOOKUP("LULUCF|PM25|Asthma symptoms shortness of breath", US_national_yearly!$D:$AM, 29, FALSE) / VLOOKUP("LULUCF|PM25|Asthma symptoms shortness of breath", US_national_yearly!$D:$AM, 10, FALSE), 1)</f>
        <v>6.5033426169460912E-5</v>
      </c>
      <c r="V7" s="7">
        <f>$B7 * IFERROR(VLOOKUP("LULUCF|PM25|Asthma symptoms shortness of breath", US_national_yearly!$D:$AM, 30, FALSE) / VLOOKUP("LULUCF|PM25|Asthma symptoms shortness of breath", US_national_yearly!$D:$AM, 10, FALSE), 1)</f>
        <v>6.5033426169460912E-5</v>
      </c>
      <c r="W7" s="7">
        <f>$B7 * IFERROR(VLOOKUP("LULUCF|PM25|Asthma symptoms shortness of breath", US_national_yearly!$D:$AM, 31, FALSE) / VLOOKUP("LULUCF|PM25|Asthma symptoms shortness of breath", US_national_yearly!$D:$AM, 10, FALSE), 1)</f>
        <v>6.5033426169460912E-5</v>
      </c>
      <c r="X7" s="7">
        <f>$B7 * IFERROR(VLOOKUP("LULUCF|PM25|Asthma symptoms shortness of breath", US_national_yearly!$D:$AM, 32, FALSE) / VLOOKUP("LULUCF|PM25|Asthma symptoms shortness of breath", US_national_yearly!$D:$AM, 10, FALSE), 1)</f>
        <v>6.5033426169460912E-5</v>
      </c>
      <c r="Y7" s="7">
        <f>$B7 * IFERROR(VLOOKUP("LULUCF|PM25|Asthma symptoms shortness of breath", US_national_yearly!$D:$AM, 33, FALSE) / VLOOKUP("LULUCF|PM25|Asthma symptoms shortness of breath", US_national_yearly!$D:$AM, 10, FALSE), 1)</f>
        <v>6.5033426169460912E-5</v>
      </c>
      <c r="Z7" s="7">
        <f>$B7 * IFERROR(VLOOKUP("LULUCF|PM25|Asthma symptoms shortness of breath", US_national_yearly!$D:$AM, 34, FALSE) / VLOOKUP("LULUCF|PM25|Asthma symptoms shortness of breath", US_national_yearly!$D:$AM, 10, FALSE), 1)</f>
        <v>6.5033426169460912E-5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6.5033426169460912E-5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6.5033426169460912E-5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9.9360784634475974E-5</v>
      </c>
      <c r="C8" s="7">
        <f>$B8 * IFERROR(VLOOKUP("LULUCF|PM25|Asthma symptoms wheeze", US_national_yearly!$D:$AM, 11, FALSE) / VLOOKUP("LULUCF|PM25|Asthma symptoms wheeze", US_national_yearly!$D:$AM, 10, FALSE), 1)</f>
        <v>9.9360784634475974E-5</v>
      </c>
      <c r="D8" s="7">
        <f>$B8 * IFERROR(VLOOKUP("LULUCF|PM25|Asthma symptoms wheeze", US_national_yearly!$D:$AM, 12, FALSE) / VLOOKUP("LULUCF|PM25|Asthma symptoms wheeze", US_national_yearly!$D:$AM, 10, FALSE), 1)</f>
        <v>9.9360784634475974E-5</v>
      </c>
      <c r="E8" s="7">
        <f>$B8 * IFERROR(VLOOKUP("LULUCF|PM25|Asthma symptoms wheeze", US_national_yearly!$D:$AM, 13, FALSE) / VLOOKUP("LULUCF|PM25|Asthma symptoms wheeze", US_national_yearly!$D:$AM, 10, FALSE), 1)</f>
        <v>9.9360784634475974E-5</v>
      </c>
      <c r="F8" s="7">
        <f>$B8 * IFERROR(VLOOKUP("LULUCF|PM25|Asthma symptoms wheeze", US_national_yearly!$D:$AM, 14, FALSE) / VLOOKUP("LULUCF|PM25|Asthma symptoms wheeze", US_national_yearly!$D:$AM, 10, FALSE), 1)</f>
        <v>9.9360784634475974E-5</v>
      </c>
      <c r="G8" s="7">
        <f>$B8 * IFERROR(VLOOKUP("LULUCF|PM25|Asthma symptoms wheeze", US_national_yearly!$D:$AM, 15, FALSE) / VLOOKUP("LULUCF|PM25|Asthma symptoms wheeze", US_national_yearly!$D:$AM, 10, FALSE), 1)</f>
        <v>9.9360784634475974E-5</v>
      </c>
      <c r="H8" s="7">
        <f>$B8 * IFERROR(VLOOKUP("LULUCF|PM25|Asthma symptoms wheeze", US_national_yearly!$D:$AM, 16, FALSE) / VLOOKUP("LULUCF|PM25|Asthma symptoms wheeze", US_national_yearly!$D:$AM, 10, FALSE), 1)</f>
        <v>9.9360784634475974E-5</v>
      </c>
      <c r="I8" s="7">
        <f>$B8 * IFERROR(VLOOKUP("LULUCF|PM25|Asthma symptoms wheeze", US_national_yearly!$D:$AM, 17, FALSE) / VLOOKUP("LULUCF|PM25|Asthma symptoms wheeze", US_national_yearly!$D:$AM, 10, FALSE), 1)</f>
        <v>9.9360784634475974E-5</v>
      </c>
      <c r="J8" s="7">
        <f>$B8 * IFERROR(VLOOKUP("LULUCF|PM25|Asthma symptoms wheeze", US_national_yearly!$D:$AM, 18, FALSE) / VLOOKUP("LULUCF|PM25|Asthma symptoms wheeze", US_national_yearly!$D:$AM, 10, FALSE), 1)</f>
        <v>9.9360784634475974E-5</v>
      </c>
      <c r="K8" s="7">
        <f>$B8 * IFERROR(VLOOKUP("LULUCF|PM25|Asthma symptoms wheeze", US_national_yearly!$D:$AM, 19, FALSE) / VLOOKUP("LULUCF|PM25|Asthma symptoms wheeze", US_national_yearly!$D:$AM, 10, FALSE), 1)</f>
        <v>9.9360784634475974E-5</v>
      </c>
      <c r="L8" s="7">
        <f>$B8 * IFERROR(VLOOKUP("LULUCF|PM25|Asthma symptoms wheeze", US_national_yearly!$D:$AM, 20, FALSE) / VLOOKUP("LULUCF|PM25|Asthma symptoms wheeze", US_national_yearly!$D:$AM, 10, FALSE), 1)</f>
        <v>9.9360784634475974E-5</v>
      </c>
      <c r="M8" s="7">
        <f>$B8 * IFERROR(VLOOKUP("LULUCF|PM25|Asthma symptoms wheeze", US_national_yearly!$D:$AM, 21, FALSE) / VLOOKUP("LULUCF|PM25|Asthma symptoms wheeze", US_national_yearly!$D:$AM, 10, FALSE), 1)</f>
        <v>9.9360784634475974E-5</v>
      </c>
      <c r="N8" s="7">
        <f>$B8 * IFERROR(VLOOKUP("LULUCF|PM25|Asthma symptoms wheeze", US_national_yearly!$D:$AM, 22, FALSE) / VLOOKUP("LULUCF|PM25|Asthma symptoms wheeze", US_national_yearly!$D:$AM, 10, FALSE), 1)</f>
        <v>9.9360784634475974E-5</v>
      </c>
      <c r="O8" s="7">
        <f>$B8 * IFERROR(VLOOKUP("LULUCF|PM25|Asthma symptoms wheeze", US_national_yearly!$D:$AM, 23, FALSE) / VLOOKUP("LULUCF|PM25|Asthma symptoms wheeze", US_national_yearly!$D:$AM, 10, FALSE), 1)</f>
        <v>9.9360784634475974E-5</v>
      </c>
      <c r="P8" s="7">
        <f>$B8 * IFERROR(VLOOKUP("LULUCF|PM25|Asthma symptoms wheeze", US_national_yearly!$D:$AM, 24, FALSE) / VLOOKUP("LULUCF|PM25|Asthma symptoms wheeze", US_national_yearly!$D:$AM, 10, FALSE), 1)</f>
        <v>9.9360784634475974E-5</v>
      </c>
      <c r="Q8" s="7">
        <f>$B8 * IFERROR(VLOOKUP("LULUCF|PM25|Asthma symptoms wheeze", US_national_yearly!$D:$AM, 25, FALSE) / VLOOKUP("LULUCF|PM25|Asthma symptoms wheeze", US_national_yearly!$D:$AM, 10, FALSE), 1)</f>
        <v>9.9360784634475974E-5</v>
      </c>
      <c r="R8" s="7">
        <f>$B8 * IFERROR(VLOOKUP("LULUCF|PM25|Asthma symptoms wheeze", US_national_yearly!$D:$AM, 26, FALSE) / VLOOKUP("LULUCF|PM25|Asthma symptoms wheeze", US_national_yearly!$D:$AM, 10, FALSE), 1)</f>
        <v>9.9360784634475974E-5</v>
      </c>
      <c r="S8" s="7">
        <f>$B8 * IFERROR(VLOOKUP("LULUCF|PM25|Asthma symptoms wheeze", US_national_yearly!$D:$AM, 27, FALSE) / VLOOKUP("LULUCF|PM25|Asthma symptoms wheeze", US_national_yearly!$D:$AM, 10, FALSE), 1)</f>
        <v>9.9360784634475974E-5</v>
      </c>
      <c r="T8" s="7">
        <f>$B8 * IFERROR(VLOOKUP("LULUCF|PM25|Asthma symptoms wheeze", US_national_yearly!$D:$AM, 28, FALSE) / VLOOKUP("LULUCF|PM25|Asthma symptoms wheeze", US_national_yearly!$D:$AM, 10, FALSE), 1)</f>
        <v>9.9360784634475974E-5</v>
      </c>
      <c r="U8" s="7">
        <f>$B8 * IFERROR(VLOOKUP("LULUCF|PM25|Asthma symptoms wheeze", US_national_yearly!$D:$AM, 29, FALSE) / VLOOKUP("LULUCF|PM25|Asthma symptoms wheeze", US_national_yearly!$D:$AM, 10, FALSE), 1)</f>
        <v>9.9360784634475974E-5</v>
      </c>
      <c r="V8" s="7">
        <f>$B8 * IFERROR(VLOOKUP("LULUCF|PM25|Asthma symptoms wheeze", US_national_yearly!$D:$AM, 30, FALSE) / VLOOKUP("LULUCF|PM25|Asthma symptoms wheeze", US_national_yearly!$D:$AM, 10, FALSE), 1)</f>
        <v>9.9360784634475974E-5</v>
      </c>
      <c r="W8" s="7">
        <f>$B8 * IFERROR(VLOOKUP("LULUCF|PM25|Asthma symptoms wheeze", US_national_yearly!$D:$AM, 31, FALSE) / VLOOKUP("LULUCF|PM25|Asthma symptoms wheeze", US_national_yearly!$D:$AM, 10, FALSE), 1)</f>
        <v>9.9360784634475974E-5</v>
      </c>
      <c r="X8" s="7">
        <f>$B8 * IFERROR(VLOOKUP("LULUCF|PM25|Asthma symptoms wheeze", US_national_yearly!$D:$AM, 32, FALSE) / VLOOKUP("LULUCF|PM25|Asthma symptoms wheeze", US_national_yearly!$D:$AM, 10, FALSE), 1)</f>
        <v>9.9360784634475974E-5</v>
      </c>
      <c r="Y8" s="7">
        <f>$B8 * IFERROR(VLOOKUP("LULUCF|PM25|Asthma symptoms wheeze", US_national_yearly!$D:$AM, 33, FALSE) / VLOOKUP("LULUCF|PM25|Asthma symptoms wheeze", US_national_yearly!$D:$AM, 10, FALSE), 1)</f>
        <v>9.9360784634475974E-5</v>
      </c>
      <c r="Z8" s="7">
        <f>$B8 * IFERROR(VLOOKUP("LULUCF|PM25|Asthma symptoms wheeze", US_national_yearly!$D:$AM, 34, FALSE) / VLOOKUP("LULUCF|PM25|Asthma symptoms wheeze", US_national_yearly!$D:$AM, 10, FALSE), 1)</f>
        <v>9.9360784634475974E-5</v>
      </c>
      <c r="AA8" s="7">
        <f>$B8 * IFERROR(VLOOKUP("LULUCF|PM25|Asthma symptoms wheeze", US_national_yearly!$D:$AM, 35, FALSE) / VLOOKUP("LULUCF|PM25|Asthma symptoms wheeze", US_national_yearly!$D:$AM, 10, FALSE), 1)</f>
        <v>9.9360784634475974E-5</v>
      </c>
      <c r="AB8" s="7">
        <f>$B8 * IFERROR(VLOOKUP("LULUCF|PM25|Asthma symptoms wheeze", US_national_yearly!$D:$AM, 36, FALSE) / VLOOKUP("LULUCF|PM25|Asthma symptoms wheeze", US_national_yearly!$D:$AM, 10, FALSE), 1)</f>
        <v>9.9360784634475974E-5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8.405278921146781E-7</v>
      </c>
      <c r="C12" s="7">
        <f>$B12 * IFERROR(VLOOKUP("LULUCF|PM25|Respiratory hospital admissions", US_national_yearly!$D:$AM, 11, FALSE) / VLOOKUP("LULUCF|PM25|Respiratory hospital admissions", US_national_yearly!$D:$AM, 10, FALSE), 1)</f>
        <v>8.453454592116688E-7</v>
      </c>
      <c r="D12" s="7">
        <f>$B12 * IFERROR(VLOOKUP("LULUCF|PM25|Respiratory hospital admissions", US_national_yearly!$D:$AM, 12, FALSE) / VLOOKUP("LULUCF|PM25|Respiratory hospital admissions", US_national_yearly!$D:$AM, 10, FALSE), 1)</f>
        <v>8.5016302630865939E-7</v>
      </c>
      <c r="E12" s="7">
        <f>$B12 * IFERROR(VLOOKUP("LULUCF|PM25|Respiratory hospital admissions", US_national_yearly!$D:$AM, 13, FALSE) / VLOOKUP("LULUCF|PM25|Respiratory hospital admissions", US_national_yearly!$D:$AM, 10, FALSE), 1)</f>
        <v>8.5498059340565009E-7</v>
      </c>
      <c r="F12" s="7">
        <f>$B12 * IFERROR(VLOOKUP("LULUCF|PM25|Respiratory hospital admissions", US_national_yearly!$D:$AM, 14, FALSE) / VLOOKUP("LULUCF|PM25|Respiratory hospital admissions", US_national_yearly!$D:$AM, 10, FALSE), 1)</f>
        <v>8.5979816050264058E-7</v>
      </c>
      <c r="G12" s="7">
        <f>$B12 * IFERROR(VLOOKUP("LULUCF|PM25|Respiratory hospital admissions", US_national_yearly!$D:$AM, 15, FALSE) / VLOOKUP("LULUCF|PM25|Respiratory hospital admissions", US_national_yearly!$D:$AM, 10, FALSE), 1)</f>
        <v>8.6500133846204309E-7</v>
      </c>
      <c r="H12" s="7">
        <f>$B12 * IFERROR(VLOOKUP("LULUCF|PM25|Respiratory hospital admissions", US_national_yearly!$D:$AM, 16, FALSE) / VLOOKUP("LULUCF|PM25|Respiratory hospital admissions", US_national_yearly!$D:$AM, 10, FALSE), 1)</f>
        <v>8.702045164214456E-7</v>
      </c>
      <c r="I12" s="7">
        <f>$B12 * IFERROR(VLOOKUP("LULUCF|PM25|Respiratory hospital admissions", US_national_yearly!$D:$AM, 17, FALSE) / VLOOKUP("LULUCF|PM25|Respiratory hospital admissions", US_national_yearly!$D:$AM, 10, FALSE), 1)</f>
        <v>8.7517595527465056E-7</v>
      </c>
      <c r="J12" s="7">
        <f>$B12 * IFERROR(VLOOKUP("LULUCF|PM25|Respiratory hospital admissions", US_national_yearly!$D:$AM, 18, FALSE) / VLOOKUP("LULUCF|PM25|Respiratory hospital admissions", US_national_yearly!$D:$AM, 10, FALSE), 1)</f>
        <v>8.8014739412785594E-7</v>
      </c>
      <c r="K12" s="7">
        <f>$B12 * IFERROR(VLOOKUP("LULUCF|PM25|Respiratory hospital admissions", US_national_yearly!$D:$AM, 19, FALSE) / VLOOKUP("LULUCF|PM25|Respiratory hospital admissions", US_national_yearly!$D:$AM, 10, FALSE), 1)</f>
        <v>8.8511883298106101E-7</v>
      </c>
      <c r="L12" s="7">
        <f>$B12 * IFERROR(VLOOKUP("LULUCF|PM25|Respiratory hospital admissions", US_national_yearly!$D:$AM, 20, FALSE) / VLOOKUP("LULUCF|PM25|Respiratory hospital admissions", US_national_yearly!$D:$AM, 10, FALSE), 1)</f>
        <v>8.9009027183426639E-7</v>
      </c>
      <c r="M12" s="7">
        <f>$B12 * IFERROR(VLOOKUP("LULUCF|PM25|Respiratory hospital admissions", US_national_yearly!$D:$AM, 21, FALSE) / VLOOKUP("LULUCF|PM25|Respiratory hospital admissions", US_national_yearly!$D:$AM, 10, FALSE), 1)</f>
        <v>8.9506171068747135E-7</v>
      </c>
      <c r="N12" s="7">
        <f>$B12 * IFERROR(VLOOKUP("LULUCF|PM25|Respiratory hospital admissions", US_national_yearly!$D:$AM, 22, FALSE) / VLOOKUP("LULUCF|PM25|Respiratory hospital admissions", US_national_yearly!$D:$AM, 10, FALSE), 1)</f>
        <v>8.9862985742809527E-7</v>
      </c>
      <c r="O12" s="7">
        <f>$B12 * IFERROR(VLOOKUP("LULUCF|PM25|Respiratory hospital admissions", US_national_yearly!$D:$AM, 23, FALSE) / VLOOKUP("LULUCF|PM25|Respiratory hospital admissions", US_national_yearly!$D:$AM, 10, FALSE), 1)</f>
        <v>9.0219800416871909E-7</v>
      </c>
      <c r="P12" s="7">
        <f>$B12 * IFERROR(VLOOKUP("LULUCF|PM25|Respiratory hospital admissions", US_national_yearly!$D:$AM, 24, FALSE) / VLOOKUP("LULUCF|PM25|Respiratory hospital admissions", US_national_yearly!$D:$AM, 10, FALSE), 1)</f>
        <v>9.057661509093426E-7</v>
      </c>
      <c r="Q12" s="7">
        <f>$B12 * IFERROR(VLOOKUP("LULUCF|PM25|Respiratory hospital admissions", US_national_yearly!$D:$AM, 25, FALSE) / VLOOKUP("LULUCF|PM25|Respiratory hospital admissions", US_national_yearly!$D:$AM, 10, FALSE), 1)</f>
        <v>9.0933429764996642E-7</v>
      </c>
      <c r="R12" s="7">
        <f>$B12 * IFERROR(VLOOKUP("LULUCF|PM25|Respiratory hospital admissions", US_national_yearly!$D:$AM, 26, FALSE) / VLOOKUP("LULUCF|PM25|Respiratory hospital admissions", US_national_yearly!$D:$AM, 10, FALSE), 1)</f>
        <v>9.1290244439059034E-7</v>
      </c>
      <c r="S12" s="7">
        <f>$B12 * IFERROR(VLOOKUP("LULUCF|PM25|Respiratory hospital admissions", US_national_yearly!$D:$AM, 27, FALSE) / VLOOKUP("LULUCF|PM25|Respiratory hospital admissions", US_national_yearly!$D:$AM, 10, FALSE), 1)</f>
        <v>9.162997902547604E-7</v>
      </c>
      <c r="T12" s="7">
        <f>$B12 * IFERROR(VLOOKUP("LULUCF|PM25|Respiratory hospital admissions", US_national_yearly!$D:$AM, 28, FALSE) / VLOOKUP("LULUCF|PM25|Respiratory hospital admissions", US_national_yearly!$D:$AM, 10, FALSE), 1)</f>
        <v>9.1969713611893068E-7</v>
      </c>
      <c r="U12" s="7">
        <f>$B12 * IFERROR(VLOOKUP("LULUCF|PM25|Respiratory hospital admissions", US_national_yearly!$D:$AM, 29, FALSE) / VLOOKUP("LULUCF|PM25|Respiratory hospital admissions", US_national_yearly!$D:$AM, 10, FALSE), 1)</f>
        <v>9.2309448198310074E-7</v>
      </c>
      <c r="V12" s="7">
        <f>$B12 * IFERROR(VLOOKUP("LULUCF|PM25|Respiratory hospital admissions", US_national_yearly!$D:$AM, 30, FALSE) / VLOOKUP("LULUCF|PM25|Respiratory hospital admissions", US_national_yearly!$D:$AM, 10, FALSE), 1)</f>
        <v>9.2649182784727079E-7</v>
      </c>
      <c r="W12" s="7">
        <f>$B12 * IFERROR(VLOOKUP("LULUCF|PM25|Respiratory hospital admissions", US_national_yearly!$D:$AM, 31, FALSE) / VLOOKUP("LULUCF|PM25|Respiratory hospital admissions", US_national_yearly!$D:$AM, 10, FALSE), 1)</f>
        <v>9.2988917371144085E-7</v>
      </c>
      <c r="X12" s="7">
        <f>$B12 * IFERROR(VLOOKUP("LULUCF|PM25|Respiratory hospital admissions", US_national_yearly!$D:$AM, 32, FALSE) / VLOOKUP("LULUCF|PM25|Respiratory hospital admissions", US_national_yearly!$D:$AM, 10, FALSE), 1)</f>
        <v>9.3315746376989459E-7</v>
      </c>
      <c r="Y12" s="7">
        <f>$B12 * IFERROR(VLOOKUP("LULUCF|PM25|Respiratory hospital admissions", US_national_yearly!$D:$AM, 33, FALSE) / VLOOKUP("LULUCF|PM25|Respiratory hospital admissions", US_national_yearly!$D:$AM, 10, FALSE), 1)</f>
        <v>9.364257538283478E-7</v>
      </c>
      <c r="Z12" s="7">
        <f>$B12 * IFERROR(VLOOKUP("LULUCF|PM25|Respiratory hospital admissions", US_national_yearly!$D:$AM, 34, FALSE) / VLOOKUP("LULUCF|PM25|Respiratory hospital admissions", US_national_yearly!$D:$AM, 10, FALSE), 1)</f>
        <v>9.3969404388680132E-7</v>
      </c>
      <c r="AA12" s="7">
        <f>$B12 * IFERROR(VLOOKUP("LULUCF|PM25|Respiratory hospital admissions", US_national_yearly!$D:$AM, 35, FALSE) / VLOOKUP("LULUCF|PM25|Respiratory hospital admissions", US_national_yearly!$D:$AM, 10, FALSE), 1)</f>
        <v>9.4296233394525464E-7</v>
      </c>
      <c r="AB12" s="7">
        <f>$B12 * IFERROR(VLOOKUP("LULUCF|PM25|Respiratory hospital admissions", US_national_yearly!$D:$AM, 36, FALSE) / VLOOKUP("LULUCF|PM25|Respiratory hospital admissions", US_national_yearly!$D:$AM, 10, FALSE), 1)</f>
        <v>9.4623062400370806E-7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4.9217167656441817E-6</v>
      </c>
      <c r="C13" s="7">
        <f>$B13 * IFERROR(VLOOKUP("LULUCF|PM25|Non-fatal heart attacks", US_national_yearly!$D:$AM, 11, FALSE) / VLOOKUP("LULUCF|PM25|Non-fatal heart attacks", US_national_yearly!$D:$AM, 10, FALSE), 1)</f>
        <v>5.0648041327629534E-6</v>
      </c>
      <c r="D13" s="7">
        <f>$B13 * IFERROR(VLOOKUP("LULUCF|PM25|Non-fatal heart attacks", US_national_yearly!$D:$AM, 12, FALSE) / VLOOKUP("LULUCF|PM25|Non-fatal heart attacks", US_national_yearly!$D:$AM, 10, FALSE), 1)</f>
        <v>5.2078914998817244E-6</v>
      </c>
      <c r="E13" s="7">
        <f>$B13 * IFERROR(VLOOKUP("LULUCF|PM25|Non-fatal heart attacks", US_national_yearly!$D:$AM, 13, FALSE) / VLOOKUP("LULUCF|PM25|Non-fatal heart attacks", US_national_yearly!$D:$AM, 10, FALSE), 1)</f>
        <v>5.3509788670004944E-6</v>
      </c>
      <c r="F13" s="7">
        <f>$B13 * IFERROR(VLOOKUP("LULUCF|PM25|Non-fatal heart attacks", US_national_yearly!$D:$AM, 14, FALSE) / VLOOKUP("LULUCF|PM25|Non-fatal heart attacks", US_national_yearly!$D:$AM, 10, FALSE), 1)</f>
        <v>5.4940662341192671E-6</v>
      </c>
      <c r="G13" s="7">
        <f>$B13 * IFERROR(VLOOKUP("LULUCF|PM25|Non-fatal heart attacks", US_national_yearly!$D:$AM, 15, FALSE) / VLOOKUP("LULUCF|PM25|Non-fatal heart attacks", US_national_yearly!$D:$AM, 10, FALSE), 1)</f>
        <v>5.629006667120246E-6</v>
      </c>
      <c r="H13" s="7">
        <f>$B13 * IFERROR(VLOOKUP("LULUCF|PM25|Non-fatal heart attacks", US_national_yearly!$D:$AM, 16, FALSE) / VLOOKUP("LULUCF|PM25|Non-fatal heart attacks", US_national_yearly!$D:$AM, 10, FALSE), 1)</f>
        <v>5.7639471001212233E-6</v>
      </c>
      <c r="I13" s="7">
        <f>$B13 * IFERROR(VLOOKUP("LULUCF|PM25|Non-fatal heart attacks", US_national_yearly!$D:$AM, 17, FALSE) / VLOOKUP("LULUCF|PM25|Non-fatal heart attacks", US_national_yearly!$D:$AM, 10, FALSE), 1)</f>
        <v>5.8723943061494719E-6</v>
      </c>
      <c r="J13" s="7">
        <f>$B13 * IFERROR(VLOOKUP("LULUCF|PM25|Non-fatal heart attacks", US_national_yearly!$D:$AM, 18, FALSE) / VLOOKUP("LULUCF|PM25|Non-fatal heart attacks", US_national_yearly!$D:$AM, 10, FALSE), 1)</f>
        <v>5.9808415121777196E-6</v>
      </c>
      <c r="K13" s="7">
        <f>$B13 * IFERROR(VLOOKUP("LULUCF|PM25|Non-fatal heart attacks", US_national_yearly!$D:$AM, 19, FALSE) / VLOOKUP("LULUCF|PM25|Non-fatal heart attacks", US_national_yearly!$D:$AM, 10, FALSE), 1)</f>
        <v>6.0892887182059699E-6</v>
      </c>
      <c r="L13" s="7">
        <f>$B13 * IFERROR(VLOOKUP("LULUCF|PM25|Non-fatal heart attacks", US_national_yearly!$D:$AM, 20, FALSE) / VLOOKUP("LULUCF|PM25|Non-fatal heart attacks", US_national_yearly!$D:$AM, 10, FALSE), 1)</f>
        <v>6.1977359242342184E-6</v>
      </c>
      <c r="M13" s="7">
        <f>$B13 * IFERROR(VLOOKUP("LULUCF|PM25|Non-fatal heart attacks", US_national_yearly!$D:$AM, 21, FALSE) / VLOOKUP("LULUCF|PM25|Non-fatal heart attacks", US_national_yearly!$D:$AM, 10, FALSE), 1)</f>
        <v>6.3061831302624678E-6</v>
      </c>
      <c r="N13" s="7">
        <f>$B13 * IFERROR(VLOOKUP("LULUCF|PM25|Non-fatal heart attacks", US_national_yearly!$D:$AM, 22, FALSE) / VLOOKUP("LULUCF|PM25|Non-fatal heart attacks", US_national_yearly!$D:$AM, 10, FALSE), 1)</f>
        <v>6.3761208694793089E-6</v>
      </c>
      <c r="O13" s="7">
        <f>$B13 * IFERROR(VLOOKUP("LULUCF|PM25|Non-fatal heart attacks", US_national_yearly!$D:$AM, 23, FALSE) / VLOOKUP("LULUCF|PM25|Non-fatal heart attacks", US_national_yearly!$D:$AM, 10, FALSE), 1)</f>
        <v>6.4460586086961516E-6</v>
      </c>
      <c r="P13" s="7">
        <f>$B13 * IFERROR(VLOOKUP("LULUCF|PM25|Non-fatal heart attacks", US_national_yearly!$D:$AM, 24, FALSE) / VLOOKUP("LULUCF|PM25|Non-fatal heart attacks", US_national_yearly!$D:$AM, 10, FALSE), 1)</f>
        <v>6.5159963479129943E-6</v>
      </c>
      <c r="Q13" s="7">
        <f>$B13 * IFERROR(VLOOKUP("LULUCF|PM25|Non-fatal heart attacks", US_national_yearly!$D:$AM, 25, FALSE) / VLOOKUP("LULUCF|PM25|Non-fatal heart attacks", US_national_yearly!$D:$AM, 10, FALSE), 1)</f>
        <v>6.5859340871298353E-6</v>
      </c>
      <c r="R13" s="7">
        <f>$B13 * IFERROR(VLOOKUP("LULUCF|PM25|Non-fatal heart attacks", US_national_yearly!$D:$AM, 26, FALSE) / VLOOKUP("LULUCF|PM25|Non-fatal heart attacks", US_national_yearly!$D:$AM, 10, FALSE), 1)</f>
        <v>6.655871826346678E-6</v>
      </c>
      <c r="S13" s="7">
        <f>$B13 * IFERROR(VLOOKUP("LULUCF|PM25|Non-fatal heart attacks", US_national_yearly!$D:$AM, 27, FALSE) / VLOOKUP("LULUCF|PM25|Non-fatal heart attacks", US_national_yearly!$D:$AM, 10, FALSE), 1)</f>
        <v>6.6927030379242275E-6</v>
      </c>
      <c r="T13" s="7">
        <f>$B13 * IFERROR(VLOOKUP("LULUCF|PM25|Non-fatal heart attacks", US_national_yearly!$D:$AM, 28, FALSE) / VLOOKUP("LULUCF|PM25|Non-fatal heart attacks", US_national_yearly!$D:$AM, 10, FALSE), 1)</f>
        <v>6.7295342495017787E-6</v>
      </c>
      <c r="U13" s="7">
        <f>$B13 * IFERROR(VLOOKUP("LULUCF|PM25|Non-fatal heart attacks", US_national_yearly!$D:$AM, 29, FALSE) / VLOOKUP("LULUCF|PM25|Non-fatal heart attacks", US_national_yearly!$D:$AM, 10, FALSE), 1)</f>
        <v>6.7663654610793298E-6</v>
      </c>
      <c r="V13" s="7">
        <f>$B13 * IFERROR(VLOOKUP("LULUCF|PM25|Non-fatal heart attacks", US_national_yearly!$D:$AM, 30, FALSE) / VLOOKUP("LULUCF|PM25|Non-fatal heart attacks", US_national_yearly!$D:$AM, 10, FALSE), 1)</f>
        <v>6.8031966726568801E-6</v>
      </c>
      <c r="W13" s="7">
        <f>$B13 * IFERROR(VLOOKUP("LULUCF|PM25|Non-fatal heart attacks", US_national_yearly!$D:$AM, 31, FALSE) / VLOOKUP("LULUCF|PM25|Non-fatal heart attacks", US_national_yearly!$D:$AM, 10, FALSE), 1)</f>
        <v>6.8400278842344304E-6</v>
      </c>
      <c r="X13" s="7">
        <f>$B13 * IFERROR(VLOOKUP("LULUCF|PM25|Non-fatal heart attacks", US_national_yearly!$D:$AM, 32, FALSE) / VLOOKUP("LULUCF|PM25|Non-fatal heart attacks", US_national_yearly!$D:$AM, 10, FALSE), 1)</f>
        <v>6.8679880995055316E-6</v>
      </c>
      <c r="Y13" s="7">
        <f>$B13 * IFERROR(VLOOKUP("LULUCF|PM25|Non-fatal heart attacks", US_national_yearly!$D:$AM, 33, FALSE) / VLOOKUP("LULUCF|PM25|Non-fatal heart attacks", US_national_yearly!$D:$AM, 10, FALSE), 1)</f>
        <v>6.8959483147766344E-6</v>
      </c>
      <c r="Z13" s="7">
        <f>$B13 * IFERROR(VLOOKUP("LULUCF|PM25|Non-fatal heart attacks", US_national_yearly!$D:$AM, 34, FALSE) / VLOOKUP("LULUCF|PM25|Non-fatal heart attacks", US_national_yearly!$D:$AM, 10, FALSE), 1)</f>
        <v>6.9239085300477355E-6</v>
      </c>
      <c r="AA13" s="7">
        <f>$B13 * IFERROR(VLOOKUP("LULUCF|PM25|Non-fatal heart attacks", US_national_yearly!$D:$AM, 35, FALSE) / VLOOKUP("LULUCF|PM25|Non-fatal heart attacks", US_national_yearly!$D:$AM, 10, FALSE), 1)</f>
        <v>6.9518687453188383E-6</v>
      </c>
      <c r="AB13" s="7">
        <f>$B13 * IFERROR(VLOOKUP("LULUCF|PM25|Non-fatal heart attacks", US_national_yearly!$D:$AM, 36, FALSE) / VLOOKUP("LULUCF|PM25|Non-fatal heart attacks", US_national_yearly!$D:$AM, 10, FALSE), 1)</f>
        <v>6.9798289605899395E-6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5.0898912906093075E-3</v>
      </c>
      <c r="C14" s="7">
        <f>$B14 * IFERROR(VLOOKUP("LULUCF|PM25|Minor restricted activity days", US_national_yearly!$D:$AM, 11, FALSE) / VLOOKUP("LULUCF|PM25|Minor restricted activity days", US_national_yearly!$D:$AM, 10, FALSE), 1)</f>
        <v>5.102321408755682E-3</v>
      </c>
      <c r="D14" s="7">
        <f>$B14 * IFERROR(VLOOKUP("LULUCF|PM25|Minor restricted activity days", US_national_yearly!$D:$AM, 12, FALSE) / VLOOKUP("LULUCF|PM25|Minor restricted activity days", US_national_yearly!$D:$AM, 10, FALSE), 1)</f>
        <v>5.1147515269020566E-3</v>
      </c>
      <c r="E14" s="7">
        <f>$B14 * IFERROR(VLOOKUP("LULUCF|PM25|Minor restricted activity days", US_national_yearly!$D:$AM, 13, FALSE) / VLOOKUP("LULUCF|PM25|Minor restricted activity days", US_national_yearly!$D:$AM, 10, FALSE), 1)</f>
        <v>5.1271816450484328E-3</v>
      </c>
      <c r="F14" s="7">
        <f>$B14 * IFERROR(VLOOKUP("LULUCF|PM25|Minor restricted activity days", US_national_yearly!$D:$AM, 14, FALSE) / VLOOKUP("LULUCF|PM25|Minor restricted activity days", US_national_yearly!$D:$AM, 10, FALSE), 1)</f>
        <v>5.1396117631948065E-3</v>
      </c>
      <c r="G14" s="7">
        <f>$B14 * IFERROR(VLOOKUP("LULUCF|PM25|Minor restricted activity days", US_national_yearly!$D:$AM, 15, FALSE) / VLOOKUP("LULUCF|PM25|Minor restricted activity days", US_national_yearly!$D:$AM, 10, FALSE), 1)</f>
        <v>5.1579520305185828E-3</v>
      </c>
      <c r="H14" s="7">
        <f>$B14 * IFERROR(VLOOKUP("LULUCF|PM25|Minor restricted activity days", US_national_yearly!$D:$AM, 16, FALSE) / VLOOKUP("LULUCF|PM25|Minor restricted activity days", US_national_yearly!$D:$AM, 10, FALSE), 1)</f>
        <v>5.1762922978423592E-3</v>
      </c>
      <c r="I14" s="7">
        <f>$B14 * IFERROR(VLOOKUP("LULUCF|PM25|Minor restricted activity days", US_national_yearly!$D:$AM, 17, FALSE) / VLOOKUP("LULUCF|PM25|Minor restricted activity days", US_national_yearly!$D:$AM, 10, FALSE), 1)</f>
        <v>5.2076457564226384E-3</v>
      </c>
      <c r="J14" s="7">
        <f>$B14 * IFERROR(VLOOKUP("LULUCF|PM25|Minor restricted activity days", US_national_yearly!$D:$AM, 18, FALSE) / VLOOKUP("LULUCF|PM25|Minor restricted activity days", US_national_yearly!$D:$AM, 10, FALSE), 1)</f>
        <v>5.238999215002915E-3</v>
      </c>
      <c r="K14" s="7">
        <f>$B14 * IFERROR(VLOOKUP("LULUCF|PM25|Minor restricted activity days", US_national_yearly!$D:$AM, 19, FALSE) / VLOOKUP("LULUCF|PM25|Minor restricted activity days", US_national_yearly!$D:$AM, 10, FALSE), 1)</f>
        <v>5.2703526735831934E-3</v>
      </c>
      <c r="L14" s="7">
        <f>$B14 * IFERROR(VLOOKUP("LULUCF|PM25|Minor restricted activity days", US_national_yearly!$D:$AM, 20, FALSE) / VLOOKUP("LULUCF|PM25|Minor restricted activity days", US_national_yearly!$D:$AM, 10, FALSE), 1)</f>
        <v>5.3017061321634709E-3</v>
      </c>
      <c r="M14" s="7">
        <f>$B14 * IFERROR(VLOOKUP("LULUCF|PM25|Minor restricted activity days", US_national_yearly!$D:$AM, 21, FALSE) / VLOOKUP("LULUCF|PM25|Minor restricted activity days", US_national_yearly!$D:$AM, 10, FALSE), 1)</f>
        <v>5.3330595907437493E-3</v>
      </c>
      <c r="N14" s="7">
        <f>$B14 * IFERROR(VLOOKUP("LULUCF|PM25|Minor restricted activity days", US_national_yearly!$D:$AM, 22, FALSE) / VLOOKUP("LULUCF|PM25|Minor restricted activity days", US_national_yearly!$D:$AM, 10, FALSE), 1)</f>
        <v>5.3757692437925893E-3</v>
      </c>
      <c r="O14" s="7">
        <f>$B14 * IFERROR(VLOOKUP("LULUCF|PM25|Minor restricted activity days", US_national_yearly!$D:$AM, 23, FALSE) / VLOOKUP("LULUCF|PM25|Minor restricted activity days", US_national_yearly!$D:$AM, 10, FALSE), 1)</f>
        <v>5.4184788968414284E-3</v>
      </c>
      <c r="P14" s="7">
        <f>$B14 * IFERROR(VLOOKUP("LULUCF|PM25|Minor restricted activity days", US_national_yearly!$D:$AM, 24, FALSE) / VLOOKUP("LULUCF|PM25|Minor restricted activity days", US_national_yearly!$D:$AM, 10, FALSE), 1)</f>
        <v>5.4611885498902684E-3</v>
      </c>
      <c r="Q14" s="7">
        <f>$B14 * IFERROR(VLOOKUP("LULUCF|PM25|Minor restricted activity days", US_national_yearly!$D:$AM, 25, FALSE) / VLOOKUP("LULUCF|PM25|Minor restricted activity days", US_national_yearly!$D:$AM, 10, FALSE), 1)</f>
        <v>5.5038982029391075E-3</v>
      </c>
      <c r="R14" s="7">
        <f>$B14 * IFERROR(VLOOKUP("LULUCF|PM25|Minor restricted activity days", US_national_yearly!$D:$AM, 26, FALSE) / VLOOKUP("LULUCF|PM25|Minor restricted activity days", US_national_yearly!$D:$AM, 10, FALSE), 1)</f>
        <v>5.5466078559879466E-3</v>
      </c>
      <c r="S14" s="7">
        <f>$B14 * IFERROR(VLOOKUP("LULUCF|PM25|Minor restricted activity days", US_national_yearly!$D:$AM, 27, FALSE) / VLOOKUP("LULUCF|PM25|Minor restricted activity days", US_national_yearly!$D:$AM, 10, FALSE), 1)</f>
        <v>5.5896116364222599E-3</v>
      </c>
      <c r="T14" s="7">
        <f>$B14 * IFERROR(VLOOKUP("LULUCF|PM25|Minor restricted activity days", US_national_yearly!$D:$AM, 28, FALSE) / VLOOKUP("LULUCF|PM25|Minor restricted activity days", US_national_yearly!$D:$AM, 10, FALSE), 1)</f>
        <v>5.6326154168565741E-3</v>
      </c>
      <c r="U14" s="7">
        <f>$B14 * IFERROR(VLOOKUP("LULUCF|PM25|Minor restricted activity days", US_national_yearly!$D:$AM, 29, FALSE) / VLOOKUP("LULUCF|PM25|Minor restricted activity days", US_national_yearly!$D:$AM, 10, FALSE), 1)</f>
        <v>5.6756191972908874E-3</v>
      </c>
      <c r="V14" s="7">
        <f>$B14 * IFERROR(VLOOKUP("LULUCF|PM25|Minor restricted activity days", US_national_yearly!$D:$AM, 30, FALSE) / VLOOKUP("LULUCF|PM25|Minor restricted activity days", US_national_yearly!$D:$AM, 10, FALSE), 1)</f>
        <v>5.7186229777252007E-3</v>
      </c>
      <c r="W14" s="7">
        <f>$B14 * IFERROR(VLOOKUP("LULUCF|PM25|Minor restricted activity days", US_national_yearly!$D:$AM, 31, FALSE) / VLOOKUP("LULUCF|PM25|Minor restricted activity days", US_national_yearly!$D:$AM, 10, FALSE), 1)</f>
        <v>5.7616267581595149E-3</v>
      </c>
      <c r="X14" s="7">
        <f>$B14 * IFERROR(VLOOKUP("LULUCF|PM25|Minor restricted activity days", US_national_yearly!$D:$AM, 32, FALSE) / VLOOKUP("LULUCF|PM25|Minor restricted activity days", US_national_yearly!$D:$AM, 10, FALSE), 1)</f>
        <v>5.7989583658391228E-3</v>
      </c>
      <c r="Y14" s="7">
        <f>$B14 * IFERROR(VLOOKUP("LULUCF|PM25|Minor restricted activity days", US_national_yearly!$D:$AM, 33, FALSE) / VLOOKUP("LULUCF|PM25|Minor restricted activity days", US_national_yearly!$D:$AM, 10, FALSE), 1)</f>
        <v>5.8362899735187306E-3</v>
      </c>
      <c r="Z14" s="7">
        <f>$B14 * IFERROR(VLOOKUP("LULUCF|PM25|Minor restricted activity days", US_national_yearly!$D:$AM, 34, FALSE) / VLOOKUP("LULUCF|PM25|Minor restricted activity days", US_national_yearly!$D:$AM, 10, FALSE), 1)</f>
        <v>5.8736215811983385E-3</v>
      </c>
      <c r="AA14" s="7">
        <f>$B14 * IFERROR(VLOOKUP("LULUCF|PM25|Minor restricted activity days", US_national_yearly!$D:$AM, 35, FALSE) / VLOOKUP("LULUCF|PM25|Minor restricted activity days", US_national_yearly!$D:$AM, 10, FALSE), 1)</f>
        <v>5.9109531888779454E-3</v>
      </c>
      <c r="AB14" s="7">
        <f>$B14 * IFERROR(VLOOKUP("LULUCF|PM25|Minor restricted activity days", US_national_yearly!$D:$AM, 36, FALSE) / VLOOKUP("LULUCF|PM25|Minor restricted activity days", US_national_yearly!$D:$AM, 10, FALSE), 1)</f>
        <v>5.9482847965575542E-3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8.6539214903810628E-4</v>
      </c>
      <c r="C15" s="7">
        <f>$B15 * IFERROR(VLOOKUP("LULUCF|PM25|Work loss days", US_national_yearly!$D:$AM, 11, FALSE) / VLOOKUP("LULUCF|PM25|Work loss days", US_national_yearly!$D:$AM, 10, FALSE), 1)</f>
        <v>8.6807455301114581E-4</v>
      </c>
      <c r="D15" s="7">
        <f>$B15 * IFERROR(VLOOKUP("LULUCF|PM25|Work loss days", US_national_yearly!$D:$AM, 12, FALSE) / VLOOKUP("LULUCF|PM25|Work loss days", US_national_yearly!$D:$AM, 10, FALSE), 1)</f>
        <v>8.7075695698418556E-4</v>
      </c>
      <c r="E15" s="7">
        <f>$B15 * IFERROR(VLOOKUP("LULUCF|PM25|Work loss days", US_national_yearly!$D:$AM, 13, FALSE) / VLOOKUP("LULUCF|PM25|Work loss days", US_national_yearly!$D:$AM, 10, FALSE), 1)</f>
        <v>8.734393609572251E-4</v>
      </c>
      <c r="F15" s="7">
        <f>$B15 * IFERROR(VLOOKUP("LULUCF|PM25|Work loss days", US_national_yearly!$D:$AM, 14, FALSE) / VLOOKUP("LULUCF|PM25|Work loss days", US_national_yearly!$D:$AM, 10, FALSE), 1)</f>
        <v>8.7612176493026474E-4</v>
      </c>
      <c r="G15" s="7">
        <f>$B15 * IFERROR(VLOOKUP("LULUCF|PM25|Work loss days", US_national_yearly!$D:$AM, 15, FALSE) / VLOOKUP("LULUCF|PM25|Work loss days", US_national_yearly!$D:$AM, 10, FALSE), 1)</f>
        <v>8.7963856770568983E-4</v>
      </c>
      <c r="H15" s="7">
        <f>$B15 * IFERROR(VLOOKUP("LULUCF|PM25|Work loss days", US_national_yearly!$D:$AM, 16, FALSE) / VLOOKUP("LULUCF|PM25|Work loss days", US_national_yearly!$D:$AM, 10, FALSE), 1)</f>
        <v>8.8315537048111513E-4</v>
      </c>
      <c r="I15" s="7">
        <f>$B15 * IFERROR(VLOOKUP("LULUCF|PM25|Work loss days", US_national_yearly!$D:$AM, 17, FALSE) / VLOOKUP("LULUCF|PM25|Work loss days", US_national_yearly!$D:$AM, 10, FALSE), 1)</f>
        <v>8.883342493631579E-4</v>
      </c>
      <c r="J15" s="7">
        <f>$B15 * IFERROR(VLOOKUP("LULUCF|PM25|Work loss days", US_national_yearly!$D:$AM, 18, FALSE) / VLOOKUP("LULUCF|PM25|Work loss days", US_national_yearly!$D:$AM, 10, FALSE), 1)</f>
        <v>8.9351312824520067E-4</v>
      </c>
      <c r="K15" s="7">
        <f>$B15 * IFERROR(VLOOKUP("LULUCF|PM25|Work loss days", US_national_yearly!$D:$AM, 19, FALSE) / VLOOKUP("LULUCF|PM25|Work loss days", US_national_yearly!$D:$AM, 10, FALSE), 1)</f>
        <v>8.9869200712724355E-4</v>
      </c>
      <c r="L15" s="7">
        <f>$B15 * IFERROR(VLOOKUP("LULUCF|PM25|Work loss days", US_national_yearly!$D:$AM, 20, FALSE) / VLOOKUP("LULUCF|PM25|Work loss days", US_national_yearly!$D:$AM, 10, FALSE), 1)</f>
        <v>9.0387088600928631E-4</v>
      </c>
      <c r="M15" s="7">
        <f>$B15 * IFERROR(VLOOKUP("LULUCF|PM25|Work loss days", US_national_yearly!$D:$AM, 21, FALSE) / VLOOKUP("LULUCF|PM25|Work loss days", US_national_yearly!$D:$AM, 10, FALSE), 1)</f>
        <v>9.0904976489132919E-4</v>
      </c>
      <c r="N15" s="7">
        <f>$B15 * IFERROR(VLOOKUP("LULUCF|PM25|Work loss days", US_national_yearly!$D:$AM, 22, FALSE) / VLOOKUP("LULUCF|PM25|Work loss days", US_national_yearly!$D:$AM, 10, FALSE), 1)</f>
        <v>9.1556777594751365E-4</v>
      </c>
      <c r="O15" s="7">
        <f>$B15 * IFERROR(VLOOKUP("LULUCF|PM25|Work loss days", US_national_yearly!$D:$AM, 23, FALSE) / VLOOKUP("LULUCF|PM25|Work loss days", US_national_yearly!$D:$AM, 10, FALSE), 1)</f>
        <v>9.2208578700369789E-4</v>
      </c>
      <c r="P15" s="7">
        <f>$B15 * IFERROR(VLOOKUP("LULUCF|PM25|Work loss days", US_national_yearly!$D:$AM, 24, FALSE) / VLOOKUP("LULUCF|PM25|Work loss days", US_national_yearly!$D:$AM, 10, FALSE), 1)</f>
        <v>9.2860379805988224E-4</v>
      </c>
      <c r="Q15" s="7">
        <f>$B15 * IFERROR(VLOOKUP("LULUCF|PM25|Work loss days", US_national_yearly!$D:$AM, 25, FALSE) / VLOOKUP("LULUCF|PM25|Work loss days", US_national_yearly!$D:$AM, 10, FALSE), 1)</f>
        <v>9.3512180911606649E-4</v>
      </c>
      <c r="R15" s="7">
        <f>$B15 * IFERROR(VLOOKUP("LULUCF|PM25|Work loss days", US_national_yearly!$D:$AM, 26, FALSE) / VLOOKUP("LULUCF|PM25|Work loss days", US_national_yearly!$D:$AM, 10, FALSE), 1)</f>
        <v>9.4163982017225094E-4</v>
      </c>
      <c r="S15" s="7">
        <f>$B15 * IFERROR(VLOOKUP("LULUCF|PM25|Work loss days", US_national_yearly!$D:$AM, 27, FALSE) / VLOOKUP("LULUCF|PM25|Work loss days", US_national_yearly!$D:$AM, 10, FALSE), 1)</f>
        <v>9.4884901867679013E-4</v>
      </c>
      <c r="T15" s="7">
        <f>$B15 * IFERROR(VLOOKUP("LULUCF|PM25|Work loss days", US_national_yearly!$D:$AM, 28, FALSE) / VLOOKUP("LULUCF|PM25|Work loss days", US_national_yearly!$D:$AM, 10, FALSE), 1)</f>
        <v>9.5605821718132943E-4</v>
      </c>
      <c r="U15" s="7">
        <f>$B15 * IFERROR(VLOOKUP("LULUCF|PM25|Work loss days", US_national_yearly!$D:$AM, 29, FALSE) / VLOOKUP("LULUCF|PM25|Work loss days", US_national_yearly!$D:$AM, 10, FALSE), 1)</f>
        <v>9.632674156858684E-4</v>
      </c>
      <c r="V15" s="7">
        <f>$B15 * IFERROR(VLOOKUP("LULUCF|PM25|Work loss days", US_national_yearly!$D:$AM, 30, FALSE) / VLOOKUP("LULUCF|PM25|Work loss days", US_national_yearly!$D:$AM, 10, FALSE), 1)</f>
        <v>9.704766141904078E-4</v>
      </c>
      <c r="W15" s="7">
        <f>$B15 * IFERROR(VLOOKUP("LULUCF|PM25|Work loss days", US_national_yearly!$D:$AM, 31, FALSE) / VLOOKUP("LULUCF|PM25|Work loss days", US_national_yearly!$D:$AM, 10, FALSE), 1)</f>
        <v>9.7768581269494698E-4</v>
      </c>
      <c r="X15" s="7">
        <f>$B15 * IFERROR(VLOOKUP("LULUCF|PM25|Work loss days", US_national_yearly!$D:$AM, 32, FALSE) / VLOOKUP("LULUCF|PM25|Work loss days", US_national_yearly!$D:$AM, 10, FALSE), 1)</f>
        <v>9.8408231611542447E-4</v>
      </c>
      <c r="Y15" s="7">
        <f>$B15 * IFERROR(VLOOKUP("LULUCF|PM25|Work loss days", US_national_yearly!$D:$AM, 33, FALSE) / VLOOKUP("LULUCF|PM25|Work loss days", US_national_yearly!$D:$AM, 10, FALSE), 1)</f>
        <v>9.9047881953590175E-4</v>
      </c>
      <c r="Z15" s="7">
        <f>$B15 * IFERROR(VLOOKUP("LULUCF|PM25|Work loss days", US_national_yearly!$D:$AM, 34, FALSE) / VLOOKUP("LULUCF|PM25|Work loss days", US_national_yearly!$D:$AM, 10, FALSE), 1)</f>
        <v>9.9687532295637945E-4</v>
      </c>
      <c r="AA15" s="7">
        <f>$B15 * IFERROR(VLOOKUP("LULUCF|PM25|Work loss days", US_national_yearly!$D:$AM, 35, FALSE) / VLOOKUP("LULUCF|PM25|Work loss days", US_national_yearly!$D:$AM, 10, FALSE), 1)</f>
        <v>1.0032718263768572E-3</v>
      </c>
      <c r="AB15" s="7">
        <f>$B15 * IFERROR(VLOOKUP("LULUCF|PM25|Work loss days", US_national_yearly!$D:$AM, 36, FALSE) / VLOOKUP("LULUCF|PM25|Work loss days", US_national_yearly!$D:$AM, 10, FALSE), 1)</f>
        <v>1.0096683297973344E-3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1.1808817674583833E-6</v>
      </c>
      <c r="C17" s="7">
        <f>$B17 * IFERROR(VLOOKUP("LULUCF|PM25|Cardiovascular hospital admissions", US_national_yearly!$D:$AM, 11, FALSE) / VLOOKUP("LULUCF|PM25|Cardiovascular hospital admissions", US_national_yearly!$D:$AM, 10, FALSE), 1)</f>
        <v>1.2161673381188014E-6</v>
      </c>
      <c r="D17" s="7">
        <f>$B17 * IFERROR(VLOOKUP("LULUCF|PM25|Cardiovascular hospital admissions", US_national_yearly!$D:$AM, 12, FALSE) / VLOOKUP("LULUCF|PM25|Cardiovascular hospital admissions", US_national_yearly!$D:$AM, 10, FALSE), 1)</f>
        <v>1.2514529087792198E-6</v>
      </c>
      <c r="E17" s="7">
        <f>$B17 * IFERROR(VLOOKUP("LULUCF|PM25|Cardiovascular hospital admissions", US_national_yearly!$D:$AM, 13, FALSE) / VLOOKUP("LULUCF|PM25|Cardiovascular hospital admissions", US_national_yearly!$D:$AM, 10, FALSE), 1)</f>
        <v>1.2867384794396381E-6</v>
      </c>
      <c r="F17" s="7">
        <f>$B17 * IFERROR(VLOOKUP("LULUCF|PM25|Cardiovascular hospital admissions", US_national_yearly!$D:$AM, 14, FALSE) / VLOOKUP("LULUCF|PM25|Cardiovascular hospital admissions", US_national_yearly!$D:$AM, 10, FALSE), 1)</f>
        <v>1.3220240501000564E-6</v>
      </c>
      <c r="G17" s="7">
        <f>$B17 * IFERROR(VLOOKUP("LULUCF|PM25|Cardiovascular hospital admissions", US_national_yearly!$D:$AM, 15, FALSE) / VLOOKUP("LULUCF|PM25|Cardiovascular hospital admissions", US_national_yearly!$D:$AM, 10, FALSE), 1)</f>
        <v>1.3558213238459099E-6</v>
      </c>
      <c r="H17" s="7">
        <f>$B17 * IFERROR(VLOOKUP("LULUCF|PM25|Cardiovascular hospital admissions", US_national_yearly!$D:$AM, 16, FALSE) / VLOOKUP("LULUCF|PM25|Cardiovascular hospital admissions", US_national_yearly!$D:$AM, 10, FALSE), 1)</f>
        <v>1.3896185975917641E-6</v>
      </c>
      <c r="I17" s="7">
        <f>$B17 * IFERROR(VLOOKUP("LULUCF|PM25|Cardiovascular hospital admissions", US_national_yearly!$D:$AM, 17, FALSE) / VLOOKUP("LULUCF|PM25|Cardiovascular hospital admissions", US_national_yearly!$D:$AM, 10, FALSE), 1)</f>
        <v>1.4185238816439301E-6</v>
      </c>
      <c r="J17" s="7">
        <f>$B17 * IFERROR(VLOOKUP("LULUCF|PM25|Cardiovascular hospital admissions", US_national_yearly!$D:$AM, 18, FALSE) / VLOOKUP("LULUCF|PM25|Cardiovascular hospital admissions", US_national_yearly!$D:$AM, 10, FALSE), 1)</f>
        <v>1.4474291656960958E-6</v>
      </c>
      <c r="K17" s="7">
        <f>$B17 * IFERROR(VLOOKUP("LULUCF|PM25|Cardiovascular hospital admissions", US_national_yearly!$D:$AM, 19, FALSE) / VLOOKUP("LULUCF|PM25|Cardiovascular hospital admissions", US_national_yearly!$D:$AM, 10, FALSE), 1)</f>
        <v>1.4763344497482616E-6</v>
      </c>
      <c r="L17" s="7">
        <f>$B17 * IFERROR(VLOOKUP("LULUCF|PM25|Cardiovascular hospital admissions", US_national_yearly!$D:$AM, 20, FALSE) / VLOOKUP("LULUCF|PM25|Cardiovascular hospital admissions", US_national_yearly!$D:$AM, 10, FALSE), 1)</f>
        <v>1.5052397338004277E-6</v>
      </c>
      <c r="M17" s="7">
        <f>$B17 * IFERROR(VLOOKUP("LULUCF|PM25|Cardiovascular hospital admissions", US_national_yearly!$D:$AM, 21, FALSE) / VLOOKUP("LULUCF|PM25|Cardiovascular hospital admissions", US_national_yearly!$D:$AM, 10, FALSE), 1)</f>
        <v>1.5341450178525935E-6</v>
      </c>
      <c r="N17" s="7">
        <f>$B17 * IFERROR(VLOOKUP("LULUCF|PM25|Cardiovascular hospital admissions", US_national_yearly!$D:$AM, 22, FALSE) / VLOOKUP("LULUCF|PM25|Cardiovascular hospital admissions", US_national_yearly!$D:$AM, 10, FALSE), 1)</f>
        <v>1.5534168306763417E-6</v>
      </c>
      <c r="O17" s="7">
        <f>$B17 * IFERROR(VLOOKUP("LULUCF|PM25|Cardiovascular hospital admissions", US_national_yearly!$D:$AM, 23, FALSE) / VLOOKUP("LULUCF|PM25|Cardiovascular hospital admissions", US_national_yearly!$D:$AM, 10, FALSE), 1)</f>
        <v>1.5726886435000904E-6</v>
      </c>
      <c r="P17" s="7">
        <f>$B17 * IFERROR(VLOOKUP("LULUCF|PM25|Cardiovascular hospital admissions", US_national_yearly!$D:$AM, 24, FALSE) / VLOOKUP("LULUCF|PM25|Cardiovascular hospital admissions", US_national_yearly!$D:$AM, 10, FALSE), 1)</f>
        <v>1.5919604563238388E-6</v>
      </c>
      <c r="Q17" s="7">
        <f>$B17 * IFERROR(VLOOKUP("LULUCF|PM25|Cardiovascular hospital admissions", US_national_yearly!$D:$AM, 25, FALSE) / VLOOKUP("LULUCF|PM25|Cardiovascular hospital admissions", US_national_yearly!$D:$AM, 10, FALSE), 1)</f>
        <v>1.6112322691475872E-6</v>
      </c>
      <c r="R17" s="7">
        <f>$B17 * IFERROR(VLOOKUP("LULUCF|PM25|Cardiovascular hospital admissions", US_national_yearly!$D:$AM, 26, FALSE) / VLOOKUP("LULUCF|PM25|Cardiovascular hospital admissions", US_national_yearly!$D:$AM, 10, FALSE), 1)</f>
        <v>1.6305040819713356E-6</v>
      </c>
      <c r="S17" s="7">
        <f>$B17 * IFERROR(VLOOKUP("LULUCF|PM25|Cardiovascular hospital admissions", US_national_yearly!$D:$AM, 27, FALSE) / VLOOKUP("LULUCF|PM25|Cardiovascular hospital admissions", US_national_yearly!$D:$AM, 10, FALSE), 1)</f>
        <v>1.6407006701921404E-6</v>
      </c>
      <c r="T17" s="7">
        <f>$B17 * IFERROR(VLOOKUP("LULUCF|PM25|Cardiovascular hospital admissions", US_national_yearly!$D:$AM, 28, FALSE) / VLOOKUP("LULUCF|PM25|Cardiovascular hospital admissions", US_national_yearly!$D:$AM, 10, FALSE), 1)</f>
        <v>1.650897258412945E-6</v>
      </c>
      <c r="U17" s="7">
        <f>$B17 * IFERROR(VLOOKUP("LULUCF|PM25|Cardiovascular hospital admissions", US_national_yearly!$D:$AM, 29, FALSE) / VLOOKUP("LULUCF|PM25|Cardiovascular hospital admissions", US_national_yearly!$D:$AM, 10, FALSE), 1)</f>
        <v>1.6610938466337494E-6</v>
      </c>
      <c r="V17" s="7">
        <f>$B17 * IFERROR(VLOOKUP("LULUCF|PM25|Cardiovascular hospital admissions", US_national_yearly!$D:$AM, 30, FALSE) / VLOOKUP("LULUCF|PM25|Cardiovascular hospital admissions", US_national_yearly!$D:$AM, 10, FALSE), 1)</f>
        <v>1.671290434854554E-6</v>
      </c>
      <c r="W17" s="7">
        <f>$B17 * IFERROR(VLOOKUP("LULUCF|PM25|Cardiovascular hospital admissions", US_national_yearly!$D:$AM, 31, FALSE) / VLOOKUP("LULUCF|PM25|Cardiovascular hospital admissions", US_national_yearly!$D:$AM, 10, FALSE), 1)</f>
        <v>1.6814870230753586E-6</v>
      </c>
      <c r="X17" s="7">
        <f>$B17 * IFERROR(VLOOKUP("LULUCF|PM25|Cardiovascular hospital admissions", US_national_yearly!$D:$AM, 32, FALSE) / VLOOKUP("LULUCF|PM25|Cardiovascular hospital admissions", US_national_yearly!$D:$AM, 10, FALSE), 1)</f>
        <v>1.6883515003912211E-6</v>
      </c>
      <c r="Y17" s="7">
        <f>$B17 * IFERROR(VLOOKUP("LULUCF|PM25|Cardiovascular hospital admissions", US_national_yearly!$D:$AM, 33, FALSE) / VLOOKUP("LULUCF|PM25|Cardiovascular hospital admissions", US_national_yearly!$D:$AM, 10, FALSE), 1)</f>
        <v>1.6952159777070835E-6</v>
      </c>
      <c r="Z17" s="7">
        <f>$B17 * IFERROR(VLOOKUP("LULUCF|PM25|Cardiovascular hospital admissions", US_national_yearly!$D:$AM, 34, FALSE) / VLOOKUP("LULUCF|PM25|Cardiovascular hospital admissions", US_national_yearly!$D:$AM, 10, FALSE), 1)</f>
        <v>1.702080455022946E-6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1.7089449323388085E-6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1.715809409654671E-6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1.6132095921973778E-5</v>
      </c>
      <c r="C2" s="7">
        <f>$B2 * IFERROR(VLOOKUP("LULUCF|NOx|Premature mortality", US_national_yearly!$D:$AM, 11, FALSE) / VLOOKUP("LULUCF|NOx|Premature mortality", US_national_yearly!$D:$AM, 10, FALSE), 1)</f>
        <v>1.6369049143739644E-5</v>
      </c>
      <c r="D2" s="7">
        <f>$B2 * IFERROR(VLOOKUP("LULUCF|NOx|Premature mortality", US_national_yearly!$D:$AM, 12, FALSE) / VLOOKUP("LULUCF|NOx|Premature mortality", US_national_yearly!$D:$AM, 10, FALSE), 1)</f>
        <v>1.6606002365505507E-5</v>
      </c>
      <c r="E2" s="7">
        <f>$B2 * IFERROR(VLOOKUP("LULUCF|NOx|Premature mortality", US_national_yearly!$D:$AM, 13, FALSE) / VLOOKUP("LULUCF|NOx|Premature mortality", US_national_yearly!$D:$AM, 10, FALSE), 1)</f>
        <v>1.6842955587271369E-5</v>
      </c>
      <c r="F2" s="7">
        <f>$B2 * IFERROR(VLOOKUP("LULUCF|NOx|Premature mortality", US_national_yearly!$D:$AM, 14, FALSE) / VLOOKUP("LULUCF|NOx|Premature mortality", US_national_yearly!$D:$AM, 10, FALSE), 1)</f>
        <v>1.7079908809037235E-5</v>
      </c>
      <c r="G2" s="7">
        <f>$B2 * IFERROR(VLOOKUP("LULUCF|NOx|Premature mortality", US_national_yearly!$D:$AM, 15, FALSE) / VLOOKUP("LULUCF|NOx|Premature mortality", US_national_yearly!$D:$AM, 10, FALSE), 1)</f>
        <v>1.7505532816805646E-5</v>
      </c>
      <c r="H2" s="7">
        <f>$B2 * IFERROR(VLOOKUP("LULUCF|NOx|Premature mortality", US_national_yearly!$D:$AM, 16, FALSE) / VLOOKUP("LULUCF|NOx|Premature mortality", US_national_yearly!$D:$AM, 10, FALSE), 1)</f>
        <v>1.7931156824574063E-5</v>
      </c>
      <c r="I2" s="7">
        <f>$B2 * IFERROR(VLOOKUP("LULUCF|NOx|Premature mortality", US_national_yearly!$D:$AM, 17, FALSE) / VLOOKUP("LULUCF|NOx|Premature mortality", US_national_yearly!$D:$AM, 10, FALSE), 1)</f>
        <v>1.8205905195095023E-5</v>
      </c>
      <c r="J2" s="7">
        <f>$B2 * IFERROR(VLOOKUP("LULUCF|NOx|Premature mortality", US_national_yearly!$D:$AM, 18, FALSE) / VLOOKUP("LULUCF|NOx|Premature mortality", US_national_yearly!$D:$AM, 10, FALSE), 1)</f>
        <v>1.8480653565615983E-5</v>
      </c>
      <c r="K2" s="7">
        <f>$B2 * IFERROR(VLOOKUP("LULUCF|NOx|Premature mortality", US_national_yearly!$D:$AM, 19, FALSE) / VLOOKUP("LULUCF|NOx|Premature mortality", US_national_yearly!$D:$AM, 10, FALSE), 1)</f>
        <v>1.8755401936136943E-5</v>
      </c>
      <c r="L2" s="7">
        <f>$B2 * IFERROR(VLOOKUP("LULUCF|NOx|Premature mortality", US_national_yearly!$D:$AM, 20, FALSE) / VLOOKUP("LULUCF|NOx|Premature mortality", US_national_yearly!$D:$AM, 10, FALSE), 1)</f>
        <v>1.90301503066579E-5</v>
      </c>
      <c r="M2" s="7">
        <f>$B2 * IFERROR(VLOOKUP("LULUCF|NOx|Premature mortality", US_national_yearly!$D:$AM, 21, FALSE) / VLOOKUP("LULUCF|NOx|Premature mortality", US_national_yearly!$D:$AM, 10, FALSE), 1)</f>
        <v>1.9304898677178863E-5</v>
      </c>
      <c r="N2" s="7">
        <f>$B2 * IFERROR(VLOOKUP("LULUCF|NOx|Premature mortality", US_national_yearly!$D:$AM, 22, FALSE) / VLOOKUP("LULUCF|NOx|Premature mortality", US_national_yearly!$D:$AM, 10, FALSE), 1)</f>
        <v>1.9508431201964492E-5</v>
      </c>
      <c r="O2" s="7">
        <f>$B2 * IFERROR(VLOOKUP("LULUCF|NOx|Premature mortality", US_national_yearly!$D:$AM, 23, FALSE) / VLOOKUP("LULUCF|NOx|Premature mortality", US_national_yearly!$D:$AM, 10, FALSE), 1)</f>
        <v>1.9711963726750124E-5</v>
      </c>
      <c r="P2" s="7">
        <f>$B2 * IFERROR(VLOOKUP("LULUCF|NOx|Premature mortality", US_national_yearly!$D:$AM, 24, FALSE) / VLOOKUP("LULUCF|NOx|Premature mortality", US_national_yearly!$D:$AM, 10, FALSE), 1)</f>
        <v>1.9915496251535753E-5</v>
      </c>
      <c r="Q2" s="7">
        <f>$B2 * IFERROR(VLOOKUP("LULUCF|NOx|Premature mortality", US_national_yearly!$D:$AM, 25, FALSE) / VLOOKUP("LULUCF|NOx|Premature mortality", US_national_yearly!$D:$AM, 10, FALSE), 1)</f>
        <v>2.0119028776321388E-5</v>
      </c>
      <c r="R2" s="7">
        <f>$B2 * IFERROR(VLOOKUP("LULUCF|NOx|Premature mortality", US_national_yearly!$D:$AM, 26, FALSE) / VLOOKUP("LULUCF|NOx|Premature mortality", US_national_yearly!$D:$AM, 10, FALSE), 1)</f>
        <v>2.0322561301107017E-5</v>
      </c>
      <c r="S2" s="7">
        <f>$B2 * IFERROR(VLOOKUP("LULUCF|NOx|Premature mortality", US_national_yearly!$D:$AM, 27, FALSE) / VLOOKUP("LULUCF|NOx|Premature mortality", US_national_yearly!$D:$AM, 10, FALSE), 1)</f>
        <v>2.0415068883167372E-5</v>
      </c>
      <c r="T2" s="7">
        <f>$B2 * IFERROR(VLOOKUP("LULUCF|NOx|Premature mortality", US_national_yearly!$D:$AM, 28, FALSE) / VLOOKUP("LULUCF|NOx|Premature mortality", US_national_yearly!$D:$AM, 10, FALSE), 1)</f>
        <v>2.0507576465227735E-5</v>
      </c>
      <c r="U2" s="7">
        <f>$B2 * IFERROR(VLOOKUP("LULUCF|NOx|Premature mortality", US_national_yearly!$D:$AM, 29, FALSE) / VLOOKUP("LULUCF|NOx|Premature mortality", US_national_yearly!$D:$AM, 10, FALSE), 1)</f>
        <v>2.060008404728809E-5</v>
      </c>
      <c r="V2" s="7">
        <f>$B2 * IFERROR(VLOOKUP("LULUCF|NOx|Premature mortality", US_national_yearly!$D:$AM, 30, FALSE) / VLOOKUP("LULUCF|NOx|Premature mortality", US_national_yearly!$D:$AM, 10, FALSE), 1)</f>
        <v>2.0692591629348446E-5</v>
      </c>
      <c r="W2" s="7">
        <f>$B2 * IFERROR(VLOOKUP("LULUCF|NOx|Premature mortality", US_national_yearly!$D:$AM, 31, FALSE) / VLOOKUP("LULUCF|NOx|Premature mortality", US_national_yearly!$D:$AM, 10, FALSE), 1)</f>
        <v>2.0785099211408808E-5</v>
      </c>
      <c r="X2" s="7">
        <f>$B2 * IFERROR(VLOOKUP("LULUCF|NOx|Premature mortality", US_national_yearly!$D:$AM, 32, FALSE) / VLOOKUP("LULUCF|NOx|Premature mortality", US_national_yearly!$D:$AM, 10, FALSE), 1)</f>
        <v>2.0788303620951601E-5</v>
      </c>
      <c r="Y2" s="7">
        <f>$B2 * IFERROR(VLOOKUP("LULUCF|NOx|Premature mortality", US_national_yearly!$D:$AM, 33, FALSE) / VLOOKUP("LULUCF|NOx|Premature mortality", US_national_yearly!$D:$AM, 10, FALSE), 1)</f>
        <v>2.0791508030494393E-5</v>
      </c>
      <c r="Z2" s="7">
        <f>$B2 * IFERROR(VLOOKUP("LULUCF|NOx|Premature mortality", US_national_yearly!$D:$AM, 34, FALSE) / VLOOKUP("LULUCF|NOx|Premature mortality", US_national_yearly!$D:$AM, 10, FALSE), 1)</f>
        <v>2.0794712440037186E-5</v>
      </c>
      <c r="AA2" s="7">
        <f>$B2 * IFERROR(VLOOKUP("LULUCF|NOx|Premature mortality", US_national_yearly!$D:$AM, 35, FALSE) / VLOOKUP("LULUCF|NOx|Premature mortality", US_national_yearly!$D:$AM, 10, FALSE), 1)</f>
        <v>2.0797916849579982E-5</v>
      </c>
      <c r="AB2" s="7">
        <f>$B2 * IFERROR(VLOOKUP("LULUCF|NOx|Premature mortality", US_national_yearly!$D:$AM, 36, FALSE) / VLOOKUP("LULUCF|NOx|Premature mortality", US_national_yearly!$D:$AM, 10, FALSE), 1)</f>
        <v>2.0801121259122778E-5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5.2885059523696287E-8</v>
      </c>
      <c r="C3" s="7">
        <f>$B3 * IFERROR(VLOOKUP("LULUCF|NOx|Infant mortality", US_national_yearly!$D:$AM, 11, FALSE) / VLOOKUP("LULUCF|NOx|Infant mortality", US_national_yearly!$D:$AM, 10, FALSE), 1)</f>
        <v>5.2381194572007431E-8</v>
      </c>
      <c r="D3" s="7">
        <f>$B3 * IFERROR(VLOOKUP("LULUCF|NOx|Infant mortality", US_national_yearly!$D:$AM, 12, FALSE) / VLOOKUP("LULUCF|NOx|Infant mortality", US_national_yearly!$D:$AM, 10, FALSE), 1)</f>
        <v>5.1877329620318574E-8</v>
      </c>
      <c r="E3" s="7">
        <f>$B3 * IFERROR(VLOOKUP("LULUCF|NOx|Infant mortality", US_national_yearly!$D:$AM, 13, FALSE) / VLOOKUP("LULUCF|NOx|Infant mortality", US_national_yearly!$D:$AM, 10, FALSE), 1)</f>
        <v>5.1373464668629718E-8</v>
      </c>
      <c r="F3" s="7">
        <f>$B3 * IFERROR(VLOOKUP("LULUCF|NOx|Infant mortality", US_national_yearly!$D:$AM, 14, FALSE) / VLOOKUP("LULUCF|NOx|Infant mortality", US_national_yearly!$D:$AM, 10, FALSE), 1)</f>
        <v>5.0869599716940862E-8</v>
      </c>
      <c r="G3" s="7">
        <f>$B3 * IFERROR(VLOOKUP("LULUCF|NOx|Infant mortality", US_national_yearly!$D:$AM, 15, FALSE) / VLOOKUP("LULUCF|NOx|Infant mortality", US_national_yearly!$D:$AM, 10, FALSE), 1)</f>
        <v>3.3769752282926075E-8</v>
      </c>
      <c r="H3" s="7">
        <f>$B3 * IFERROR(VLOOKUP("LULUCF|NOx|Infant mortality", US_national_yearly!$D:$AM, 16, FALSE) / VLOOKUP("LULUCF|NOx|Infant mortality", US_national_yearly!$D:$AM, 10, FALSE), 1)</f>
        <v>1.6669904848911291E-8</v>
      </c>
      <c r="I3" s="7">
        <f>$B3 * IFERROR(VLOOKUP("LULUCF|NOx|Infant mortality", US_national_yearly!$D:$AM, 17, FALSE) / VLOOKUP("LULUCF|NOx|Infant mortality", US_national_yearly!$D:$AM, 10, FALSE), 1)</f>
        <v>1.6552032705139482E-8</v>
      </c>
      <c r="J3" s="7">
        <f>$B3 * IFERROR(VLOOKUP("LULUCF|NOx|Infant mortality", US_national_yearly!$D:$AM, 18, FALSE) / VLOOKUP("LULUCF|NOx|Infant mortality", US_national_yearly!$D:$AM, 10, FALSE), 1)</f>
        <v>1.6434160561367666E-8</v>
      </c>
      <c r="K3" s="7">
        <f>$B3 * IFERROR(VLOOKUP("LULUCF|NOx|Infant mortality", US_national_yearly!$D:$AM, 19, FALSE) / VLOOKUP("LULUCF|NOx|Infant mortality", US_national_yearly!$D:$AM, 10, FALSE), 1)</f>
        <v>1.6316288417595853E-8</v>
      </c>
      <c r="L3" s="7">
        <f>$B3 * IFERROR(VLOOKUP("LULUCF|NOx|Infant mortality", US_national_yearly!$D:$AM, 20, FALSE) / VLOOKUP("LULUCF|NOx|Infant mortality", US_national_yearly!$D:$AM, 10, FALSE), 1)</f>
        <v>1.6198416273824044E-8</v>
      </c>
      <c r="M3" s="7">
        <f>$B3 * IFERROR(VLOOKUP("LULUCF|NOx|Infant mortality", US_national_yearly!$D:$AM, 21, FALSE) / VLOOKUP("LULUCF|NOx|Infant mortality", US_national_yearly!$D:$AM, 10, FALSE), 1)</f>
        <v>1.6080544130052228E-8</v>
      </c>
      <c r="N3" s="7">
        <f>$B3 * IFERROR(VLOOKUP("LULUCF|NOx|Infant mortality", US_national_yearly!$D:$AM, 22, FALSE) / VLOOKUP("LULUCF|NOx|Infant mortality", US_national_yearly!$D:$AM, 10, FALSE), 1)</f>
        <v>1.6002305529543698E-8</v>
      </c>
      <c r="O3" s="7">
        <f>$B3 * IFERROR(VLOOKUP("LULUCF|NOx|Infant mortality", US_national_yearly!$D:$AM, 23, FALSE) / VLOOKUP("LULUCF|NOx|Infant mortality", US_national_yearly!$D:$AM, 10, FALSE), 1)</f>
        <v>1.5924066929035168E-8</v>
      </c>
      <c r="P3" s="7">
        <f>$B3 * IFERROR(VLOOKUP("LULUCF|NOx|Infant mortality", US_national_yearly!$D:$AM, 24, FALSE) / VLOOKUP("LULUCF|NOx|Infant mortality", US_national_yearly!$D:$AM, 10, FALSE), 1)</f>
        <v>1.5845828328526639E-8</v>
      </c>
      <c r="Q3" s="7">
        <f>$B3 * IFERROR(VLOOKUP("LULUCF|NOx|Infant mortality", US_national_yearly!$D:$AM, 25, FALSE) / VLOOKUP("LULUCF|NOx|Infant mortality", US_national_yearly!$D:$AM, 10, FALSE), 1)</f>
        <v>1.5767589728018109E-8</v>
      </c>
      <c r="R3" s="7">
        <f>$B3 * IFERROR(VLOOKUP("LULUCF|NOx|Infant mortality", US_national_yearly!$D:$AM, 26, FALSE) / VLOOKUP("LULUCF|NOx|Infant mortality", US_national_yearly!$D:$AM, 10, FALSE), 1)</f>
        <v>1.5689351127509579E-8</v>
      </c>
      <c r="S3" s="7">
        <f>$B3 * IFERROR(VLOOKUP("LULUCF|NOx|Infant mortality", US_national_yearly!$D:$AM, 27, FALSE) / VLOOKUP("LULUCF|NOx|Infant mortality", US_national_yearly!$D:$AM, 10, FALSE), 1)</f>
        <v>1.5595295887896751E-8</v>
      </c>
      <c r="T3" s="7">
        <f>$B3 * IFERROR(VLOOKUP("LULUCF|NOx|Infant mortality", US_national_yearly!$D:$AM, 28, FALSE) / VLOOKUP("LULUCF|NOx|Infant mortality", US_national_yearly!$D:$AM, 10, FALSE), 1)</f>
        <v>1.5501240648283924E-8</v>
      </c>
      <c r="U3" s="7">
        <f>$B3 * IFERROR(VLOOKUP("LULUCF|NOx|Infant mortality", US_national_yearly!$D:$AM, 29, FALSE) / VLOOKUP("LULUCF|NOx|Infant mortality", US_national_yearly!$D:$AM, 10, FALSE), 1)</f>
        <v>1.5407185408671099E-8</v>
      </c>
      <c r="V3" s="7">
        <f>$B3 * IFERROR(VLOOKUP("LULUCF|NOx|Infant mortality", US_national_yearly!$D:$AM, 30, FALSE) / VLOOKUP("LULUCF|NOx|Infant mortality", US_national_yearly!$D:$AM, 10, FALSE), 1)</f>
        <v>1.5313130169058272E-8</v>
      </c>
      <c r="W3" s="7">
        <f>$B3 * IFERROR(VLOOKUP("LULUCF|NOx|Infant mortality", US_national_yearly!$D:$AM, 31, FALSE) / VLOOKUP("LULUCF|NOx|Infant mortality", US_national_yearly!$D:$AM, 10, FALSE), 1)</f>
        <v>1.5219074929445444E-8</v>
      </c>
      <c r="X3" s="7">
        <f>$B3 * IFERROR(VLOOKUP("LULUCF|NOx|Infant mortality", US_national_yearly!$D:$AM, 32, FALSE) / VLOOKUP("LULUCF|NOx|Infant mortality", US_national_yearly!$D:$AM, 10, FALSE), 1)</f>
        <v>1.511946588236971E-8</v>
      </c>
      <c r="Y3" s="7">
        <f>$B3 * IFERROR(VLOOKUP("LULUCF|NOx|Infant mortality", US_national_yearly!$D:$AM, 33, FALSE) / VLOOKUP("LULUCF|NOx|Infant mortality", US_national_yearly!$D:$AM, 10, FALSE), 1)</f>
        <v>1.5019856835293976E-8</v>
      </c>
      <c r="Z3" s="7">
        <f>$B3 * IFERROR(VLOOKUP("LULUCF|NOx|Infant mortality", US_national_yearly!$D:$AM, 34, FALSE) / VLOOKUP("LULUCF|NOx|Infant mortality", US_national_yearly!$D:$AM, 10, FALSE), 1)</f>
        <v>1.4920247788218242E-8</v>
      </c>
      <c r="AA3" s="7">
        <f>$B3 * IFERROR(VLOOKUP("LULUCF|NOx|Infant mortality", US_national_yearly!$D:$AM, 35, FALSE) / VLOOKUP("LULUCF|NOx|Infant mortality", US_national_yearly!$D:$AM, 10, FALSE), 1)</f>
        <v>1.4820638741142504E-8</v>
      </c>
      <c r="AB3" s="7">
        <f>$B3 * IFERROR(VLOOKUP("LULUCF|NOx|Infant mortality", US_national_yearly!$D:$AM, 36, FALSE) / VLOOKUP("LULUCF|NOx|Infant mortality", US_national_yearly!$D:$AM, 10, FALSE), 1)</f>
        <v>1.4721029694066769E-8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4.8293073620653647E-5</v>
      </c>
      <c r="C6" s="7">
        <f>$B6 * IFERROR(VLOOKUP("LULUCF|NOx|Asthma symptoms cough", US_national_yearly!$D:$AM, 11, FALSE) / VLOOKUP("LULUCF|NOx|Asthma symptoms cough", US_national_yearly!$D:$AM, 10, FALSE), 1)</f>
        <v>4.8953318893097906E-5</v>
      </c>
      <c r="D6" s="7">
        <f>$B6 * IFERROR(VLOOKUP("LULUCF|NOx|Asthma symptoms cough", US_national_yearly!$D:$AM, 12, FALSE) / VLOOKUP("LULUCF|NOx|Asthma symptoms cough", US_national_yearly!$D:$AM, 10, FALSE), 1)</f>
        <v>4.9613564165542165E-5</v>
      </c>
      <c r="E6" s="7">
        <f>$B6 * IFERROR(VLOOKUP("LULUCF|NOx|Asthma symptoms cough", US_national_yearly!$D:$AM, 13, FALSE) / VLOOKUP("LULUCF|NOx|Asthma symptoms cough", US_national_yearly!$D:$AM, 10, FALSE), 1)</f>
        <v>5.0273809437986423E-5</v>
      </c>
      <c r="F6" s="7">
        <f>$B6 * IFERROR(VLOOKUP("LULUCF|NOx|Asthma symptoms cough", US_national_yearly!$D:$AM, 14, FALSE) / VLOOKUP("LULUCF|NOx|Asthma symptoms cough", US_national_yearly!$D:$AM, 10, FALSE), 1)</f>
        <v>5.0934054710430682E-5</v>
      </c>
      <c r="G6" s="7">
        <f>$B6 * IFERROR(VLOOKUP("LULUCF|NOx|Asthma symptoms cough", US_national_yearly!$D:$AM, 15, FALSE) / VLOOKUP("LULUCF|NOx|Asthma symptoms cough", US_national_yearly!$D:$AM, 10, FALSE), 1)</f>
        <v>5.1461168297433851E-5</v>
      </c>
      <c r="H6" s="7">
        <f>$B6 * IFERROR(VLOOKUP("LULUCF|NOx|Asthma symptoms cough", US_national_yearly!$D:$AM, 16, FALSE) / VLOOKUP("LULUCF|NOx|Asthma symptoms cough", US_national_yearly!$D:$AM, 10, FALSE), 1)</f>
        <v>5.1988281884437027E-5</v>
      </c>
      <c r="I6" s="7">
        <f>$B6 * IFERROR(VLOOKUP("LULUCF|NOx|Asthma symptoms cough", US_national_yearly!$D:$AM, 17, FALSE) / VLOOKUP("LULUCF|NOx|Asthma symptoms cough", US_national_yearly!$D:$AM, 10, FALSE), 1)</f>
        <v>5.2169706845598764E-5</v>
      </c>
      <c r="J6" s="7">
        <f>$B6 * IFERROR(VLOOKUP("LULUCF|NOx|Asthma symptoms cough", US_national_yearly!$D:$AM, 18, FALSE) / VLOOKUP("LULUCF|NOx|Asthma symptoms cough", US_national_yearly!$D:$AM, 10, FALSE), 1)</f>
        <v>5.2351131806760514E-5</v>
      </c>
      <c r="K6" s="7">
        <f>$B6 * IFERROR(VLOOKUP("LULUCF|NOx|Asthma symptoms cough", US_national_yearly!$D:$AM, 19, FALSE) / VLOOKUP("LULUCF|NOx|Asthma symptoms cough", US_national_yearly!$D:$AM, 10, FALSE), 1)</f>
        <v>5.2532556767922251E-5</v>
      </c>
      <c r="L6" s="7">
        <f>$B6 * IFERROR(VLOOKUP("LULUCF|NOx|Asthma symptoms cough", US_national_yearly!$D:$AM, 20, FALSE) / VLOOKUP("LULUCF|NOx|Asthma symptoms cough", US_national_yearly!$D:$AM, 10, FALSE), 1)</f>
        <v>5.2713981729083987E-5</v>
      </c>
      <c r="M6" s="7">
        <f>$B6 * IFERROR(VLOOKUP("LULUCF|NOx|Asthma symptoms cough", US_national_yearly!$D:$AM, 21, FALSE) / VLOOKUP("LULUCF|NOx|Asthma symptoms cough", US_national_yearly!$D:$AM, 10, FALSE), 1)</f>
        <v>5.2895406690245737E-5</v>
      </c>
      <c r="N6" s="7">
        <f>$B6 * IFERROR(VLOOKUP("LULUCF|NOx|Asthma symptoms cough", US_national_yearly!$D:$AM, 22, FALSE) / VLOOKUP("LULUCF|NOx|Asthma symptoms cough", US_national_yearly!$D:$AM, 10, FALSE), 1)</f>
        <v>5.3105782442934277E-5</v>
      </c>
      <c r="O6" s="7">
        <f>$B6 * IFERROR(VLOOKUP("LULUCF|NOx|Asthma symptoms cough", US_national_yearly!$D:$AM, 23, FALSE) / VLOOKUP("LULUCF|NOx|Asthma symptoms cough", US_national_yearly!$D:$AM, 10, FALSE), 1)</f>
        <v>5.3316158195622809E-5</v>
      </c>
      <c r="P6" s="7">
        <f>$B6 * IFERROR(VLOOKUP("LULUCF|NOx|Asthma symptoms cough", US_national_yearly!$D:$AM, 24, FALSE) / VLOOKUP("LULUCF|NOx|Asthma symptoms cough", US_national_yearly!$D:$AM, 10, FALSE), 1)</f>
        <v>5.3526533948311349E-5</v>
      </c>
      <c r="Q6" s="7">
        <f>$B6 * IFERROR(VLOOKUP("LULUCF|NOx|Asthma symptoms cough", US_national_yearly!$D:$AM, 25, FALSE) / VLOOKUP("LULUCF|NOx|Asthma symptoms cough", US_national_yearly!$D:$AM, 10, FALSE), 1)</f>
        <v>5.3736909700999895E-5</v>
      </c>
      <c r="R6" s="7">
        <f>$B6 * IFERROR(VLOOKUP("LULUCF|NOx|Asthma symptoms cough", US_national_yearly!$D:$AM, 26, FALSE) / VLOOKUP("LULUCF|NOx|Asthma symptoms cough", US_national_yearly!$D:$AM, 10, FALSE), 1)</f>
        <v>5.3947285453688434E-5</v>
      </c>
      <c r="S6" s="7">
        <f>$B6 * IFERROR(VLOOKUP("LULUCF|NOx|Asthma symptoms cough", US_national_yearly!$D:$AM, 27, FALSE) / VLOOKUP("LULUCF|NOx|Asthma symptoms cough", US_national_yearly!$D:$AM, 10, FALSE), 1)</f>
        <v>5.4222103190880398E-5</v>
      </c>
      <c r="T6" s="7">
        <f>$B6 * IFERROR(VLOOKUP("LULUCF|NOx|Asthma symptoms cough", US_national_yearly!$D:$AM, 28, FALSE) / VLOOKUP("LULUCF|NOx|Asthma symptoms cough", US_national_yearly!$D:$AM, 10, FALSE), 1)</f>
        <v>5.4496920928072355E-5</v>
      </c>
      <c r="U6" s="7">
        <f>$B6 * IFERROR(VLOOKUP("LULUCF|NOx|Asthma symptoms cough", US_national_yearly!$D:$AM, 29, FALSE) / VLOOKUP("LULUCF|NOx|Asthma symptoms cough", US_national_yearly!$D:$AM, 10, FALSE), 1)</f>
        <v>5.4771738665264298E-5</v>
      </c>
      <c r="V6" s="7">
        <f>$B6 * IFERROR(VLOOKUP("LULUCF|NOx|Asthma symptoms cough", US_national_yearly!$D:$AM, 30, FALSE) / VLOOKUP("LULUCF|NOx|Asthma symptoms cough", US_national_yearly!$D:$AM, 10, FALSE), 1)</f>
        <v>5.5046556402456262E-5</v>
      </c>
      <c r="W6" s="7">
        <f>$B6 * IFERROR(VLOOKUP("LULUCF|NOx|Asthma symptoms cough", US_national_yearly!$D:$AM, 31, FALSE) / VLOOKUP("LULUCF|NOx|Asthma symptoms cough", US_national_yearly!$D:$AM, 10, FALSE), 1)</f>
        <v>5.5321374139648219E-5</v>
      </c>
      <c r="X6" s="7">
        <f>$B6 * IFERROR(VLOOKUP("LULUCF|NOx|Asthma symptoms cough", US_national_yearly!$D:$AM, 32, FALSE) / VLOOKUP("LULUCF|NOx|Asthma symptoms cough", US_national_yearly!$D:$AM, 10, FALSE), 1)</f>
        <v>5.5576719304836625E-5</v>
      </c>
      <c r="Y6" s="7">
        <f>$B6 * IFERROR(VLOOKUP("LULUCF|NOx|Asthma symptoms cough", US_national_yearly!$D:$AM, 33, FALSE) / VLOOKUP("LULUCF|NOx|Asthma symptoms cough", US_national_yearly!$D:$AM, 10, FALSE), 1)</f>
        <v>5.5832064470025039E-5</v>
      </c>
      <c r="Z6" s="7">
        <f>$B6 * IFERROR(VLOOKUP("LULUCF|NOx|Asthma symptoms cough", US_national_yearly!$D:$AM, 34, FALSE) / VLOOKUP("LULUCF|NOx|Asthma symptoms cough", US_national_yearly!$D:$AM, 10, FALSE), 1)</f>
        <v>5.6087409635213452E-5</v>
      </c>
      <c r="AA6" s="7">
        <f>$B6 * IFERROR(VLOOKUP("LULUCF|NOx|Asthma symptoms cough", US_national_yearly!$D:$AM, 35, FALSE) / VLOOKUP("LULUCF|NOx|Asthma symptoms cough", US_national_yearly!$D:$AM, 10, FALSE), 1)</f>
        <v>5.6342754800401865E-5</v>
      </c>
      <c r="AB6" s="7">
        <f>$B6 * IFERROR(VLOOKUP("LULUCF|NOx|Asthma symptoms cough", US_national_yearly!$D:$AM, 36, FALSE) / VLOOKUP("LULUCF|NOx|Asthma symptoms cough", US_national_yearly!$D:$AM, 10, FALSE), 1)</f>
        <v>5.6598099965590285E-5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6.5033426169460912E-5</v>
      </c>
      <c r="C7" s="7">
        <f>$B7 * IFERROR(VLOOKUP("LULUCF|NOx|Asthma symptoms shortness of breath", US_national_yearly!$D:$AM, 11, FALSE) / VLOOKUP("LULUCF|NOx|Asthma symptoms shortness of breath", US_national_yearly!$D:$AM, 10, FALSE), 1)</f>
        <v>6.5922539429944815E-5</v>
      </c>
      <c r="D7" s="7">
        <f>$B7 * IFERROR(VLOOKUP("LULUCF|NOx|Asthma symptoms shortness of breath", US_national_yearly!$D:$AM, 12, FALSE) / VLOOKUP("LULUCF|NOx|Asthma symptoms shortness of breath", US_national_yearly!$D:$AM, 10, FALSE), 1)</f>
        <v>6.6811652690428703E-5</v>
      </c>
      <c r="E7" s="7">
        <f>$B7 * IFERROR(VLOOKUP("LULUCF|NOx|Asthma symptoms shortness of breath", US_national_yearly!$D:$AM, 13, FALSE) / VLOOKUP("LULUCF|NOx|Asthma symptoms shortness of breath", US_national_yearly!$D:$AM, 10, FALSE), 1)</f>
        <v>6.7700765950912605E-5</v>
      </c>
      <c r="F7" s="7">
        <f>$B7 * IFERROR(VLOOKUP("LULUCF|NOx|Asthma symptoms shortness of breath", US_national_yearly!$D:$AM, 14, FALSE) / VLOOKUP("LULUCF|NOx|Asthma symptoms shortness of breath", US_national_yearly!$D:$AM, 10, FALSE), 1)</f>
        <v>6.8589879211396508E-5</v>
      </c>
      <c r="G7" s="7">
        <f>$B7 * IFERROR(VLOOKUP("LULUCF|NOx|Asthma symptoms shortness of breath", US_national_yearly!$D:$AM, 15, FALSE) / VLOOKUP("LULUCF|NOx|Asthma symptoms shortness of breath", US_national_yearly!$D:$AM, 10, FALSE), 1)</f>
        <v>6.9299711904092021E-5</v>
      </c>
      <c r="H7" s="7">
        <f>$B7 * IFERROR(VLOOKUP("LULUCF|NOx|Asthma symptoms shortness of breath", US_national_yearly!$D:$AM, 16, FALSE) / VLOOKUP("LULUCF|NOx|Asthma symptoms shortness of breath", US_national_yearly!$D:$AM, 10, FALSE), 1)</f>
        <v>7.0009544596787534E-5</v>
      </c>
      <c r="I7" s="7">
        <f>$B7 * IFERROR(VLOOKUP("LULUCF|NOx|Asthma symptoms shortness of breath", US_national_yearly!$D:$AM, 17, FALSE) / VLOOKUP("LULUCF|NOx|Asthma symptoms shortness of breath", US_national_yearly!$D:$AM, 10, FALSE), 1)</f>
        <v>7.0253858860805276E-5</v>
      </c>
      <c r="J7" s="7">
        <f>$B7 * IFERROR(VLOOKUP("LULUCF|NOx|Asthma symptoms shortness of breath", US_national_yearly!$D:$AM, 18, FALSE) / VLOOKUP("LULUCF|NOx|Asthma symptoms shortness of breath", US_national_yearly!$D:$AM, 10, FALSE), 1)</f>
        <v>7.0498173124823019E-5</v>
      </c>
      <c r="K7" s="7">
        <f>$B7 * IFERROR(VLOOKUP("LULUCF|NOx|Asthma symptoms shortness of breath", US_national_yearly!$D:$AM, 19, FALSE) / VLOOKUP("LULUCF|NOx|Asthma symptoms shortness of breath", US_national_yearly!$D:$AM, 10, FALSE), 1)</f>
        <v>7.0742487388840761E-5</v>
      </c>
      <c r="L7" s="7">
        <f>$B7 * IFERROR(VLOOKUP("LULUCF|NOx|Asthma symptoms shortness of breath", US_national_yearly!$D:$AM, 20, FALSE) / VLOOKUP("LULUCF|NOx|Asthma symptoms shortness of breath", US_national_yearly!$D:$AM, 10, FALSE), 1)</f>
        <v>7.0986801652858517E-5</v>
      </c>
      <c r="M7" s="7">
        <f>$B7 * IFERROR(VLOOKUP("LULUCF|NOx|Asthma symptoms shortness of breath", US_national_yearly!$D:$AM, 21, FALSE) / VLOOKUP("LULUCF|NOx|Asthma symptoms shortness of breath", US_national_yearly!$D:$AM, 10, FALSE), 1)</f>
        <v>7.1231115916876259E-5</v>
      </c>
      <c r="N7" s="7">
        <f>$B7 * IFERROR(VLOOKUP("LULUCF|NOx|Asthma symptoms shortness of breath", US_national_yearly!$D:$AM, 22, FALSE) / VLOOKUP("LULUCF|NOx|Asthma symptoms shortness of breath", US_national_yearly!$D:$AM, 10, FALSE), 1)</f>
        <v>7.1514416500380009E-5</v>
      </c>
      <c r="O7" s="7">
        <f>$B7 * IFERROR(VLOOKUP("LULUCF|NOx|Asthma symptoms shortness of breath", US_national_yearly!$D:$AM, 23, FALSE) / VLOOKUP("LULUCF|NOx|Asthma symptoms shortness of breath", US_national_yearly!$D:$AM, 10, FALSE), 1)</f>
        <v>7.1797717083883772E-5</v>
      </c>
      <c r="P7" s="7">
        <f>$B7 * IFERROR(VLOOKUP("LULUCF|NOx|Asthma symptoms shortness of breath", US_national_yearly!$D:$AM, 24, FALSE) / VLOOKUP("LULUCF|NOx|Asthma symptoms shortness of breath", US_national_yearly!$D:$AM, 10, FALSE), 1)</f>
        <v>7.2081017667387508E-5</v>
      </c>
      <c r="Q7" s="7">
        <f>$B7 * IFERROR(VLOOKUP("LULUCF|NOx|Asthma symptoms shortness of breath", US_national_yearly!$D:$AM, 25, FALSE) / VLOOKUP("LULUCF|NOx|Asthma symptoms shortness of breath", US_national_yearly!$D:$AM, 10, FALSE), 1)</f>
        <v>7.2364318250891257E-5</v>
      </c>
      <c r="R7" s="7">
        <f>$B7 * IFERROR(VLOOKUP("LULUCF|NOx|Asthma symptoms shortness of breath", US_national_yearly!$D:$AM, 26, FALSE) / VLOOKUP("LULUCF|NOx|Asthma symptoms shortness of breath", US_national_yearly!$D:$AM, 10, FALSE), 1)</f>
        <v>7.2647618834395021E-5</v>
      </c>
      <c r="S7" s="7">
        <f>$B7 * IFERROR(VLOOKUP("LULUCF|NOx|Asthma symptoms shortness of breath", US_national_yearly!$D:$AM, 27, FALSE) / VLOOKUP("LULUCF|NOx|Asthma symptoms shortness of breath", US_national_yearly!$D:$AM, 10, FALSE), 1)</f>
        <v>7.3017699628055274E-5</v>
      </c>
      <c r="T7" s="7">
        <f>$B7 * IFERROR(VLOOKUP("LULUCF|NOx|Asthma symptoms shortness of breath", US_national_yearly!$D:$AM, 28, FALSE) / VLOOKUP("LULUCF|NOx|Asthma symptoms shortness of breath", US_national_yearly!$D:$AM, 10, FALSE), 1)</f>
        <v>7.338778042171554E-5</v>
      </c>
      <c r="U7" s="7">
        <f>$B7 * IFERROR(VLOOKUP("LULUCF|NOx|Asthma symptoms shortness of breath", US_national_yearly!$D:$AM, 29, FALSE) / VLOOKUP("LULUCF|NOx|Asthma symptoms shortness of breath", US_national_yearly!$D:$AM, 10, FALSE), 1)</f>
        <v>7.3757861215375793E-5</v>
      </c>
      <c r="V7" s="7">
        <f>$B7 * IFERROR(VLOOKUP("LULUCF|NOx|Asthma symptoms shortness of breath", US_national_yearly!$D:$AM, 30, FALSE) / VLOOKUP("LULUCF|NOx|Asthma symptoms shortness of breath", US_national_yearly!$D:$AM, 10, FALSE), 1)</f>
        <v>7.4127942009036033E-5</v>
      </c>
      <c r="W7" s="7">
        <f>$B7 * IFERROR(VLOOKUP("LULUCF|NOx|Asthma symptoms shortness of breath", US_national_yearly!$D:$AM, 31, FALSE) / VLOOKUP("LULUCF|NOx|Asthma symptoms shortness of breath", US_national_yearly!$D:$AM, 10, FALSE), 1)</f>
        <v>7.4498022802696286E-5</v>
      </c>
      <c r="X7" s="7">
        <f>$B7 * IFERROR(VLOOKUP("LULUCF|NOx|Asthma symptoms shortness of breath", US_national_yearly!$D:$AM, 32, FALSE) / VLOOKUP("LULUCF|NOx|Asthma symptoms shortness of breath", US_national_yearly!$D:$AM, 10, FALSE), 1)</f>
        <v>7.4841881035041618E-5</v>
      </c>
      <c r="Y7" s="7">
        <f>$B7 * IFERROR(VLOOKUP("LULUCF|NOx|Asthma symptoms shortness of breath", US_national_yearly!$D:$AM, 33, FALSE) / VLOOKUP("LULUCF|NOx|Asthma symptoms shortness of breath", US_national_yearly!$D:$AM, 10, FALSE), 1)</f>
        <v>7.518573926738695E-5</v>
      </c>
      <c r="Z7" s="7">
        <f>$B7 * IFERROR(VLOOKUP("LULUCF|NOx|Asthma symptoms shortness of breath", US_national_yearly!$D:$AM, 34, FALSE) / VLOOKUP("LULUCF|NOx|Asthma symptoms shortness of breath", US_national_yearly!$D:$AM, 10, FALSE), 1)</f>
        <v>7.5529597499732296E-5</v>
      </c>
      <c r="AA7" s="7">
        <f>$B7 * IFERROR(VLOOKUP("LULUCF|NOx|Asthma symptoms shortness of breath", US_national_yearly!$D:$AM, 35, FALSE) / VLOOKUP("LULUCF|NOx|Asthma symptoms shortness of breath", US_national_yearly!$D:$AM, 10, FALSE), 1)</f>
        <v>7.5873455732077628E-5</v>
      </c>
      <c r="AB7" s="7">
        <f>$B7 * IFERROR(VLOOKUP("LULUCF|NOx|Asthma symptoms shortness of breath", US_national_yearly!$D:$AM, 36, FALSE) / VLOOKUP("LULUCF|NOx|Asthma symptoms shortness of breath", US_national_yearly!$D:$AM, 10, FALSE), 1)</f>
        <v>7.6217313964422961E-5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9.9360784634475974E-5</v>
      </c>
      <c r="C8" s="7">
        <f>$B8 * IFERROR(VLOOKUP("LULUCF|NOx|Asthma symptoms wheeze", US_national_yearly!$D:$AM, 11, FALSE) / VLOOKUP("LULUCF|NOx|Asthma symptoms wheeze", US_national_yearly!$D:$AM, 10, FALSE), 1)</f>
        <v>1.0071920901075487E-4</v>
      </c>
      <c r="D8" s="7">
        <f>$B8 * IFERROR(VLOOKUP("LULUCF|NOx|Asthma symptoms wheeze", US_national_yearly!$D:$AM, 12, FALSE) / VLOOKUP("LULUCF|NOx|Asthma symptoms wheeze", US_national_yearly!$D:$AM, 10, FALSE), 1)</f>
        <v>1.0207763338703381E-4</v>
      </c>
      <c r="E8" s="7">
        <f>$B8 * IFERROR(VLOOKUP("LULUCF|NOx|Asthma symptoms wheeze", US_national_yearly!$D:$AM, 13, FALSE) / VLOOKUP("LULUCF|NOx|Asthma symptoms wheeze", US_national_yearly!$D:$AM, 10, FALSE), 1)</f>
        <v>1.0343605776331271E-4</v>
      </c>
      <c r="F8" s="7">
        <f>$B8 * IFERROR(VLOOKUP("LULUCF|NOx|Asthma symptoms wheeze", US_national_yearly!$D:$AM, 14, FALSE) / VLOOKUP("LULUCF|NOx|Asthma symptoms wheeze", US_national_yearly!$D:$AM, 10, FALSE), 1)</f>
        <v>1.0479448213959161E-4</v>
      </c>
      <c r="G8" s="7">
        <f>$B8 * IFERROR(VLOOKUP("LULUCF|NOx|Asthma symptoms wheeze", US_national_yearly!$D:$AM, 15, FALSE) / VLOOKUP("LULUCF|NOx|Asthma symptoms wheeze", US_national_yearly!$D:$AM, 10, FALSE), 1)</f>
        <v>1.058789941778763E-4</v>
      </c>
      <c r="H8" s="7">
        <f>$B8 * IFERROR(VLOOKUP("LULUCF|NOx|Asthma symptoms wheeze", US_national_yearly!$D:$AM, 16, FALSE) / VLOOKUP("LULUCF|NOx|Asthma symptoms wheeze", US_national_yearly!$D:$AM, 10, FALSE), 1)</f>
        <v>1.06963506216161E-4</v>
      </c>
      <c r="I8" s="7">
        <f>$B8 * IFERROR(VLOOKUP("LULUCF|NOx|Asthma symptoms wheeze", US_national_yearly!$D:$AM, 17, FALSE) / VLOOKUP("LULUCF|NOx|Asthma symptoms wheeze", US_national_yearly!$D:$AM, 10, FALSE), 1)</f>
        <v>1.0733677975720281E-4</v>
      </c>
      <c r="J8" s="7">
        <f>$B8 * IFERROR(VLOOKUP("LULUCF|NOx|Asthma symptoms wheeze", US_national_yearly!$D:$AM, 18, FALSE) / VLOOKUP("LULUCF|NOx|Asthma symptoms wheeze", US_national_yearly!$D:$AM, 10, FALSE), 1)</f>
        <v>1.0771005329824463E-4</v>
      </c>
      <c r="K8" s="7">
        <f>$B8 * IFERROR(VLOOKUP("LULUCF|NOx|Asthma symptoms wheeze", US_national_yearly!$D:$AM, 19, FALSE) / VLOOKUP("LULUCF|NOx|Asthma symptoms wheeze", US_national_yearly!$D:$AM, 10, FALSE), 1)</f>
        <v>1.0808332683928642E-4</v>
      </c>
      <c r="L8" s="7">
        <f>$B8 * IFERROR(VLOOKUP("LULUCF|NOx|Asthma symptoms wheeze", US_national_yearly!$D:$AM, 20, FALSE) / VLOOKUP("LULUCF|NOx|Asthma symptoms wheeze", US_national_yearly!$D:$AM, 10, FALSE), 1)</f>
        <v>1.0845660038032824E-4</v>
      </c>
      <c r="M8" s="7">
        <f>$B8 * IFERROR(VLOOKUP("LULUCF|NOx|Asthma symptoms wheeze", US_national_yearly!$D:$AM, 21, FALSE) / VLOOKUP("LULUCF|NOx|Asthma symptoms wheeze", US_national_yearly!$D:$AM, 10, FALSE), 1)</f>
        <v>1.0882987392137004E-4</v>
      </c>
      <c r="N8" s="7">
        <f>$B8 * IFERROR(VLOOKUP("LULUCF|NOx|Asthma symptoms wheeze", US_national_yearly!$D:$AM, 22, FALSE) / VLOOKUP("LULUCF|NOx|Asthma symptoms wheeze", US_national_yearly!$D:$AM, 10, FALSE), 1)</f>
        <v>1.0926271238904214E-4</v>
      </c>
      <c r="O8" s="7">
        <f>$B8 * IFERROR(VLOOKUP("LULUCF|NOx|Asthma symptoms wheeze", US_national_yearly!$D:$AM, 23, FALSE) / VLOOKUP("LULUCF|NOx|Asthma symptoms wheeze", US_national_yearly!$D:$AM, 10, FALSE), 1)</f>
        <v>1.0969555085671426E-4</v>
      </c>
      <c r="P8" s="7">
        <f>$B8 * IFERROR(VLOOKUP("LULUCF|NOx|Asthma symptoms wheeze", US_national_yearly!$D:$AM, 24, FALSE) / VLOOKUP("LULUCF|NOx|Asthma symptoms wheeze", US_national_yearly!$D:$AM, 10, FALSE), 1)</f>
        <v>1.1012838932438636E-4</v>
      </c>
      <c r="Q8" s="7">
        <f>$B8 * IFERROR(VLOOKUP("LULUCF|NOx|Asthma symptoms wheeze", US_national_yearly!$D:$AM, 25, FALSE) / VLOOKUP("LULUCF|NOx|Asthma symptoms wheeze", US_national_yearly!$D:$AM, 10, FALSE), 1)</f>
        <v>1.1056122779205848E-4</v>
      </c>
      <c r="R8" s="7">
        <f>$B8 * IFERROR(VLOOKUP("LULUCF|NOx|Asthma symptoms wheeze", US_national_yearly!$D:$AM, 26, FALSE) / VLOOKUP("LULUCF|NOx|Asthma symptoms wheeze", US_national_yearly!$D:$AM, 10, FALSE), 1)</f>
        <v>1.1099406625973057E-4</v>
      </c>
      <c r="S8" s="7">
        <f>$B8 * IFERROR(VLOOKUP("LULUCF|NOx|Asthma symptoms wheeze", US_national_yearly!$D:$AM, 27, FALSE) / VLOOKUP("LULUCF|NOx|Asthma symptoms wheeze", US_national_yearly!$D:$AM, 10, FALSE), 1)</f>
        <v>1.1155949115620581E-4</v>
      </c>
      <c r="T8" s="7">
        <f>$B8 * IFERROR(VLOOKUP("LULUCF|NOx|Asthma symptoms wheeze", US_national_yearly!$D:$AM, 28, FALSE) / VLOOKUP("LULUCF|NOx|Asthma symptoms wheeze", US_national_yearly!$D:$AM, 10, FALSE), 1)</f>
        <v>1.1212491605268107E-4</v>
      </c>
      <c r="U8" s="7">
        <f>$B8 * IFERROR(VLOOKUP("LULUCF|NOx|Asthma symptoms wheeze", US_national_yearly!$D:$AM, 29, FALSE) / VLOOKUP("LULUCF|NOx|Asthma symptoms wheeze", US_national_yearly!$D:$AM, 10, FALSE), 1)</f>
        <v>1.1269034094915631E-4</v>
      </c>
      <c r="V8" s="7">
        <f>$B8 * IFERROR(VLOOKUP("LULUCF|NOx|Asthma symptoms wheeze", US_national_yearly!$D:$AM, 30, FALSE) / VLOOKUP("LULUCF|NOx|Asthma symptoms wheeze", US_national_yearly!$D:$AM, 10, FALSE), 1)</f>
        <v>1.1325576584563158E-4</v>
      </c>
      <c r="W8" s="7">
        <f>$B8 * IFERROR(VLOOKUP("LULUCF|NOx|Asthma symptoms wheeze", US_national_yearly!$D:$AM, 31, FALSE) / VLOOKUP("LULUCF|NOx|Asthma symptoms wheeze", US_national_yearly!$D:$AM, 10, FALSE), 1)</f>
        <v>1.1382119074210681E-4</v>
      </c>
      <c r="X8" s="7">
        <f>$B8 * IFERROR(VLOOKUP("LULUCF|NOx|Asthma symptoms wheeze", US_national_yearly!$D:$AM, 32, FALSE) / VLOOKUP("LULUCF|NOx|Asthma symptoms wheeze", US_national_yearly!$D:$AM, 10, FALSE), 1)</f>
        <v>1.1434655171413975E-4</v>
      </c>
      <c r="Y8" s="7">
        <f>$B8 * IFERROR(VLOOKUP("LULUCF|NOx|Asthma symptoms wheeze", US_national_yearly!$D:$AM, 33, FALSE) / VLOOKUP("LULUCF|NOx|Asthma symptoms wheeze", US_national_yearly!$D:$AM, 10, FALSE), 1)</f>
        <v>1.1487191268617267E-4</v>
      </c>
      <c r="Z8" s="7">
        <f>$B8 * IFERROR(VLOOKUP("LULUCF|NOx|Asthma symptoms wheeze", US_national_yearly!$D:$AM, 34, FALSE) / VLOOKUP("LULUCF|NOx|Asthma symptoms wheeze", US_national_yearly!$D:$AM, 10, FALSE), 1)</f>
        <v>1.1539727365820561E-4</v>
      </c>
      <c r="AA8" s="7">
        <f>$B8 * IFERROR(VLOOKUP("LULUCF|NOx|Asthma symptoms wheeze", US_national_yearly!$D:$AM, 35, FALSE) / VLOOKUP("LULUCF|NOx|Asthma symptoms wheeze", US_national_yearly!$D:$AM, 10, FALSE), 1)</f>
        <v>1.1592263463023853E-4</v>
      </c>
      <c r="AB8" s="7">
        <f>$B8 * IFERROR(VLOOKUP("LULUCF|NOx|Asthma symptoms wheeze", US_national_yearly!$D:$AM, 36, FALSE) / VLOOKUP("LULUCF|NOx|Asthma symptoms wheeze", US_national_yearly!$D:$AM, 10, FALSE), 1)</f>
        <v>1.1644799560227147E-4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8.405278921146781E-7</v>
      </c>
      <c r="C12" s="7">
        <f>$B12 * IFERROR(VLOOKUP("LULUCF|NOx|Respiratory hospital admissions", US_national_yearly!$D:$AM, 11, FALSE) / VLOOKUP("LULUCF|NOx|Respiratory hospital admissions", US_national_yearly!$D:$AM, 10, FALSE), 1)</f>
        <v>8.614945785566555E-7</v>
      </c>
      <c r="D12" s="7">
        <f>$B12 * IFERROR(VLOOKUP("LULUCF|NOx|Respiratory hospital admissions", US_national_yearly!$D:$AM, 12, FALSE) / VLOOKUP("LULUCF|NOx|Respiratory hospital admissions", US_national_yearly!$D:$AM, 10, FALSE), 1)</f>
        <v>8.8246126499863301E-7</v>
      </c>
      <c r="E12" s="7">
        <f>$B12 * IFERROR(VLOOKUP("LULUCF|NOx|Respiratory hospital admissions", US_national_yearly!$D:$AM, 13, FALSE) / VLOOKUP("LULUCF|NOx|Respiratory hospital admissions", US_national_yearly!$D:$AM, 10, FALSE), 1)</f>
        <v>9.0342795144061062E-7</v>
      </c>
      <c r="F12" s="7">
        <f>$B12 * IFERROR(VLOOKUP("LULUCF|NOx|Respiratory hospital admissions", US_national_yearly!$D:$AM, 14, FALSE) / VLOOKUP("LULUCF|NOx|Respiratory hospital admissions", US_national_yearly!$D:$AM, 10, FALSE), 1)</f>
        <v>9.2439463788258823E-7</v>
      </c>
      <c r="G12" s="7">
        <f>$B12 * IFERROR(VLOOKUP("LULUCF|NOx|Respiratory hospital admissions", US_national_yearly!$D:$AM, 15, FALSE) / VLOOKUP("LULUCF|NOx|Respiratory hospital admissions", US_national_yearly!$D:$AM, 10, FALSE), 1)</f>
        <v>9.4443950374217911E-7</v>
      </c>
      <c r="H12" s="7">
        <f>$B12 * IFERROR(VLOOKUP("LULUCF|NOx|Respiratory hospital admissions", US_national_yearly!$D:$AM, 16, FALSE) / VLOOKUP("LULUCF|NOx|Respiratory hospital admissions", US_national_yearly!$D:$AM, 10, FALSE), 1)</f>
        <v>9.6448436960176988E-7</v>
      </c>
      <c r="I12" s="7">
        <f>$B12 * IFERROR(VLOOKUP("LULUCF|NOx|Respiratory hospital admissions", US_national_yearly!$D:$AM, 17, FALSE) / VLOOKUP("LULUCF|NOx|Respiratory hospital admissions", US_national_yearly!$D:$AM, 10, FALSE), 1)</f>
        <v>9.8150287279730183E-7</v>
      </c>
      <c r="J12" s="7">
        <f>$B12 * IFERROR(VLOOKUP("LULUCF|NOx|Respiratory hospital admissions", US_national_yearly!$D:$AM, 18, FALSE) / VLOOKUP("LULUCF|NOx|Respiratory hospital admissions", US_national_yearly!$D:$AM, 10, FALSE), 1)</f>
        <v>9.9852137599283356E-7</v>
      </c>
      <c r="K12" s="7">
        <f>$B12 * IFERROR(VLOOKUP("LULUCF|NOx|Respiratory hospital admissions", US_national_yearly!$D:$AM, 19, FALSE) / VLOOKUP("LULUCF|NOx|Respiratory hospital admissions", US_national_yearly!$D:$AM, 10, FALSE), 1)</f>
        <v>1.0155398791883653E-6</v>
      </c>
      <c r="L12" s="7">
        <f>$B12 * IFERROR(VLOOKUP("LULUCF|NOx|Respiratory hospital admissions", US_national_yearly!$D:$AM, 20, FALSE) / VLOOKUP("LULUCF|NOx|Respiratory hospital admissions", US_national_yearly!$D:$AM, 10, FALSE), 1)</f>
        <v>1.0325583823838972E-6</v>
      </c>
      <c r="M12" s="7">
        <f>$B12 * IFERROR(VLOOKUP("LULUCF|NOx|Respiratory hospital admissions", US_national_yearly!$D:$AM, 21, FALSE) / VLOOKUP("LULUCF|NOx|Respiratory hospital admissions", US_national_yearly!$D:$AM, 10, FALSE), 1)</f>
        <v>1.049576885579429E-6</v>
      </c>
      <c r="N12" s="7">
        <f>$B12 * IFERROR(VLOOKUP("LULUCF|NOx|Respiratory hospital admissions", US_national_yearly!$D:$AM, 22, FALSE) / VLOOKUP("LULUCF|NOx|Respiratory hospital admissions", US_national_yearly!$D:$AM, 10, FALSE), 1)</f>
        <v>1.0609540613762929E-6</v>
      </c>
      <c r="O12" s="7">
        <f>$B12 * IFERROR(VLOOKUP("LULUCF|NOx|Respiratory hospital admissions", US_national_yearly!$D:$AM, 23, FALSE) / VLOOKUP("LULUCF|NOx|Respiratory hospital admissions", US_national_yearly!$D:$AM, 10, FALSE), 1)</f>
        <v>1.072331237173157E-6</v>
      </c>
      <c r="P12" s="7">
        <f>$B12 * IFERROR(VLOOKUP("LULUCF|NOx|Respiratory hospital admissions", US_national_yearly!$D:$AM, 24, FALSE) / VLOOKUP("LULUCF|NOx|Respiratory hospital admissions", US_national_yearly!$D:$AM, 10, FALSE), 1)</f>
        <v>1.083708412970021E-6</v>
      </c>
      <c r="Q12" s="7">
        <f>$B12 * IFERROR(VLOOKUP("LULUCF|NOx|Respiratory hospital admissions", US_national_yearly!$D:$AM, 25, FALSE) / VLOOKUP("LULUCF|NOx|Respiratory hospital admissions", US_national_yearly!$D:$AM, 10, FALSE), 1)</f>
        <v>1.0950855887668851E-6</v>
      </c>
      <c r="R12" s="7">
        <f>$B12 * IFERROR(VLOOKUP("LULUCF|NOx|Respiratory hospital admissions", US_national_yearly!$D:$AM, 26, FALSE) / VLOOKUP("LULUCF|NOx|Respiratory hospital admissions", US_national_yearly!$D:$AM, 10, FALSE), 1)</f>
        <v>1.1064627645637493E-6</v>
      </c>
      <c r="S12" s="7">
        <f>$B12 * IFERROR(VLOOKUP("LULUCF|NOx|Respiratory hospital admissions", US_national_yearly!$D:$AM, 27, FALSE) / VLOOKUP("LULUCF|NOx|Respiratory hospital admissions", US_national_yearly!$D:$AM, 10, FALSE), 1)</f>
        <v>1.1125583470699547E-6</v>
      </c>
      <c r="T12" s="7">
        <f>$B12 * IFERROR(VLOOKUP("LULUCF|NOx|Respiratory hospital admissions", US_national_yearly!$D:$AM, 28, FALSE) / VLOOKUP("LULUCF|NOx|Respiratory hospital admissions", US_national_yearly!$D:$AM, 10, FALSE), 1)</f>
        <v>1.1186539295761601E-6</v>
      </c>
      <c r="U12" s="7">
        <f>$B12 * IFERROR(VLOOKUP("LULUCF|NOx|Respiratory hospital admissions", US_national_yearly!$D:$AM, 29, FALSE) / VLOOKUP("LULUCF|NOx|Respiratory hospital admissions", US_national_yearly!$D:$AM, 10, FALSE), 1)</f>
        <v>1.1247495120823655E-6</v>
      </c>
      <c r="V12" s="7">
        <f>$B12 * IFERROR(VLOOKUP("LULUCF|NOx|Respiratory hospital admissions", US_national_yearly!$D:$AM, 30, FALSE) / VLOOKUP("LULUCF|NOx|Respiratory hospital admissions", US_national_yearly!$D:$AM, 10, FALSE), 1)</f>
        <v>1.1308450945885707E-6</v>
      </c>
      <c r="W12" s="7">
        <f>$B12 * IFERROR(VLOOKUP("LULUCF|NOx|Respiratory hospital admissions", US_national_yearly!$D:$AM, 31, FALSE) / VLOOKUP("LULUCF|NOx|Respiratory hospital admissions", US_national_yearly!$D:$AM, 10, FALSE), 1)</f>
        <v>1.1369406770947764E-6</v>
      </c>
      <c r="X12" s="7">
        <f>$B12 * IFERROR(VLOOKUP("LULUCF|NOx|Respiratory hospital admissions", US_national_yearly!$D:$AM, 32, FALSE) / VLOOKUP("LULUCF|NOx|Respiratory hospital admissions", US_national_yearly!$D:$AM, 10, FALSE), 1)</f>
        <v>1.1411062158211145E-6</v>
      </c>
      <c r="Y12" s="7">
        <f>$B12 * IFERROR(VLOOKUP("LULUCF|NOx|Respiratory hospital admissions", US_national_yearly!$D:$AM, 33, FALSE) / VLOOKUP("LULUCF|NOx|Respiratory hospital admissions", US_national_yearly!$D:$AM, 10, FALSE), 1)</f>
        <v>1.145271754547453E-6</v>
      </c>
      <c r="Z12" s="7">
        <f>$B12 * IFERROR(VLOOKUP("LULUCF|NOx|Respiratory hospital admissions", US_national_yearly!$D:$AM, 34, FALSE) / VLOOKUP("LULUCF|NOx|Respiratory hospital admissions", US_national_yearly!$D:$AM, 10, FALSE), 1)</f>
        <v>1.1494372932737916E-6</v>
      </c>
      <c r="AA12" s="7">
        <f>$B12 * IFERROR(VLOOKUP("LULUCF|NOx|Respiratory hospital admissions", US_national_yearly!$D:$AM, 35, FALSE) / VLOOKUP("LULUCF|NOx|Respiratory hospital admissions", US_national_yearly!$D:$AM, 10, FALSE), 1)</f>
        <v>1.15360283200013E-6</v>
      </c>
      <c r="AB12" s="7">
        <f>$B12 * IFERROR(VLOOKUP("LULUCF|NOx|Respiratory hospital admissions", US_national_yearly!$D:$AM, 36, FALSE) / VLOOKUP("LULUCF|NOx|Respiratory hospital admissions", US_national_yearly!$D:$AM, 10, FALSE), 1)</f>
        <v>1.1577683707264682E-6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4.9217167656441817E-6</v>
      </c>
      <c r="C13" s="7">
        <f>$B13 * IFERROR(VLOOKUP("LULUCF|NOx|Non-fatal heart attacks", US_national_yearly!$D:$AM, 11, FALSE) / VLOOKUP("LULUCF|NOx|Non-fatal heart attacks", US_national_yearly!$D:$AM, 10, FALSE), 1)</f>
        <v>5.0624243116648114E-6</v>
      </c>
      <c r="D13" s="7">
        <f>$B13 * IFERROR(VLOOKUP("LULUCF|NOx|Non-fatal heart attacks", US_national_yearly!$D:$AM, 12, FALSE) / VLOOKUP("LULUCF|NOx|Non-fatal heart attacks", US_national_yearly!$D:$AM, 10, FALSE), 1)</f>
        <v>5.203131857685442E-6</v>
      </c>
      <c r="E13" s="7">
        <f>$B13 * IFERROR(VLOOKUP("LULUCF|NOx|Non-fatal heart attacks", US_national_yearly!$D:$AM, 13, FALSE) / VLOOKUP("LULUCF|NOx|Non-fatal heart attacks", US_national_yearly!$D:$AM, 10, FALSE), 1)</f>
        <v>5.3438394037060709E-6</v>
      </c>
      <c r="F13" s="7">
        <f>$B13 * IFERROR(VLOOKUP("LULUCF|NOx|Non-fatal heart attacks", US_national_yearly!$D:$AM, 14, FALSE) / VLOOKUP("LULUCF|NOx|Non-fatal heart attacks", US_national_yearly!$D:$AM, 10, FALSE), 1)</f>
        <v>5.4845469497267006E-6</v>
      </c>
      <c r="G13" s="7">
        <f>$B13 * IFERROR(VLOOKUP("LULUCF|NOx|Non-fatal heart attacks", US_national_yearly!$D:$AM, 15, FALSE) / VLOOKUP("LULUCF|NOx|Non-fatal heart attacks", US_national_yearly!$D:$AM, 10, FALSE), 1)</f>
        <v>5.6160378590438571E-6</v>
      </c>
      <c r="H13" s="7">
        <f>$B13 * IFERROR(VLOOKUP("LULUCF|NOx|Non-fatal heart attacks", US_national_yearly!$D:$AM, 16, FALSE) / VLOOKUP("LULUCF|NOx|Non-fatal heart attacks", US_national_yearly!$D:$AM, 10, FALSE), 1)</f>
        <v>5.7475287683610128E-6</v>
      </c>
      <c r="I13" s="7">
        <f>$B13 * IFERROR(VLOOKUP("LULUCF|NOx|Non-fatal heart attacks", US_national_yearly!$D:$AM, 17, FALSE) / VLOOKUP("LULUCF|NOx|Non-fatal heart attacks", US_national_yearly!$D:$AM, 10, FALSE), 1)</f>
        <v>5.8511943195114904E-6</v>
      </c>
      <c r="J13" s="7">
        <f>$B13 * IFERROR(VLOOKUP("LULUCF|NOx|Non-fatal heart attacks", US_national_yearly!$D:$AM, 18, FALSE) / VLOOKUP("LULUCF|NOx|Non-fatal heart attacks", US_national_yearly!$D:$AM, 10, FALSE), 1)</f>
        <v>5.9548598706619688E-6</v>
      </c>
      <c r="K13" s="7">
        <f>$B13 * IFERROR(VLOOKUP("LULUCF|NOx|Non-fatal heart attacks", US_national_yearly!$D:$AM, 19, FALSE) / VLOOKUP("LULUCF|NOx|Non-fatal heart attacks", US_national_yearly!$D:$AM, 10, FALSE), 1)</f>
        <v>6.058525421812443E-6</v>
      </c>
      <c r="L13" s="7">
        <f>$B13 * IFERROR(VLOOKUP("LULUCF|NOx|Non-fatal heart attacks", US_national_yearly!$D:$AM, 20, FALSE) / VLOOKUP("LULUCF|NOx|Non-fatal heart attacks", US_national_yearly!$D:$AM, 10, FALSE), 1)</f>
        <v>6.1621909729629248E-6</v>
      </c>
      <c r="M13" s="7">
        <f>$B13 * IFERROR(VLOOKUP("LULUCF|NOx|Non-fatal heart attacks", US_national_yearly!$D:$AM, 21, FALSE) / VLOOKUP("LULUCF|NOx|Non-fatal heart attacks", US_national_yearly!$D:$AM, 10, FALSE), 1)</f>
        <v>6.2658565241134006E-6</v>
      </c>
      <c r="N13" s="7">
        <f>$B13 * IFERROR(VLOOKUP("LULUCF|NOx|Non-fatal heart attacks", US_national_yearly!$D:$AM, 22, FALSE) / VLOOKUP("LULUCF|NOx|Non-fatal heart attacks", US_national_yearly!$D:$AM, 10, FALSE), 1)</f>
        <v>6.3282248635069237E-6</v>
      </c>
      <c r="O13" s="7">
        <f>$B13 * IFERROR(VLOOKUP("LULUCF|NOx|Non-fatal heart attacks", US_national_yearly!$D:$AM, 23, FALSE) / VLOOKUP("LULUCF|NOx|Non-fatal heart attacks", US_national_yearly!$D:$AM, 10, FALSE), 1)</f>
        <v>6.3905932029004468E-6</v>
      </c>
      <c r="P13" s="7">
        <f>$B13 * IFERROR(VLOOKUP("LULUCF|NOx|Non-fatal heart attacks", US_national_yearly!$D:$AM, 24, FALSE) / VLOOKUP("LULUCF|NOx|Non-fatal heart attacks", US_national_yearly!$D:$AM, 10, FALSE), 1)</f>
        <v>6.4529615422939682E-6</v>
      </c>
      <c r="Q13" s="7">
        <f>$B13 * IFERROR(VLOOKUP("LULUCF|NOx|Non-fatal heart attacks", US_national_yearly!$D:$AM, 25, FALSE) / VLOOKUP("LULUCF|NOx|Non-fatal heart attacks", US_national_yearly!$D:$AM, 10, FALSE), 1)</f>
        <v>6.515329881687493E-6</v>
      </c>
      <c r="R13" s="7">
        <f>$B13 * IFERROR(VLOOKUP("LULUCF|NOx|Non-fatal heart attacks", US_national_yearly!$D:$AM, 26, FALSE) / VLOOKUP("LULUCF|NOx|Non-fatal heart attacks", US_national_yearly!$D:$AM, 10, FALSE), 1)</f>
        <v>6.5776982210810153E-6</v>
      </c>
      <c r="S13" s="7">
        <f>$B13 * IFERROR(VLOOKUP("LULUCF|NOx|Non-fatal heart attacks", US_national_yearly!$D:$AM, 27, FALSE) / VLOOKUP("LULUCF|NOx|Non-fatal heart attacks", US_national_yearly!$D:$AM, 10, FALSE), 1)</f>
        <v>6.6059889311925549E-6</v>
      </c>
      <c r="T13" s="7">
        <f>$B13 * IFERROR(VLOOKUP("LULUCF|NOx|Non-fatal heart attacks", US_national_yearly!$D:$AM, 28, FALSE) / VLOOKUP("LULUCF|NOx|Non-fatal heart attacks", US_national_yearly!$D:$AM, 10, FALSE), 1)</f>
        <v>6.6342796413040936E-6</v>
      </c>
      <c r="U13" s="7">
        <f>$B13 * IFERROR(VLOOKUP("LULUCF|NOx|Non-fatal heart attacks", US_national_yearly!$D:$AM, 29, FALSE) / VLOOKUP("LULUCF|NOx|Non-fatal heart attacks", US_national_yearly!$D:$AM, 10, FALSE), 1)</f>
        <v>6.6625703514156324E-6</v>
      </c>
      <c r="V13" s="7">
        <f>$B13 * IFERROR(VLOOKUP("LULUCF|NOx|Non-fatal heart attacks", US_national_yearly!$D:$AM, 30, FALSE) / VLOOKUP("LULUCF|NOx|Non-fatal heart attacks", US_national_yearly!$D:$AM, 10, FALSE), 1)</f>
        <v>6.690861061527172E-6</v>
      </c>
      <c r="W13" s="7">
        <f>$B13 * IFERROR(VLOOKUP("LULUCF|NOx|Non-fatal heart attacks", US_national_yearly!$D:$AM, 31, FALSE) / VLOOKUP("LULUCF|NOx|Non-fatal heart attacks", US_national_yearly!$D:$AM, 10, FALSE), 1)</f>
        <v>6.7191517716387107E-6</v>
      </c>
      <c r="X13" s="7">
        <f>$B13 * IFERROR(VLOOKUP("LULUCF|NOx|Non-fatal heart attacks", US_national_yearly!$D:$AM, 32, FALSE) / VLOOKUP("LULUCF|NOx|Non-fatal heart attacks", US_national_yearly!$D:$AM, 10, FALSE), 1)</f>
        <v>6.7380571127417808E-6</v>
      </c>
      <c r="Y13" s="7">
        <f>$B13 * IFERROR(VLOOKUP("LULUCF|NOx|Non-fatal heart attacks", US_national_yearly!$D:$AM, 33, FALSE) / VLOOKUP("LULUCF|NOx|Non-fatal heart attacks", US_national_yearly!$D:$AM, 10, FALSE), 1)</f>
        <v>6.7569624538448526E-6</v>
      </c>
      <c r="Z13" s="7">
        <f>$B13 * IFERROR(VLOOKUP("LULUCF|NOx|Non-fatal heart attacks", US_national_yearly!$D:$AM, 34, FALSE) / VLOOKUP("LULUCF|NOx|Non-fatal heart attacks", US_national_yearly!$D:$AM, 10, FALSE), 1)</f>
        <v>6.7758677949479218E-6</v>
      </c>
      <c r="AA13" s="7">
        <f>$B13 * IFERROR(VLOOKUP("LULUCF|NOx|Non-fatal heart attacks", US_national_yearly!$D:$AM, 35, FALSE) / VLOOKUP("LULUCF|NOx|Non-fatal heart attacks", US_national_yearly!$D:$AM, 10, FALSE), 1)</f>
        <v>6.7947731360509919E-6</v>
      </c>
      <c r="AB13" s="7">
        <f>$B13 * IFERROR(VLOOKUP("LULUCF|NOx|Non-fatal heart attacks", US_national_yearly!$D:$AM, 36, FALSE) / VLOOKUP("LULUCF|NOx|Non-fatal heart attacks", US_national_yearly!$D:$AM, 10, FALSE), 1)</f>
        <v>6.8136784771540637E-6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5.0898912906093075E-3</v>
      </c>
      <c r="C14" s="7">
        <f>$B14 * IFERROR(VLOOKUP("LULUCF|NOx|Minor restricted activity days", US_national_yearly!$D:$AM, 11, FALSE) / VLOOKUP("LULUCF|NOx|Minor restricted activity days", US_national_yearly!$D:$AM, 10, FALSE), 1)</f>
        <v>5.0976949481363557E-3</v>
      </c>
      <c r="D14" s="7">
        <f>$B14 * IFERROR(VLOOKUP("LULUCF|NOx|Minor restricted activity days", US_national_yearly!$D:$AM, 12, FALSE) / VLOOKUP("LULUCF|NOx|Minor restricted activity days", US_national_yearly!$D:$AM, 10, FALSE), 1)</f>
        <v>5.1054986056634048E-3</v>
      </c>
      <c r="E14" s="7">
        <f>$B14 * IFERROR(VLOOKUP("LULUCF|NOx|Minor restricted activity days", US_national_yearly!$D:$AM, 13, FALSE) / VLOOKUP("LULUCF|NOx|Minor restricted activity days", US_national_yearly!$D:$AM, 10, FALSE), 1)</f>
        <v>5.1133022631904548E-3</v>
      </c>
      <c r="F14" s="7">
        <f>$B14 * IFERROR(VLOOKUP("LULUCF|NOx|Minor restricted activity days", US_national_yearly!$D:$AM, 14, FALSE) / VLOOKUP("LULUCF|NOx|Minor restricted activity days", US_national_yearly!$D:$AM, 10, FALSE), 1)</f>
        <v>5.121105920717503E-3</v>
      </c>
      <c r="G14" s="7">
        <f>$B14 * IFERROR(VLOOKUP("LULUCF|NOx|Minor restricted activity days", US_national_yearly!$D:$AM, 15, FALSE) / VLOOKUP("LULUCF|NOx|Minor restricted activity days", US_national_yearly!$D:$AM, 10, FALSE), 1)</f>
        <v>5.1351974687812553E-3</v>
      </c>
      <c r="H14" s="7">
        <f>$B14 * IFERROR(VLOOKUP("LULUCF|NOx|Minor restricted activity days", US_national_yearly!$D:$AM, 16, FALSE) / VLOOKUP("LULUCF|NOx|Minor restricted activity days", US_national_yearly!$D:$AM, 10, FALSE), 1)</f>
        <v>5.1492890168450059E-3</v>
      </c>
      <c r="I14" s="7">
        <f>$B14 * IFERROR(VLOOKUP("LULUCF|NOx|Minor restricted activity days", US_national_yearly!$D:$AM, 17, FALSE) / VLOOKUP("LULUCF|NOx|Minor restricted activity days", US_national_yearly!$D:$AM, 10, FALSE), 1)</f>
        <v>5.1768515276202345E-3</v>
      </c>
      <c r="J14" s="7">
        <f>$B14 * IFERROR(VLOOKUP("LULUCF|NOx|Minor restricted activity days", US_national_yearly!$D:$AM, 18, FALSE) / VLOOKUP("LULUCF|NOx|Minor restricted activity days", US_national_yearly!$D:$AM, 10, FALSE), 1)</f>
        <v>5.2044140383954614E-3</v>
      </c>
      <c r="K14" s="7">
        <f>$B14 * IFERROR(VLOOKUP("LULUCF|NOx|Minor restricted activity days", US_national_yearly!$D:$AM, 19, FALSE) / VLOOKUP("LULUCF|NOx|Minor restricted activity days", US_national_yearly!$D:$AM, 10, FALSE), 1)</f>
        <v>5.2319765491706891E-3</v>
      </c>
      <c r="L14" s="7">
        <f>$B14 * IFERROR(VLOOKUP("LULUCF|NOx|Minor restricted activity days", US_national_yearly!$D:$AM, 20, FALSE) / VLOOKUP("LULUCF|NOx|Minor restricted activity days", US_national_yearly!$D:$AM, 10, FALSE), 1)</f>
        <v>5.259539059945916E-3</v>
      </c>
      <c r="M14" s="7">
        <f>$B14 * IFERROR(VLOOKUP("LULUCF|NOx|Minor restricted activity days", US_national_yearly!$D:$AM, 21, FALSE) / VLOOKUP("LULUCF|NOx|Minor restricted activity days", US_national_yearly!$D:$AM, 10, FALSE), 1)</f>
        <v>5.2871015707211446E-3</v>
      </c>
      <c r="N14" s="7">
        <f>$B14 * IFERROR(VLOOKUP("LULUCF|NOx|Minor restricted activity days", US_national_yearly!$D:$AM, 22, FALSE) / VLOOKUP("LULUCF|NOx|Minor restricted activity days", US_national_yearly!$D:$AM, 10, FALSE), 1)</f>
        <v>5.3265648364873167E-3</v>
      </c>
      <c r="O14" s="7">
        <f>$B14 * IFERROR(VLOOKUP("LULUCF|NOx|Minor restricted activity days", US_national_yearly!$D:$AM, 23, FALSE) / VLOOKUP("LULUCF|NOx|Minor restricted activity days", US_national_yearly!$D:$AM, 10, FALSE), 1)</f>
        <v>5.3660281022534888E-3</v>
      </c>
      <c r="P14" s="7">
        <f>$B14 * IFERROR(VLOOKUP("LULUCF|NOx|Minor restricted activity days", US_national_yearly!$D:$AM, 24, FALSE) / VLOOKUP("LULUCF|NOx|Minor restricted activity days", US_national_yearly!$D:$AM, 10, FALSE), 1)</f>
        <v>5.4054913680196609E-3</v>
      </c>
      <c r="Q14" s="7">
        <f>$B14 * IFERROR(VLOOKUP("LULUCF|NOx|Minor restricted activity days", US_national_yearly!$D:$AM, 25, FALSE) / VLOOKUP("LULUCF|NOx|Minor restricted activity days", US_national_yearly!$D:$AM, 10, FALSE), 1)</f>
        <v>5.4449546337858338E-3</v>
      </c>
      <c r="R14" s="7">
        <f>$B14 * IFERROR(VLOOKUP("LULUCF|NOx|Minor restricted activity days", US_national_yearly!$D:$AM, 26, FALSE) / VLOOKUP("LULUCF|NOx|Minor restricted activity days", US_national_yearly!$D:$AM, 10, FALSE), 1)</f>
        <v>5.4844178995520059E-3</v>
      </c>
      <c r="S14" s="7">
        <f>$B14 * IFERROR(VLOOKUP("LULUCF|NOx|Minor restricted activity days", US_national_yearly!$D:$AM, 27, FALSE) / VLOOKUP("LULUCF|NOx|Minor restricted activity days", US_national_yearly!$D:$AM, 10, FALSE), 1)</f>
        <v>5.5238728682510153E-3</v>
      </c>
      <c r="T14" s="7">
        <f>$B14 * IFERROR(VLOOKUP("LULUCF|NOx|Minor restricted activity days", US_national_yearly!$D:$AM, 28, FALSE) / VLOOKUP("LULUCF|NOx|Minor restricted activity days", US_national_yearly!$D:$AM, 10, FALSE), 1)</f>
        <v>5.5633278369500239E-3</v>
      </c>
      <c r="U14" s="7">
        <f>$B14 * IFERROR(VLOOKUP("LULUCF|NOx|Minor restricted activity days", US_national_yearly!$D:$AM, 29, FALSE) / VLOOKUP("LULUCF|NOx|Minor restricted activity days", US_national_yearly!$D:$AM, 10, FALSE), 1)</f>
        <v>5.6027828056490342E-3</v>
      </c>
      <c r="V14" s="7">
        <f>$B14 * IFERROR(VLOOKUP("LULUCF|NOx|Minor restricted activity days", US_national_yearly!$D:$AM, 30, FALSE) / VLOOKUP("LULUCF|NOx|Minor restricted activity days", US_national_yearly!$D:$AM, 10, FALSE), 1)</f>
        <v>5.6422377743480436E-3</v>
      </c>
      <c r="W14" s="7">
        <f>$B14 * IFERROR(VLOOKUP("LULUCF|NOx|Minor restricted activity days", US_national_yearly!$D:$AM, 31, FALSE) / VLOOKUP("LULUCF|NOx|Minor restricted activity days", US_national_yearly!$D:$AM, 10, FALSE), 1)</f>
        <v>5.681692743047053E-3</v>
      </c>
      <c r="X14" s="7">
        <f>$B14 * IFERROR(VLOOKUP("LULUCF|NOx|Minor restricted activity days", US_national_yearly!$D:$AM, 32, FALSE) / VLOOKUP("LULUCF|NOx|Minor restricted activity days", US_national_yearly!$D:$AM, 10, FALSE), 1)</f>
        <v>5.7150504160122899E-3</v>
      </c>
      <c r="Y14" s="7">
        <f>$B14 * IFERROR(VLOOKUP("LULUCF|NOx|Minor restricted activity days", US_national_yearly!$D:$AM, 33, FALSE) / VLOOKUP("LULUCF|NOx|Minor restricted activity days", US_national_yearly!$D:$AM, 10, FALSE), 1)</f>
        <v>5.7484080889775276E-3</v>
      </c>
      <c r="Z14" s="7">
        <f>$B14 * IFERROR(VLOOKUP("LULUCF|NOx|Minor restricted activity days", US_national_yearly!$D:$AM, 34, FALSE) / VLOOKUP("LULUCF|NOx|Minor restricted activity days", US_national_yearly!$D:$AM, 10, FALSE), 1)</f>
        <v>5.7817657619427653E-3</v>
      </c>
      <c r="AA14" s="7">
        <f>$B14 * IFERROR(VLOOKUP("LULUCF|NOx|Minor restricted activity days", US_national_yearly!$D:$AM, 35, FALSE) / VLOOKUP("LULUCF|NOx|Minor restricted activity days", US_national_yearly!$D:$AM, 10, FALSE), 1)</f>
        <v>5.815123434908003E-3</v>
      </c>
      <c r="AB14" s="7">
        <f>$B14 * IFERROR(VLOOKUP("LULUCF|NOx|Minor restricted activity days", US_national_yearly!$D:$AM, 36, FALSE) / VLOOKUP("LULUCF|NOx|Minor restricted activity days", US_national_yearly!$D:$AM, 10, FALSE), 1)</f>
        <v>5.8484811078732407E-3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8.6539214903810628E-4</v>
      </c>
      <c r="C15" s="7">
        <f>$B15 * IFERROR(VLOOKUP("LULUCF|NOx|Work loss days", US_national_yearly!$D:$AM, 11, FALSE) / VLOOKUP("LULUCF|NOx|Work loss days", US_national_yearly!$D:$AM, 10, FALSE), 1)</f>
        <v>8.6731716731848474E-4</v>
      </c>
      <c r="D15" s="7">
        <f>$B15 * IFERROR(VLOOKUP("LULUCF|NOx|Work loss days", US_national_yearly!$D:$AM, 12, FALSE) / VLOOKUP("LULUCF|NOx|Work loss days", US_national_yearly!$D:$AM, 10, FALSE), 1)</f>
        <v>8.6924218559886342E-4</v>
      </c>
      <c r="E15" s="7">
        <f>$B15 * IFERROR(VLOOKUP("LULUCF|NOx|Work loss days", US_national_yearly!$D:$AM, 13, FALSE) / VLOOKUP("LULUCF|NOx|Work loss days", US_national_yearly!$D:$AM, 10, FALSE), 1)</f>
        <v>8.7116720387924178E-4</v>
      </c>
      <c r="F15" s="7">
        <f>$B15 * IFERROR(VLOOKUP("LULUCF|NOx|Work loss days", US_national_yearly!$D:$AM, 14, FALSE) / VLOOKUP("LULUCF|NOx|Work loss days", US_national_yearly!$D:$AM, 10, FALSE), 1)</f>
        <v>8.7309222215962046E-4</v>
      </c>
      <c r="G15" s="7">
        <f>$B15 * IFERROR(VLOOKUP("LULUCF|NOx|Work loss days", US_national_yearly!$D:$AM, 15, FALSE) / VLOOKUP("LULUCF|NOx|Work loss days", US_national_yearly!$D:$AM, 10, FALSE), 1)</f>
        <v>8.759027652702337E-4</v>
      </c>
      <c r="H15" s="7">
        <f>$B15 * IFERROR(VLOOKUP("LULUCF|NOx|Work loss days", US_national_yearly!$D:$AM, 16, FALSE) / VLOOKUP("LULUCF|NOx|Work loss days", US_national_yearly!$D:$AM, 10, FALSE), 1)</f>
        <v>8.7871330838084716E-4</v>
      </c>
      <c r="I15" s="7">
        <f>$B15 * IFERROR(VLOOKUP("LULUCF|NOx|Work loss days", US_national_yearly!$D:$AM, 17, FALSE) / VLOOKUP("LULUCF|NOx|Work loss days", US_national_yearly!$D:$AM, 10, FALSE), 1)</f>
        <v>8.8326623589923727E-4</v>
      </c>
      <c r="J15" s="7">
        <f>$B15 * IFERROR(VLOOKUP("LULUCF|NOx|Work loss days", US_national_yearly!$D:$AM, 18, FALSE) / VLOOKUP("LULUCF|NOx|Work loss days", US_national_yearly!$D:$AM, 10, FALSE), 1)</f>
        <v>8.8781916341762761E-4</v>
      </c>
      <c r="K15" s="7">
        <f>$B15 * IFERROR(VLOOKUP("LULUCF|NOx|Work loss days", US_national_yearly!$D:$AM, 19, FALSE) / VLOOKUP("LULUCF|NOx|Work loss days", US_national_yearly!$D:$AM, 10, FALSE), 1)</f>
        <v>8.9237209093601761E-4</v>
      </c>
      <c r="L15" s="7">
        <f>$B15 * IFERROR(VLOOKUP("LULUCF|NOx|Work loss days", US_national_yearly!$D:$AM, 20, FALSE) / VLOOKUP("LULUCF|NOx|Work loss days", US_national_yearly!$D:$AM, 10, FALSE), 1)</f>
        <v>8.9692501845440773E-4</v>
      </c>
      <c r="M15" s="7">
        <f>$B15 * IFERROR(VLOOKUP("LULUCF|NOx|Work loss days", US_national_yearly!$D:$AM, 21, FALSE) / VLOOKUP("LULUCF|NOx|Work loss days", US_national_yearly!$D:$AM, 10, FALSE), 1)</f>
        <v>9.0147794597279806E-4</v>
      </c>
      <c r="N15" s="7">
        <f>$B15 * IFERROR(VLOOKUP("LULUCF|NOx|Work loss days", US_national_yearly!$D:$AM, 22, FALSE) / VLOOKUP("LULUCF|NOx|Work loss days", US_national_yearly!$D:$AM, 10, FALSE), 1)</f>
        <v>9.0740330175790576E-4</v>
      </c>
      <c r="O15" s="7">
        <f>$B15 * IFERROR(VLOOKUP("LULUCF|NOx|Work loss days", US_national_yearly!$D:$AM, 23, FALSE) / VLOOKUP("LULUCF|NOx|Work loss days", US_national_yearly!$D:$AM, 10, FALSE), 1)</f>
        <v>9.1332865754301356E-4</v>
      </c>
      <c r="P15" s="7">
        <f>$B15 * IFERROR(VLOOKUP("LULUCF|NOx|Work loss days", US_national_yearly!$D:$AM, 24, FALSE) / VLOOKUP("LULUCF|NOx|Work loss days", US_national_yearly!$D:$AM, 10, FALSE), 1)</f>
        <v>9.1925401332812137E-4</v>
      </c>
      <c r="Q15" s="7">
        <f>$B15 * IFERROR(VLOOKUP("LULUCF|NOx|Work loss days", US_national_yearly!$D:$AM, 25, FALSE) / VLOOKUP("LULUCF|NOx|Work loss days", US_national_yearly!$D:$AM, 10, FALSE), 1)</f>
        <v>9.2517936911322885E-4</v>
      </c>
      <c r="R15" s="7">
        <f>$B15 * IFERROR(VLOOKUP("LULUCF|NOx|Work loss days", US_national_yearly!$D:$AM, 26, FALSE) / VLOOKUP("LULUCF|NOx|Work loss days", US_national_yearly!$D:$AM, 10, FALSE), 1)</f>
        <v>9.3110472489833687E-4</v>
      </c>
      <c r="S15" s="7">
        <f>$B15 * IFERROR(VLOOKUP("LULUCF|NOx|Work loss days", US_national_yearly!$D:$AM, 27, FALSE) / VLOOKUP("LULUCF|NOx|Work loss days", US_national_yearly!$D:$AM, 10, FALSE), 1)</f>
        <v>9.3771073897086282E-4</v>
      </c>
      <c r="T15" s="7">
        <f>$B15 * IFERROR(VLOOKUP("LULUCF|NOx|Work loss days", US_national_yearly!$D:$AM, 28, FALSE) / VLOOKUP("LULUCF|NOx|Work loss days", US_national_yearly!$D:$AM, 10, FALSE), 1)</f>
        <v>9.4431675304338888E-4</v>
      </c>
      <c r="U15" s="7">
        <f>$B15 * IFERROR(VLOOKUP("LULUCF|NOx|Work loss days", US_national_yearly!$D:$AM, 29, FALSE) / VLOOKUP("LULUCF|NOx|Work loss days", US_national_yearly!$D:$AM, 10, FALSE), 1)</f>
        <v>9.5092276711591461E-4</v>
      </c>
      <c r="V15" s="7">
        <f>$B15 * IFERROR(VLOOKUP("LULUCF|NOx|Work loss days", US_national_yearly!$D:$AM, 30, FALSE) / VLOOKUP("LULUCF|NOx|Work loss days", US_national_yearly!$D:$AM, 10, FALSE), 1)</f>
        <v>9.5752878118844067E-4</v>
      </c>
      <c r="W15" s="7">
        <f>$B15 * IFERROR(VLOOKUP("LULUCF|NOx|Work loss days", US_national_yearly!$D:$AM, 31, FALSE) / VLOOKUP("LULUCF|NOx|Work loss days", US_national_yearly!$D:$AM, 10, FALSE), 1)</f>
        <v>9.6413479526096663E-4</v>
      </c>
      <c r="X15" s="7">
        <f>$B15 * IFERROR(VLOOKUP("LULUCF|NOx|Work loss days", US_national_yearly!$D:$AM, 32, FALSE) / VLOOKUP("LULUCF|NOx|Work loss days", US_national_yearly!$D:$AM, 10, FALSE), 1)</f>
        <v>9.6986846326478063E-4</v>
      </c>
      <c r="Y15" s="7">
        <f>$B15 * IFERROR(VLOOKUP("LULUCF|NOx|Work loss days", US_national_yearly!$D:$AM, 33, FALSE) / VLOOKUP("LULUCF|NOx|Work loss days", US_national_yearly!$D:$AM, 10, FALSE), 1)</f>
        <v>9.7560213126859463E-4</v>
      </c>
      <c r="Z15" s="7">
        <f>$B15 * IFERROR(VLOOKUP("LULUCF|NOx|Work loss days", US_national_yearly!$D:$AM, 34, FALSE) / VLOOKUP("LULUCF|NOx|Work loss days", US_national_yearly!$D:$AM, 10, FALSE), 1)</f>
        <v>9.8133579927240874E-4</v>
      </c>
      <c r="AA15" s="7">
        <f>$B15 * IFERROR(VLOOKUP("LULUCF|NOx|Work loss days", US_national_yearly!$D:$AM, 35, FALSE) / VLOOKUP("LULUCF|NOx|Work loss days", US_national_yearly!$D:$AM, 10, FALSE), 1)</f>
        <v>9.8706946727622263E-4</v>
      </c>
      <c r="AB15" s="7">
        <f>$B15 * IFERROR(VLOOKUP("LULUCF|NOx|Work loss days", US_national_yearly!$D:$AM, 36, FALSE) / VLOOKUP("LULUCF|NOx|Work loss days", US_national_yearly!$D:$AM, 10, FALSE), 1)</f>
        <v>9.9280313528003674E-4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1.1808817674583833E-6</v>
      </c>
      <c r="C17" s="7">
        <f>$B17 * IFERROR(VLOOKUP("LULUCF|NOx|Cardiovascular hospital admissions", US_national_yearly!$D:$AM, 11, FALSE) / VLOOKUP("LULUCF|NOx|Cardiovascular hospital admissions", US_national_yearly!$D:$AM, 10, FALSE), 1)</f>
        <v>1.2155815432958886E-6</v>
      </c>
      <c r="D17" s="7">
        <f>$B17 * IFERROR(VLOOKUP("LULUCF|NOx|Cardiovascular hospital admissions", US_national_yearly!$D:$AM, 12, FALSE) / VLOOKUP("LULUCF|NOx|Cardiovascular hospital admissions", US_national_yearly!$D:$AM, 10, FALSE), 1)</f>
        <v>1.2502813191333937E-6</v>
      </c>
      <c r="E17" s="7">
        <f>$B17 * IFERROR(VLOOKUP("LULUCF|NOx|Cardiovascular hospital admissions", US_national_yearly!$D:$AM, 13, FALSE) / VLOOKUP("LULUCF|NOx|Cardiovascular hospital admissions", US_national_yearly!$D:$AM, 10, FALSE), 1)</f>
        <v>1.2849810949708986E-6</v>
      </c>
      <c r="F17" s="7">
        <f>$B17 * IFERROR(VLOOKUP("LULUCF|NOx|Cardiovascular hospital admissions", US_national_yearly!$D:$AM, 14, FALSE) / VLOOKUP("LULUCF|NOx|Cardiovascular hospital admissions", US_national_yearly!$D:$AM, 10, FALSE), 1)</f>
        <v>1.3196808708084039E-6</v>
      </c>
      <c r="G17" s="7">
        <f>$B17 * IFERROR(VLOOKUP("LULUCF|NOx|Cardiovascular hospital admissions", US_national_yearly!$D:$AM, 15, FALSE) / VLOOKUP("LULUCF|NOx|Cardiovascular hospital admissions", US_national_yearly!$D:$AM, 10, FALSE), 1)</f>
        <v>1.3526399193925365E-6</v>
      </c>
      <c r="H17" s="7">
        <f>$B17 * IFERROR(VLOOKUP("LULUCF|NOx|Cardiovascular hospital admissions", US_national_yearly!$D:$AM, 16, FALSE) / VLOOKUP("LULUCF|NOx|Cardiovascular hospital admissions", US_national_yearly!$D:$AM, 10, FALSE), 1)</f>
        <v>1.3855989679766693E-6</v>
      </c>
      <c r="I17" s="7">
        <f>$B17 * IFERROR(VLOOKUP("LULUCF|NOx|Cardiovascular hospital admissions", US_national_yearly!$D:$AM, 17, FALSE) / VLOOKUP("LULUCF|NOx|Cardiovascular hospital admissions", US_national_yearly!$D:$AM, 10, FALSE), 1)</f>
        <v>1.4133149851888415E-6</v>
      </c>
      <c r="J17" s="7">
        <f>$B17 * IFERROR(VLOOKUP("LULUCF|NOx|Cardiovascular hospital admissions", US_national_yearly!$D:$AM, 18, FALSE) / VLOOKUP("LULUCF|NOx|Cardiovascular hospital admissions", US_national_yearly!$D:$AM, 10, FALSE), 1)</f>
        <v>1.4410310024010138E-6</v>
      </c>
      <c r="K17" s="7">
        <f>$B17 * IFERROR(VLOOKUP("LULUCF|NOx|Cardiovascular hospital admissions", US_national_yearly!$D:$AM, 19, FALSE) / VLOOKUP("LULUCF|NOx|Cardiovascular hospital admissions", US_national_yearly!$D:$AM, 10, FALSE), 1)</f>
        <v>1.468747019613186E-6</v>
      </c>
      <c r="L17" s="7">
        <f>$B17 * IFERROR(VLOOKUP("LULUCF|NOx|Cardiovascular hospital admissions", US_national_yearly!$D:$AM, 20, FALSE) / VLOOKUP("LULUCF|NOx|Cardiovascular hospital admissions", US_national_yearly!$D:$AM, 10, FALSE), 1)</f>
        <v>1.4964630368253584E-6</v>
      </c>
      <c r="M17" s="7">
        <f>$B17 * IFERROR(VLOOKUP("LULUCF|NOx|Cardiovascular hospital admissions", US_national_yearly!$D:$AM, 21, FALSE) / VLOOKUP("LULUCF|NOx|Cardiovascular hospital admissions", US_national_yearly!$D:$AM, 10, FALSE), 1)</f>
        <v>1.5241790540375307E-6</v>
      </c>
      <c r="N17" s="7">
        <f>$B17 * IFERROR(VLOOKUP("LULUCF|NOx|Cardiovascular hospital admissions", US_national_yearly!$D:$AM, 22, FALSE) / VLOOKUP("LULUCF|NOx|Cardiovascular hospital admissions", US_national_yearly!$D:$AM, 10, FALSE), 1)</f>
        <v>1.5415107979645963E-6</v>
      </c>
      <c r="O17" s="7">
        <f>$B17 * IFERROR(VLOOKUP("LULUCF|NOx|Cardiovascular hospital admissions", US_national_yearly!$D:$AM, 23, FALSE) / VLOOKUP("LULUCF|NOx|Cardiovascular hospital admissions", US_national_yearly!$D:$AM, 10, FALSE), 1)</f>
        <v>1.5588425418916619E-6</v>
      </c>
      <c r="P17" s="7">
        <f>$B17 * IFERROR(VLOOKUP("LULUCF|NOx|Cardiovascular hospital admissions", US_national_yearly!$D:$AM, 24, FALSE) / VLOOKUP("LULUCF|NOx|Cardiovascular hospital admissions", US_national_yearly!$D:$AM, 10, FALSE), 1)</f>
        <v>1.5761742858187275E-6</v>
      </c>
      <c r="Q17" s="7">
        <f>$B17 * IFERROR(VLOOKUP("LULUCF|NOx|Cardiovascular hospital admissions", US_national_yearly!$D:$AM, 25, FALSE) / VLOOKUP("LULUCF|NOx|Cardiovascular hospital admissions", US_national_yearly!$D:$AM, 10, FALSE), 1)</f>
        <v>1.5935060297457933E-6</v>
      </c>
      <c r="R17" s="7">
        <f>$B17 * IFERROR(VLOOKUP("LULUCF|NOx|Cardiovascular hospital admissions", US_national_yearly!$D:$AM, 26, FALSE) / VLOOKUP("LULUCF|NOx|Cardiovascular hospital admissions", US_national_yearly!$D:$AM, 10, FALSE), 1)</f>
        <v>1.6108377736728586E-6</v>
      </c>
      <c r="S17" s="7">
        <f>$B17 * IFERROR(VLOOKUP("LULUCF|NOx|Cardiovascular hospital admissions", US_national_yearly!$D:$AM, 27, FALSE) / VLOOKUP("LULUCF|NOx|Cardiovascular hospital admissions", US_national_yearly!$D:$AM, 10, FALSE), 1)</f>
        <v>1.6187457724887591E-6</v>
      </c>
      <c r="T17" s="7">
        <f>$B17 * IFERROR(VLOOKUP("LULUCF|NOx|Cardiovascular hospital admissions", US_national_yearly!$D:$AM, 28, FALSE) / VLOOKUP("LULUCF|NOx|Cardiovascular hospital admissions", US_national_yearly!$D:$AM, 10, FALSE), 1)</f>
        <v>1.6266537713046595E-6</v>
      </c>
      <c r="U17" s="7">
        <f>$B17 * IFERROR(VLOOKUP("LULUCF|NOx|Cardiovascular hospital admissions", US_national_yearly!$D:$AM, 29, FALSE) / VLOOKUP("LULUCF|NOx|Cardiovascular hospital admissions", US_national_yearly!$D:$AM, 10, FALSE), 1)</f>
        <v>1.6345617701205597E-6</v>
      </c>
      <c r="V17" s="7">
        <f>$B17 * IFERROR(VLOOKUP("LULUCF|NOx|Cardiovascular hospital admissions", US_national_yearly!$D:$AM, 30, FALSE) / VLOOKUP("LULUCF|NOx|Cardiovascular hospital admissions", US_national_yearly!$D:$AM, 10, FALSE), 1)</f>
        <v>1.6424697689364601E-6</v>
      </c>
      <c r="W17" s="7">
        <f>$B17 * IFERROR(VLOOKUP("LULUCF|NOx|Cardiovascular hospital admissions", US_national_yearly!$D:$AM, 31, FALSE) / VLOOKUP("LULUCF|NOx|Cardiovascular hospital admissions", US_national_yearly!$D:$AM, 10, FALSE), 1)</f>
        <v>1.6503777677523605E-6</v>
      </c>
      <c r="X17" s="7">
        <f>$B17 * IFERROR(VLOOKUP("LULUCF|NOx|Cardiovascular hospital admissions", US_national_yearly!$D:$AM, 32, FALSE) / VLOOKUP("LULUCF|NOx|Cardiovascular hospital admissions", US_national_yearly!$D:$AM, 10, FALSE), 1)</f>
        <v>1.6547788432606823E-6</v>
      </c>
      <c r="Y17" s="7">
        <f>$B17 * IFERROR(VLOOKUP("LULUCF|NOx|Cardiovascular hospital admissions", US_national_yearly!$D:$AM, 33, FALSE) / VLOOKUP("LULUCF|NOx|Cardiovascular hospital admissions", US_national_yearly!$D:$AM, 10, FALSE), 1)</f>
        <v>1.659179918769004E-6</v>
      </c>
      <c r="Z17" s="7">
        <f>$B17 * IFERROR(VLOOKUP("LULUCF|NOx|Cardiovascular hospital admissions", US_national_yearly!$D:$AM, 34, FALSE) / VLOOKUP("LULUCF|NOx|Cardiovascular hospital admissions", US_national_yearly!$D:$AM, 10, FALSE), 1)</f>
        <v>1.6635809942773257E-6</v>
      </c>
      <c r="AA17" s="7">
        <f>$B17 * IFERROR(VLOOKUP("LULUCF|NOx|Cardiovascular hospital admissions", US_national_yearly!$D:$AM, 35, FALSE) / VLOOKUP("LULUCF|NOx|Cardiovascular hospital admissions", US_national_yearly!$D:$AM, 10, FALSE), 1)</f>
        <v>1.6679820697856474E-6</v>
      </c>
      <c r="AB17" s="7">
        <f>$B17 * IFERROR(VLOOKUP("LULUCF|NOx|Cardiovascular hospital admissions", US_national_yearly!$D:$AM, 36, FALSE) / VLOOKUP("LULUCF|NOx|Cardiovascular hospital admissions", US_national_yearly!$D:$AM, 10, FALSE), 1)</f>
        <v>1.6723831452939692E-6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1.6132095921973778E-5</v>
      </c>
      <c r="C2" s="7">
        <f>$B2 * IFERROR(VLOOKUP("LULUCF|SO2|Premature mortality", US_national_yearly!$D:$AM, 11, FALSE) / VLOOKUP("LULUCF|SO2|Premature mortality", US_national_yearly!$D:$AM, 10, FALSE), 1)</f>
        <v>1.6336400188322277E-5</v>
      </c>
      <c r="D2" s="7">
        <f>$B2 * IFERROR(VLOOKUP("LULUCF|SO2|Premature mortality", US_national_yearly!$D:$AM, 12, FALSE) / VLOOKUP("LULUCF|SO2|Premature mortality", US_national_yearly!$D:$AM, 10, FALSE), 1)</f>
        <v>1.6540704454670779E-5</v>
      </c>
      <c r="E2" s="7">
        <f>$B2 * IFERROR(VLOOKUP("LULUCF|SO2|Premature mortality", US_national_yearly!$D:$AM, 13, FALSE) / VLOOKUP("LULUCF|SO2|Premature mortality", US_national_yearly!$D:$AM, 10, FALSE), 1)</f>
        <v>1.6745008721019278E-5</v>
      </c>
      <c r="F2" s="7">
        <f>$B2 * IFERROR(VLOOKUP("LULUCF|SO2|Premature mortality", US_national_yearly!$D:$AM, 14, FALSE) / VLOOKUP("LULUCF|SO2|Premature mortality", US_national_yearly!$D:$AM, 10, FALSE), 1)</f>
        <v>1.6949312987367777E-5</v>
      </c>
      <c r="G2" s="7">
        <f>$B2 * IFERROR(VLOOKUP("LULUCF|SO2|Premature mortality", US_national_yearly!$D:$AM, 15, FALSE) / VLOOKUP("LULUCF|SO2|Premature mortality", US_national_yearly!$D:$AM, 10, FALSE), 1)</f>
        <v>1.7342995729911631E-5</v>
      </c>
      <c r="H2" s="7">
        <f>$B2 * IFERROR(VLOOKUP("LULUCF|SO2|Premature mortality", US_national_yearly!$D:$AM, 16, FALSE) / VLOOKUP("LULUCF|SO2|Premature mortality", US_national_yearly!$D:$AM, 10, FALSE), 1)</f>
        <v>1.7736678472455485E-5</v>
      </c>
      <c r="I2" s="7">
        <f>$B2 * IFERROR(VLOOKUP("LULUCF|SO2|Premature mortality", US_national_yearly!$D:$AM, 17, FALSE) / VLOOKUP("LULUCF|SO2|Premature mortality", US_national_yearly!$D:$AM, 10, FALSE), 1)</f>
        <v>1.7996848151252479E-5</v>
      </c>
      <c r="J2" s="7">
        <f>$B2 * IFERROR(VLOOKUP("LULUCF|SO2|Premature mortality", US_national_yearly!$D:$AM, 18, FALSE) / VLOOKUP("LULUCF|SO2|Premature mortality", US_national_yearly!$D:$AM, 10, FALSE), 1)</f>
        <v>1.8257017830049474E-5</v>
      </c>
      <c r="K2" s="7">
        <f>$B2 * IFERROR(VLOOKUP("LULUCF|SO2|Premature mortality", US_national_yearly!$D:$AM, 19, FALSE) / VLOOKUP("LULUCF|SO2|Premature mortality", US_national_yearly!$D:$AM, 10, FALSE), 1)</f>
        <v>1.8517187508846462E-5</v>
      </c>
      <c r="L2" s="7">
        <f>$B2 * IFERROR(VLOOKUP("LULUCF|SO2|Premature mortality", US_national_yearly!$D:$AM, 20, FALSE) / VLOOKUP("LULUCF|SO2|Premature mortality", US_national_yearly!$D:$AM, 10, FALSE), 1)</f>
        <v>1.8777357187643456E-5</v>
      </c>
      <c r="M2" s="7">
        <f>$B2 * IFERROR(VLOOKUP("LULUCF|SO2|Premature mortality", US_national_yearly!$D:$AM, 21, FALSE) / VLOOKUP("LULUCF|SO2|Premature mortality", US_national_yearly!$D:$AM, 10, FALSE), 1)</f>
        <v>1.903752686644045E-5</v>
      </c>
      <c r="N2" s="7">
        <f>$B2 * IFERROR(VLOOKUP("LULUCF|SO2|Premature mortality", US_national_yearly!$D:$AM, 22, FALSE) / VLOOKUP("LULUCF|SO2|Premature mortality", US_national_yearly!$D:$AM, 10, FALSE), 1)</f>
        <v>1.9240809341139635E-5</v>
      </c>
      <c r="O2" s="7">
        <f>$B2 * IFERROR(VLOOKUP("LULUCF|SO2|Premature mortality", US_national_yearly!$D:$AM, 23, FALSE) / VLOOKUP("LULUCF|SO2|Premature mortality", US_national_yearly!$D:$AM, 10, FALSE), 1)</f>
        <v>1.9444091815838815E-5</v>
      </c>
      <c r="P2" s="7">
        <f>$B2 * IFERROR(VLOOKUP("LULUCF|SO2|Premature mortality", US_national_yearly!$D:$AM, 24, FALSE) / VLOOKUP("LULUCF|SO2|Premature mortality", US_national_yearly!$D:$AM, 10, FALSE), 1)</f>
        <v>1.9647374290537996E-5</v>
      </c>
      <c r="Q2" s="7">
        <f>$B2 * IFERROR(VLOOKUP("LULUCF|SO2|Premature mortality", US_national_yearly!$D:$AM, 25, FALSE) / VLOOKUP("LULUCF|SO2|Premature mortality", US_national_yearly!$D:$AM, 10, FALSE), 1)</f>
        <v>1.985065676523718E-5</v>
      </c>
      <c r="R2" s="7">
        <f>$B2 * IFERROR(VLOOKUP("LULUCF|SO2|Premature mortality", US_national_yearly!$D:$AM, 26, FALSE) / VLOOKUP("LULUCF|SO2|Premature mortality", US_national_yearly!$D:$AM, 10, FALSE), 1)</f>
        <v>2.0053939239936358E-5</v>
      </c>
      <c r="S2" s="7">
        <f>$B2 * IFERROR(VLOOKUP("LULUCF|SO2|Premature mortality", US_national_yearly!$D:$AM, 27, FALSE) / VLOOKUP("LULUCF|SO2|Premature mortality", US_national_yearly!$D:$AM, 10, FALSE), 1)</f>
        <v>2.0162799711884422E-5</v>
      </c>
      <c r="T2" s="7">
        <f>$B2 * IFERROR(VLOOKUP("LULUCF|SO2|Premature mortality", US_national_yearly!$D:$AM, 28, FALSE) / VLOOKUP("LULUCF|SO2|Premature mortality", US_national_yearly!$D:$AM, 10, FALSE), 1)</f>
        <v>2.0271660183832487E-5</v>
      </c>
      <c r="U2" s="7">
        <f>$B2 * IFERROR(VLOOKUP("LULUCF|SO2|Premature mortality", US_national_yearly!$D:$AM, 29, FALSE) / VLOOKUP("LULUCF|SO2|Premature mortality", US_national_yearly!$D:$AM, 10, FALSE), 1)</f>
        <v>2.0380520655780552E-5</v>
      </c>
      <c r="V2" s="7">
        <f>$B2 * IFERROR(VLOOKUP("LULUCF|SO2|Premature mortality", US_national_yearly!$D:$AM, 30, FALSE) / VLOOKUP("LULUCF|SO2|Premature mortality", US_national_yearly!$D:$AM, 10, FALSE), 1)</f>
        <v>2.0489381127728613E-5</v>
      </c>
      <c r="W2" s="7">
        <f>$B2 * IFERROR(VLOOKUP("LULUCF|SO2|Premature mortality", US_national_yearly!$D:$AM, 31, FALSE) / VLOOKUP("LULUCF|SO2|Premature mortality", US_national_yearly!$D:$AM, 10, FALSE), 1)</f>
        <v>2.0598241599676681E-5</v>
      </c>
      <c r="X2" s="7">
        <f>$B2 * IFERROR(VLOOKUP("LULUCF|SO2|Premature mortality", US_national_yearly!$D:$AM, 32, FALSE) / VLOOKUP("LULUCF|SO2|Premature mortality", US_national_yearly!$D:$AM, 10, FALSE), 1)</f>
        <v>2.0620356937532071E-5</v>
      </c>
      <c r="Y2" s="7">
        <f>$B2 * IFERROR(VLOOKUP("LULUCF|SO2|Premature mortality", US_national_yearly!$D:$AM, 33, FALSE) / VLOOKUP("LULUCF|SO2|Premature mortality", US_national_yearly!$D:$AM, 10, FALSE), 1)</f>
        <v>2.0642472275387468E-5</v>
      </c>
      <c r="Z2" s="7">
        <f>$B2 * IFERROR(VLOOKUP("LULUCF|SO2|Premature mortality", US_national_yearly!$D:$AM, 34, FALSE) / VLOOKUP("LULUCF|SO2|Premature mortality", US_national_yearly!$D:$AM, 10, FALSE), 1)</f>
        <v>2.0664587613242861E-5</v>
      </c>
      <c r="AA2" s="7">
        <f>$B2 * IFERROR(VLOOKUP("LULUCF|SO2|Premature mortality", US_national_yearly!$D:$AM, 35, FALSE) / VLOOKUP("LULUCF|SO2|Premature mortality", US_national_yearly!$D:$AM, 10, FALSE), 1)</f>
        <v>2.0686702951098255E-5</v>
      </c>
      <c r="AB2" s="7">
        <f>$B2 * IFERROR(VLOOKUP("LULUCF|SO2|Premature mortality", US_national_yearly!$D:$AM, 36, FALSE) / VLOOKUP("LULUCF|SO2|Premature mortality", US_national_yearly!$D:$AM, 10, FALSE), 1)</f>
        <v>2.0708818288953648E-5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5.2885059523696287E-8</v>
      </c>
      <c r="C3" s="7">
        <f>$B3 * IFERROR(VLOOKUP("LULUCF|SO2|Infant mortality", US_national_yearly!$D:$AM, 11, FALSE) / VLOOKUP("LULUCF|SO2|Infant mortality", US_national_yearly!$D:$AM, 10, FALSE), 1)</f>
        <v>5.2430767215858257E-8</v>
      </c>
      <c r="D3" s="7">
        <f>$B3 * IFERROR(VLOOKUP("LULUCF|SO2|Infant mortality", US_national_yearly!$D:$AM, 12, FALSE) / VLOOKUP("LULUCF|SO2|Infant mortality", US_national_yearly!$D:$AM, 10, FALSE), 1)</f>
        <v>5.1976474908020233E-8</v>
      </c>
      <c r="E3" s="7">
        <f>$B3 * IFERROR(VLOOKUP("LULUCF|SO2|Infant mortality", US_national_yearly!$D:$AM, 13, FALSE) / VLOOKUP("LULUCF|SO2|Infant mortality", US_national_yearly!$D:$AM, 10, FALSE), 1)</f>
        <v>5.1522182600182196E-8</v>
      </c>
      <c r="F3" s="7">
        <f>$B3 * IFERROR(VLOOKUP("LULUCF|SO2|Infant mortality", US_national_yearly!$D:$AM, 14, FALSE) / VLOOKUP("LULUCF|SO2|Infant mortality", US_national_yearly!$D:$AM, 10, FALSE), 1)</f>
        <v>5.1067890292344173E-8</v>
      </c>
      <c r="G3" s="7">
        <f>$B3 * IFERROR(VLOOKUP("LULUCF|SO2|Infant mortality", US_national_yearly!$D:$AM, 15, FALSE) / VLOOKUP("LULUCF|SO2|Infant mortality", US_national_yearly!$D:$AM, 10, FALSE), 1)</f>
        <v>3.4015328023307921E-8</v>
      </c>
      <c r="H3" s="7">
        <f>$B3 * IFERROR(VLOOKUP("LULUCF|SO2|Infant mortality", US_national_yearly!$D:$AM, 16, FALSE) / VLOOKUP("LULUCF|SO2|Infant mortality", US_national_yearly!$D:$AM, 10, FALSE), 1)</f>
        <v>1.6962765754271688E-8</v>
      </c>
      <c r="I3" s="7">
        <f>$B3 * IFERROR(VLOOKUP("LULUCF|SO2|Infant mortality", US_national_yearly!$D:$AM, 17, FALSE) / VLOOKUP("LULUCF|SO2|Infant mortality", US_national_yearly!$D:$AM, 10, FALSE), 1)</f>
        <v>1.6856353202379672E-8</v>
      </c>
      <c r="J3" s="7">
        <f>$B3 * IFERROR(VLOOKUP("LULUCF|SO2|Infant mortality", US_national_yearly!$D:$AM, 18, FALSE) / VLOOKUP("LULUCF|SO2|Infant mortality", US_national_yearly!$D:$AM, 10, FALSE), 1)</f>
        <v>1.6749940650487656E-8</v>
      </c>
      <c r="K3" s="7">
        <f>$B3 * IFERROR(VLOOKUP("LULUCF|SO2|Infant mortality", US_national_yearly!$D:$AM, 19, FALSE) / VLOOKUP("LULUCF|SO2|Infant mortality", US_national_yearly!$D:$AM, 10, FALSE), 1)</f>
        <v>1.6643528098595643E-8</v>
      </c>
      <c r="L3" s="7">
        <f>$B3 * IFERROR(VLOOKUP("LULUCF|SO2|Infant mortality", US_national_yearly!$D:$AM, 20, FALSE) / VLOOKUP("LULUCF|SO2|Infant mortality", US_national_yearly!$D:$AM, 10, FALSE), 1)</f>
        <v>1.653711554670363E-8</v>
      </c>
      <c r="M3" s="7">
        <f>$B3 * IFERROR(VLOOKUP("LULUCF|SO2|Infant mortality", US_national_yearly!$D:$AM, 21, FALSE) / VLOOKUP("LULUCF|SO2|Infant mortality", US_national_yearly!$D:$AM, 10, FALSE), 1)</f>
        <v>1.6430702994811613E-8</v>
      </c>
      <c r="N3" s="7">
        <f>$B3 * IFERROR(VLOOKUP("LULUCF|SO2|Infant mortality", US_national_yearly!$D:$AM, 22, FALSE) / VLOOKUP("LULUCF|SO2|Infant mortality", US_national_yearly!$D:$AM, 10, FALSE), 1)</f>
        <v>1.6363908632663828E-8</v>
      </c>
      <c r="O3" s="7">
        <f>$B3 * IFERROR(VLOOKUP("LULUCF|SO2|Infant mortality", US_national_yearly!$D:$AM, 23, FALSE) / VLOOKUP("LULUCF|SO2|Infant mortality", US_national_yearly!$D:$AM, 10, FALSE), 1)</f>
        <v>1.6297114270516042E-8</v>
      </c>
      <c r="P3" s="7">
        <f>$B3 * IFERROR(VLOOKUP("LULUCF|SO2|Infant mortality", US_national_yearly!$D:$AM, 24, FALSE) / VLOOKUP("LULUCF|SO2|Infant mortality", US_national_yearly!$D:$AM, 10, FALSE), 1)</f>
        <v>1.6230319908368257E-8</v>
      </c>
      <c r="Q3" s="7">
        <f>$B3 * IFERROR(VLOOKUP("LULUCF|SO2|Infant mortality", US_national_yearly!$D:$AM, 25, FALSE) / VLOOKUP("LULUCF|SO2|Infant mortality", US_national_yearly!$D:$AM, 10, FALSE), 1)</f>
        <v>1.6163525546220471E-8</v>
      </c>
      <c r="R3" s="7">
        <f>$B3 * IFERROR(VLOOKUP("LULUCF|SO2|Infant mortality", US_national_yearly!$D:$AM, 26, FALSE) / VLOOKUP("LULUCF|SO2|Infant mortality", US_national_yearly!$D:$AM, 10, FALSE), 1)</f>
        <v>1.6096731184072682E-8</v>
      </c>
      <c r="S3" s="7">
        <f>$B3 * IFERROR(VLOOKUP("LULUCF|SO2|Infant mortality", US_national_yearly!$D:$AM, 27, FALSE) / VLOOKUP("LULUCF|SO2|Infant mortality", US_national_yearly!$D:$AM, 10, FALSE), 1)</f>
        <v>1.6012866793196492E-8</v>
      </c>
      <c r="T3" s="7">
        <f>$B3 * IFERROR(VLOOKUP("LULUCF|SO2|Infant mortality", US_national_yearly!$D:$AM, 28, FALSE) / VLOOKUP("LULUCF|SO2|Infant mortality", US_national_yearly!$D:$AM, 10, FALSE), 1)</f>
        <v>1.5929002402320299E-8</v>
      </c>
      <c r="U3" s="7">
        <f>$B3 * IFERROR(VLOOKUP("LULUCF|SO2|Infant mortality", US_national_yearly!$D:$AM, 29, FALSE) / VLOOKUP("LULUCF|SO2|Infant mortality", US_national_yearly!$D:$AM, 10, FALSE), 1)</f>
        <v>1.5845138011444102E-8</v>
      </c>
      <c r="V3" s="7">
        <f>$B3 * IFERROR(VLOOKUP("LULUCF|SO2|Infant mortality", US_national_yearly!$D:$AM, 30, FALSE) / VLOOKUP("LULUCF|SO2|Infant mortality", US_national_yearly!$D:$AM, 10, FALSE), 1)</f>
        <v>1.5761273620567915E-8</v>
      </c>
      <c r="W3" s="7">
        <f>$B3 * IFERROR(VLOOKUP("LULUCF|SO2|Infant mortality", US_national_yearly!$D:$AM, 31, FALSE) / VLOOKUP("LULUCF|SO2|Infant mortality", US_national_yearly!$D:$AM, 10, FALSE), 1)</f>
        <v>1.5677409229691721E-8</v>
      </c>
      <c r="X3" s="7">
        <f>$B3 * IFERROR(VLOOKUP("LULUCF|SO2|Infant mortality", US_national_yearly!$D:$AM, 32, FALSE) / VLOOKUP("LULUCF|SO2|Infant mortality", US_national_yearly!$D:$AM, 10, FALSE), 1)</f>
        <v>1.5585719563868762E-8</v>
      </c>
      <c r="Y3" s="7">
        <f>$B3 * IFERROR(VLOOKUP("LULUCF|SO2|Infant mortality", US_national_yearly!$D:$AM, 33, FALSE) / VLOOKUP("LULUCF|SO2|Infant mortality", US_national_yearly!$D:$AM, 10, FALSE), 1)</f>
        <v>1.5494029898045797E-8</v>
      </c>
      <c r="Z3" s="7">
        <f>$B3 * IFERROR(VLOOKUP("LULUCF|SO2|Infant mortality", US_national_yearly!$D:$AM, 34, FALSE) / VLOOKUP("LULUCF|SO2|Infant mortality", US_national_yearly!$D:$AM, 10, FALSE), 1)</f>
        <v>1.5402340232222838E-8</v>
      </c>
      <c r="AA3" s="7">
        <f>$B3 * IFERROR(VLOOKUP("LULUCF|SO2|Infant mortality", US_national_yearly!$D:$AM, 35, FALSE) / VLOOKUP("LULUCF|SO2|Infant mortality", US_national_yearly!$D:$AM, 10, FALSE), 1)</f>
        <v>1.5310650566399872E-8</v>
      </c>
      <c r="AB3" s="7">
        <f>$B3 * IFERROR(VLOOKUP("LULUCF|SO2|Infant mortality", US_national_yearly!$D:$AM, 36, FALSE) / VLOOKUP("LULUCF|SO2|Infant mortality", US_national_yearly!$D:$AM, 10, FALSE), 1)</f>
        <v>1.5218960900576917E-8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4.8293073620653647E-5</v>
      </c>
      <c r="C6" s="7">
        <f>$B6 * IFERROR(VLOOKUP("LULUCF|SO2|Asthma symptoms cough", US_national_yearly!$D:$AM, 11, FALSE) / VLOOKUP("LULUCF|SO2|Asthma symptoms cough", US_national_yearly!$D:$AM, 10, FALSE), 1)</f>
        <v>4.8293073620653647E-5</v>
      </c>
      <c r="D6" s="7">
        <f>$B6 * IFERROR(VLOOKUP("LULUCF|SO2|Asthma symptoms cough", US_national_yearly!$D:$AM, 12, FALSE) / VLOOKUP("LULUCF|SO2|Asthma symptoms cough", US_national_yearly!$D:$AM, 10, FALSE), 1)</f>
        <v>4.8293073620653647E-5</v>
      </c>
      <c r="E6" s="7">
        <f>$B6 * IFERROR(VLOOKUP("LULUCF|SO2|Asthma symptoms cough", US_national_yearly!$D:$AM, 13, FALSE) / VLOOKUP("LULUCF|SO2|Asthma symptoms cough", US_national_yearly!$D:$AM, 10, FALSE), 1)</f>
        <v>4.8293073620653647E-5</v>
      </c>
      <c r="F6" s="7">
        <f>$B6 * IFERROR(VLOOKUP("LULUCF|SO2|Asthma symptoms cough", US_national_yearly!$D:$AM, 14, FALSE) / VLOOKUP("LULUCF|SO2|Asthma symptoms cough", US_national_yearly!$D:$AM, 10, FALSE), 1)</f>
        <v>4.8293073620653647E-5</v>
      </c>
      <c r="G6" s="7">
        <f>$B6 * IFERROR(VLOOKUP("LULUCF|SO2|Asthma symptoms cough", US_national_yearly!$D:$AM, 15, FALSE) / VLOOKUP("LULUCF|SO2|Asthma symptoms cough", US_national_yearly!$D:$AM, 10, FALSE), 1)</f>
        <v>4.8293073620653647E-5</v>
      </c>
      <c r="H6" s="7">
        <f>$B6 * IFERROR(VLOOKUP("LULUCF|SO2|Asthma symptoms cough", US_national_yearly!$D:$AM, 16, FALSE) / VLOOKUP("LULUCF|SO2|Asthma symptoms cough", US_national_yearly!$D:$AM, 10, FALSE), 1)</f>
        <v>4.8293073620653647E-5</v>
      </c>
      <c r="I6" s="7">
        <f>$B6 * IFERROR(VLOOKUP("LULUCF|SO2|Asthma symptoms cough", US_national_yearly!$D:$AM, 17, FALSE) / VLOOKUP("LULUCF|SO2|Asthma symptoms cough", US_national_yearly!$D:$AM, 10, FALSE), 1)</f>
        <v>4.8293073620653647E-5</v>
      </c>
      <c r="J6" s="7">
        <f>$B6 * IFERROR(VLOOKUP("LULUCF|SO2|Asthma symptoms cough", US_national_yearly!$D:$AM, 18, FALSE) / VLOOKUP("LULUCF|SO2|Asthma symptoms cough", US_national_yearly!$D:$AM, 10, FALSE), 1)</f>
        <v>4.8293073620653647E-5</v>
      </c>
      <c r="K6" s="7">
        <f>$B6 * IFERROR(VLOOKUP("LULUCF|SO2|Asthma symptoms cough", US_national_yearly!$D:$AM, 19, FALSE) / VLOOKUP("LULUCF|SO2|Asthma symptoms cough", US_national_yearly!$D:$AM, 10, FALSE), 1)</f>
        <v>4.8293073620653647E-5</v>
      </c>
      <c r="L6" s="7">
        <f>$B6 * IFERROR(VLOOKUP("LULUCF|SO2|Asthma symptoms cough", US_national_yearly!$D:$AM, 20, FALSE) / VLOOKUP("LULUCF|SO2|Asthma symptoms cough", US_national_yearly!$D:$AM, 10, FALSE), 1)</f>
        <v>4.8293073620653647E-5</v>
      </c>
      <c r="M6" s="7">
        <f>$B6 * IFERROR(VLOOKUP("LULUCF|SO2|Asthma symptoms cough", US_national_yearly!$D:$AM, 21, FALSE) / VLOOKUP("LULUCF|SO2|Asthma symptoms cough", US_national_yearly!$D:$AM, 10, FALSE), 1)</f>
        <v>4.8293073620653647E-5</v>
      </c>
      <c r="N6" s="7">
        <f>$B6 * IFERROR(VLOOKUP("LULUCF|SO2|Asthma symptoms cough", US_national_yearly!$D:$AM, 22, FALSE) / VLOOKUP("LULUCF|SO2|Asthma symptoms cough", US_national_yearly!$D:$AM, 10, FALSE), 1)</f>
        <v>4.8293073620653647E-5</v>
      </c>
      <c r="O6" s="7">
        <f>$B6 * IFERROR(VLOOKUP("LULUCF|SO2|Asthma symptoms cough", US_national_yearly!$D:$AM, 23, FALSE) / VLOOKUP("LULUCF|SO2|Asthma symptoms cough", US_national_yearly!$D:$AM, 10, FALSE), 1)</f>
        <v>4.8293073620653647E-5</v>
      </c>
      <c r="P6" s="7">
        <f>$B6 * IFERROR(VLOOKUP("LULUCF|SO2|Asthma symptoms cough", US_national_yearly!$D:$AM, 24, FALSE) / VLOOKUP("LULUCF|SO2|Asthma symptoms cough", US_national_yearly!$D:$AM, 10, FALSE), 1)</f>
        <v>4.8293073620653647E-5</v>
      </c>
      <c r="Q6" s="7">
        <f>$B6 * IFERROR(VLOOKUP("LULUCF|SO2|Asthma symptoms cough", US_national_yearly!$D:$AM, 25, FALSE) / VLOOKUP("LULUCF|SO2|Asthma symptoms cough", US_national_yearly!$D:$AM, 10, FALSE), 1)</f>
        <v>4.8293073620653647E-5</v>
      </c>
      <c r="R6" s="7">
        <f>$B6 * IFERROR(VLOOKUP("LULUCF|SO2|Asthma symptoms cough", US_national_yearly!$D:$AM, 26, FALSE) / VLOOKUP("LULUCF|SO2|Asthma symptoms cough", US_national_yearly!$D:$AM, 10, FALSE), 1)</f>
        <v>4.8293073620653647E-5</v>
      </c>
      <c r="S6" s="7">
        <f>$B6 * IFERROR(VLOOKUP("LULUCF|SO2|Asthma symptoms cough", US_national_yearly!$D:$AM, 27, FALSE) / VLOOKUP("LULUCF|SO2|Asthma symptoms cough", US_national_yearly!$D:$AM, 10, FALSE), 1)</f>
        <v>4.8293073620653647E-5</v>
      </c>
      <c r="T6" s="7">
        <f>$B6 * IFERROR(VLOOKUP("LULUCF|SO2|Asthma symptoms cough", US_national_yearly!$D:$AM, 28, FALSE) / VLOOKUP("LULUCF|SO2|Asthma symptoms cough", US_national_yearly!$D:$AM, 10, FALSE), 1)</f>
        <v>4.8293073620653647E-5</v>
      </c>
      <c r="U6" s="7">
        <f>$B6 * IFERROR(VLOOKUP("LULUCF|SO2|Asthma symptoms cough", US_national_yearly!$D:$AM, 29, FALSE) / VLOOKUP("LULUCF|SO2|Asthma symptoms cough", US_national_yearly!$D:$AM, 10, FALSE), 1)</f>
        <v>4.8293073620653647E-5</v>
      </c>
      <c r="V6" s="7">
        <f>$B6 * IFERROR(VLOOKUP("LULUCF|SO2|Asthma symptoms cough", US_national_yearly!$D:$AM, 30, FALSE) / VLOOKUP("LULUCF|SO2|Asthma symptoms cough", US_national_yearly!$D:$AM, 10, FALSE), 1)</f>
        <v>4.8293073620653647E-5</v>
      </c>
      <c r="W6" s="7">
        <f>$B6 * IFERROR(VLOOKUP("LULUCF|SO2|Asthma symptoms cough", US_national_yearly!$D:$AM, 31, FALSE) / VLOOKUP("LULUCF|SO2|Asthma symptoms cough", US_national_yearly!$D:$AM, 10, FALSE), 1)</f>
        <v>4.8293073620653647E-5</v>
      </c>
      <c r="X6" s="7">
        <f>$B6 * IFERROR(VLOOKUP("LULUCF|SO2|Asthma symptoms cough", US_national_yearly!$D:$AM, 32, FALSE) / VLOOKUP("LULUCF|SO2|Asthma symptoms cough", US_national_yearly!$D:$AM, 10, FALSE), 1)</f>
        <v>4.8293073620653647E-5</v>
      </c>
      <c r="Y6" s="7">
        <f>$B6 * IFERROR(VLOOKUP("LULUCF|SO2|Asthma symptoms cough", US_national_yearly!$D:$AM, 33, FALSE) / VLOOKUP("LULUCF|SO2|Asthma symptoms cough", US_national_yearly!$D:$AM, 10, FALSE), 1)</f>
        <v>4.8293073620653647E-5</v>
      </c>
      <c r="Z6" s="7">
        <f>$B6 * IFERROR(VLOOKUP("LULUCF|SO2|Asthma symptoms cough", US_national_yearly!$D:$AM, 34, FALSE) / VLOOKUP("LULUCF|SO2|Asthma symptoms cough", US_national_yearly!$D:$AM, 10, FALSE), 1)</f>
        <v>4.8293073620653647E-5</v>
      </c>
      <c r="AA6" s="7">
        <f>$B6 * IFERROR(VLOOKUP("LULUCF|SO2|Asthma symptoms cough", US_national_yearly!$D:$AM, 35, FALSE) / VLOOKUP("LULUCF|SO2|Asthma symptoms cough", US_national_yearly!$D:$AM, 10, FALSE), 1)</f>
        <v>4.8293073620653647E-5</v>
      </c>
      <c r="AB6" s="7">
        <f>$B6 * IFERROR(VLOOKUP("LULUCF|SO2|Asthma symptoms cough", US_national_yearly!$D:$AM, 36, FALSE) / VLOOKUP("LULUCF|SO2|Asthma symptoms cough", US_national_yearly!$D:$AM, 10, FALSE), 1)</f>
        <v>4.8293073620653647E-5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6.5033426169460912E-5</v>
      </c>
      <c r="C7" s="7">
        <f>$B7 * IFERROR(VLOOKUP("LULUCF|SO2|Asthma symptoms shortness of breath", US_national_yearly!$D:$AM, 11, FALSE) / VLOOKUP("LULUCF|SO2|Asthma symptoms shortness of breath", US_national_yearly!$D:$AM, 10, FALSE), 1)</f>
        <v>6.5033426169460912E-5</v>
      </c>
      <c r="D7" s="7">
        <f>$B7 * IFERROR(VLOOKUP("LULUCF|SO2|Asthma symptoms shortness of breath", US_national_yearly!$D:$AM, 12, FALSE) / VLOOKUP("LULUCF|SO2|Asthma symptoms shortness of breath", US_national_yearly!$D:$AM, 10, FALSE), 1)</f>
        <v>6.5033426169460912E-5</v>
      </c>
      <c r="E7" s="7">
        <f>$B7 * IFERROR(VLOOKUP("LULUCF|SO2|Asthma symptoms shortness of breath", US_national_yearly!$D:$AM, 13, FALSE) / VLOOKUP("LULUCF|SO2|Asthma symptoms shortness of breath", US_national_yearly!$D:$AM, 10, FALSE), 1)</f>
        <v>6.5033426169460912E-5</v>
      </c>
      <c r="F7" s="7">
        <f>$B7 * IFERROR(VLOOKUP("LULUCF|SO2|Asthma symptoms shortness of breath", US_national_yearly!$D:$AM, 14, FALSE) / VLOOKUP("LULUCF|SO2|Asthma symptoms shortness of breath", US_national_yearly!$D:$AM, 10, FALSE), 1)</f>
        <v>6.5033426169460912E-5</v>
      </c>
      <c r="G7" s="7">
        <f>$B7 * IFERROR(VLOOKUP("LULUCF|SO2|Asthma symptoms shortness of breath", US_national_yearly!$D:$AM, 15, FALSE) / VLOOKUP("LULUCF|SO2|Asthma symptoms shortness of breath", US_national_yearly!$D:$AM, 10, FALSE), 1)</f>
        <v>6.5033426169460912E-5</v>
      </c>
      <c r="H7" s="7">
        <f>$B7 * IFERROR(VLOOKUP("LULUCF|SO2|Asthma symptoms shortness of breath", US_national_yearly!$D:$AM, 16, FALSE) / VLOOKUP("LULUCF|SO2|Asthma symptoms shortness of breath", US_national_yearly!$D:$AM, 10, FALSE), 1)</f>
        <v>6.5033426169460912E-5</v>
      </c>
      <c r="I7" s="7">
        <f>$B7 * IFERROR(VLOOKUP("LULUCF|SO2|Asthma symptoms shortness of breath", US_national_yearly!$D:$AM, 17, FALSE) / VLOOKUP("LULUCF|SO2|Asthma symptoms shortness of breath", US_national_yearly!$D:$AM, 10, FALSE), 1)</f>
        <v>6.5033426169460912E-5</v>
      </c>
      <c r="J7" s="7">
        <f>$B7 * IFERROR(VLOOKUP("LULUCF|SO2|Asthma symptoms shortness of breath", US_national_yearly!$D:$AM, 18, FALSE) / VLOOKUP("LULUCF|SO2|Asthma symptoms shortness of breath", US_national_yearly!$D:$AM, 10, FALSE), 1)</f>
        <v>6.5033426169460912E-5</v>
      </c>
      <c r="K7" s="7">
        <f>$B7 * IFERROR(VLOOKUP("LULUCF|SO2|Asthma symptoms shortness of breath", US_national_yearly!$D:$AM, 19, FALSE) / VLOOKUP("LULUCF|SO2|Asthma symptoms shortness of breath", US_national_yearly!$D:$AM, 10, FALSE), 1)</f>
        <v>6.5033426169460912E-5</v>
      </c>
      <c r="L7" s="7">
        <f>$B7 * IFERROR(VLOOKUP("LULUCF|SO2|Asthma symptoms shortness of breath", US_national_yearly!$D:$AM, 20, FALSE) / VLOOKUP("LULUCF|SO2|Asthma symptoms shortness of breath", US_national_yearly!$D:$AM, 10, FALSE), 1)</f>
        <v>6.5033426169460912E-5</v>
      </c>
      <c r="M7" s="7">
        <f>$B7 * IFERROR(VLOOKUP("LULUCF|SO2|Asthma symptoms shortness of breath", US_national_yearly!$D:$AM, 21, FALSE) / VLOOKUP("LULUCF|SO2|Asthma symptoms shortness of breath", US_national_yearly!$D:$AM, 10, FALSE), 1)</f>
        <v>6.5033426169460912E-5</v>
      </c>
      <c r="N7" s="7">
        <f>$B7 * IFERROR(VLOOKUP("LULUCF|SO2|Asthma symptoms shortness of breath", US_national_yearly!$D:$AM, 22, FALSE) / VLOOKUP("LULUCF|SO2|Asthma symptoms shortness of breath", US_national_yearly!$D:$AM, 10, FALSE), 1)</f>
        <v>6.5033426169460912E-5</v>
      </c>
      <c r="O7" s="7">
        <f>$B7 * IFERROR(VLOOKUP("LULUCF|SO2|Asthma symptoms shortness of breath", US_national_yearly!$D:$AM, 23, FALSE) / VLOOKUP("LULUCF|SO2|Asthma symptoms shortness of breath", US_national_yearly!$D:$AM, 10, FALSE), 1)</f>
        <v>6.5033426169460912E-5</v>
      </c>
      <c r="P7" s="7">
        <f>$B7 * IFERROR(VLOOKUP("LULUCF|SO2|Asthma symptoms shortness of breath", US_national_yearly!$D:$AM, 24, FALSE) / VLOOKUP("LULUCF|SO2|Asthma symptoms shortness of breath", US_national_yearly!$D:$AM, 10, FALSE), 1)</f>
        <v>6.5033426169460912E-5</v>
      </c>
      <c r="Q7" s="7">
        <f>$B7 * IFERROR(VLOOKUP("LULUCF|SO2|Asthma symptoms shortness of breath", US_national_yearly!$D:$AM, 25, FALSE) / VLOOKUP("LULUCF|SO2|Asthma symptoms shortness of breath", US_national_yearly!$D:$AM, 10, FALSE), 1)</f>
        <v>6.5033426169460912E-5</v>
      </c>
      <c r="R7" s="7">
        <f>$B7 * IFERROR(VLOOKUP("LULUCF|SO2|Asthma symptoms shortness of breath", US_national_yearly!$D:$AM, 26, FALSE) / VLOOKUP("LULUCF|SO2|Asthma symptoms shortness of breath", US_national_yearly!$D:$AM, 10, FALSE), 1)</f>
        <v>6.5033426169460912E-5</v>
      </c>
      <c r="S7" s="7">
        <f>$B7 * IFERROR(VLOOKUP("LULUCF|SO2|Asthma symptoms shortness of breath", US_national_yearly!$D:$AM, 27, FALSE) / VLOOKUP("LULUCF|SO2|Asthma symptoms shortness of breath", US_national_yearly!$D:$AM, 10, FALSE), 1)</f>
        <v>6.5033426169460912E-5</v>
      </c>
      <c r="T7" s="7">
        <f>$B7 * IFERROR(VLOOKUP("LULUCF|SO2|Asthma symptoms shortness of breath", US_national_yearly!$D:$AM, 28, FALSE) / VLOOKUP("LULUCF|SO2|Asthma symptoms shortness of breath", US_national_yearly!$D:$AM, 10, FALSE), 1)</f>
        <v>6.5033426169460912E-5</v>
      </c>
      <c r="U7" s="7">
        <f>$B7 * IFERROR(VLOOKUP("LULUCF|SO2|Asthma symptoms shortness of breath", US_national_yearly!$D:$AM, 29, FALSE) / VLOOKUP("LULUCF|SO2|Asthma symptoms shortness of breath", US_national_yearly!$D:$AM, 10, FALSE), 1)</f>
        <v>6.5033426169460912E-5</v>
      </c>
      <c r="V7" s="7">
        <f>$B7 * IFERROR(VLOOKUP("LULUCF|SO2|Asthma symptoms shortness of breath", US_national_yearly!$D:$AM, 30, FALSE) / VLOOKUP("LULUCF|SO2|Asthma symptoms shortness of breath", US_national_yearly!$D:$AM, 10, FALSE), 1)</f>
        <v>6.5033426169460912E-5</v>
      </c>
      <c r="W7" s="7">
        <f>$B7 * IFERROR(VLOOKUP("LULUCF|SO2|Asthma symptoms shortness of breath", US_national_yearly!$D:$AM, 31, FALSE) / VLOOKUP("LULUCF|SO2|Asthma symptoms shortness of breath", US_national_yearly!$D:$AM, 10, FALSE), 1)</f>
        <v>6.5033426169460912E-5</v>
      </c>
      <c r="X7" s="7">
        <f>$B7 * IFERROR(VLOOKUP("LULUCF|SO2|Asthma symptoms shortness of breath", US_national_yearly!$D:$AM, 32, FALSE) / VLOOKUP("LULUCF|SO2|Asthma symptoms shortness of breath", US_national_yearly!$D:$AM, 10, FALSE), 1)</f>
        <v>6.5033426169460912E-5</v>
      </c>
      <c r="Y7" s="7">
        <f>$B7 * IFERROR(VLOOKUP("LULUCF|SO2|Asthma symptoms shortness of breath", US_national_yearly!$D:$AM, 33, FALSE) / VLOOKUP("LULUCF|SO2|Asthma symptoms shortness of breath", US_national_yearly!$D:$AM, 10, FALSE), 1)</f>
        <v>6.5033426169460912E-5</v>
      </c>
      <c r="Z7" s="7">
        <f>$B7 * IFERROR(VLOOKUP("LULUCF|SO2|Asthma symptoms shortness of breath", US_national_yearly!$D:$AM, 34, FALSE) / VLOOKUP("LULUCF|SO2|Asthma symptoms shortness of breath", US_national_yearly!$D:$AM, 10, FALSE), 1)</f>
        <v>6.5033426169460912E-5</v>
      </c>
      <c r="AA7" s="7">
        <f>$B7 * IFERROR(VLOOKUP("LULUCF|SO2|Asthma symptoms shortness of breath", US_national_yearly!$D:$AM, 35, FALSE) / VLOOKUP("LULUCF|SO2|Asthma symptoms shortness of breath", US_national_yearly!$D:$AM, 10, FALSE), 1)</f>
        <v>6.5033426169460912E-5</v>
      </c>
      <c r="AB7" s="7">
        <f>$B7 * IFERROR(VLOOKUP("LULUCF|SO2|Asthma symptoms shortness of breath", US_national_yearly!$D:$AM, 36, FALSE) / VLOOKUP("LULUCF|SO2|Asthma symptoms shortness of breath", US_national_yearly!$D:$AM, 10, FALSE), 1)</f>
        <v>6.5033426169460912E-5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9.9360784634475974E-5</v>
      </c>
      <c r="C8" s="7">
        <f>$B8 * IFERROR(VLOOKUP("LULUCF|SO2|Asthma symptoms wheeze", US_national_yearly!$D:$AM, 11, FALSE) / VLOOKUP("LULUCF|SO2|Asthma symptoms wheeze", US_national_yearly!$D:$AM, 10, FALSE), 1)</f>
        <v>9.9360784634475974E-5</v>
      </c>
      <c r="D8" s="7">
        <f>$B8 * IFERROR(VLOOKUP("LULUCF|SO2|Asthma symptoms wheeze", US_national_yearly!$D:$AM, 12, FALSE) / VLOOKUP("LULUCF|SO2|Asthma symptoms wheeze", US_national_yearly!$D:$AM, 10, FALSE), 1)</f>
        <v>9.9360784634475974E-5</v>
      </c>
      <c r="E8" s="7">
        <f>$B8 * IFERROR(VLOOKUP("LULUCF|SO2|Asthma symptoms wheeze", US_national_yearly!$D:$AM, 13, FALSE) / VLOOKUP("LULUCF|SO2|Asthma symptoms wheeze", US_national_yearly!$D:$AM, 10, FALSE), 1)</f>
        <v>9.9360784634475974E-5</v>
      </c>
      <c r="F8" s="7">
        <f>$B8 * IFERROR(VLOOKUP("LULUCF|SO2|Asthma symptoms wheeze", US_national_yearly!$D:$AM, 14, FALSE) / VLOOKUP("LULUCF|SO2|Asthma symptoms wheeze", US_national_yearly!$D:$AM, 10, FALSE), 1)</f>
        <v>9.9360784634475974E-5</v>
      </c>
      <c r="G8" s="7">
        <f>$B8 * IFERROR(VLOOKUP("LULUCF|SO2|Asthma symptoms wheeze", US_national_yearly!$D:$AM, 15, FALSE) / VLOOKUP("LULUCF|SO2|Asthma symptoms wheeze", US_national_yearly!$D:$AM, 10, FALSE), 1)</f>
        <v>9.9360784634475974E-5</v>
      </c>
      <c r="H8" s="7">
        <f>$B8 * IFERROR(VLOOKUP("LULUCF|SO2|Asthma symptoms wheeze", US_national_yearly!$D:$AM, 16, FALSE) / VLOOKUP("LULUCF|SO2|Asthma symptoms wheeze", US_national_yearly!$D:$AM, 10, FALSE), 1)</f>
        <v>9.9360784634475974E-5</v>
      </c>
      <c r="I8" s="7">
        <f>$B8 * IFERROR(VLOOKUP("LULUCF|SO2|Asthma symptoms wheeze", US_national_yearly!$D:$AM, 17, FALSE) / VLOOKUP("LULUCF|SO2|Asthma symptoms wheeze", US_national_yearly!$D:$AM, 10, FALSE), 1)</f>
        <v>9.9360784634475974E-5</v>
      </c>
      <c r="J8" s="7">
        <f>$B8 * IFERROR(VLOOKUP("LULUCF|SO2|Asthma symptoms wheeze", US_national_yearly!$D:$AM, 18, FALSE) / VLOOKUP("LULUCF|SO2|Asthma symptoms wheeze", US_national_yearly!$D:$AM, 10, FALSE), 1)</f>
        <v>9.9360784634475974E-5</v>
      </c>
      <c r="K8" s="7">
        <f>$B8 * IFERROR(VLOOKUP("LULUCF|SO2|Asthma symptoms wheeze", US_national_yearly!$D:$AM, 19, FALSE) / VLOOKUP("LULUCF|SO2|Asthma symptoms wheeze", US_national_yearly!$D:$AM, 10, FALSE), 1)</f>
        <v>9.9360784634475974E-5</v>
      </c>
      <c r="L8" s="7">
        <f>$B8 * IFERROR(VLOOKUP("LULUCF|SO2|Asthma symptoms wheeze", US_national_yearly!$D:$AM, 20, FALSE) / VLOOKUP("LULUCF|SO2|Asthma symptoms wheeze", US_national_yearly!$D:$AM, 10, FALSE), 1)</f>
        <v>9.9360784634475974E-5</v>
      </c>
      <c r="M8" s="7">
        <f>$B8 * IFERROR(VLOOKUP("LULUCF|SO2|Asthma symptoms wheeze", US_national_yearly!$D:$AM, 21, FALSE) / VLOOKUP("LULUCF|SO2|Asthma symptoms wheeze", US_national_yearly!$D:$AM, 10, FALSE), 1)</f>
        <v>9.9360784634475974E-5</v>
      </c>
      <c r="N8" s="7">
        <f>$B8 * IFERROR(VLOOKUP("LULUCF|SO2|Asthma symptoms wheeze", US_national_yearly!$D:$AM, 22, FALSE) / VLOOKUP("LULUCF|SO2|Asthma symptoms wheeze", US_national_yearly!$D:$AM, 10, FALSE), 1)</f>
        <v>9.9360784634475974E-5</v>
      </c>
      <c r="O8" s="7">
        <f>$B8 * IFERROR(VLOOKUP("LULUCF|SO2|Asthma symptoms wheeze", US_national_yearly!$D:$AM, 23, FALSE) / VLOOKUP("LULUCF|SO2|Asthma symptoms wheeze", US_national_yearly!$D:$AM, 10, FALSE), 1)</f>
        <v>9.9360784634475974E-5</v>
      </c>
      <c r="P8" s="7">
        <f>$B8 * IFERROR(VLOOKUP("LULUCF|SO2|Asthma symptoms wheeze", US_national_yearly!$D:$AM, 24, FALSE) / VLOOKUP("LULUCF|SO2|Asthma symptoms wheeze", US_national_yearly!$D:$AM, 10, FALSE), 1)</f>
        <v>9.9360784634475974E-5</v>
      </c>
      <c r="Q8" s="7">
        <f>$B8 * IFERROR(VLOOKUP("LULUCF|SO2|Asthma symptoms wheeze", US_national_yearly!$D:$AM, 25, FALSE) / VLOOKUP("LULUCF|SO2|Asthma symptoms wheeze", US_national_yearly!$D:$AM, 10, FALSE), 1)</f>
        <v>9.9360784634475974E-5</v>
      </c>
      <c r="R8" s="7">
        <f>$B8 * IFERROR(VLOOKUP("LULUCF|SO2|Asthma symptoms wheeze", US_national_yearly!$D:$AM, 26, FALSE) / VLOOKUP("LULUCF|SO2|Asthma symptoms wheeze", US_national_yearly!$D:$AM, 10, FALSE), 1)</f>
        <v>9.9360784634475974E-5</v>
      </c>
      <c r="S8" s="7">
        <f>$B8 * IFERROR(VLOOKUP("LULUCF|SO2|Asthma symptoms wheeze", US_national_yearly!$D:$AM, 27, FALSE) / VLOOKUP("LULUCF|SO2|Asthma symptoms wheeze", US_national_yearly!$D:$AM, 10, FALSE), 1)</f>
        <v>9.9360784634475974E-5</v>
      </c>
      <c r="T8" s="7">
        <f>$B8 * IFERROR(VLOOKUP("LULUCF|SO2|Asthma symptoms wheeze", US_national_yearly!$D:$AM, 28, FALSE) / VLOOKUP("LULUCF|SO2|Asthma symptoms wheeze", US_national_yearly!$D:$AM, 10, FALSE), 1)</f>
        <v>9.9360784634475974E-5</v>
      </c>
      <c r="U8" s="7">
        <f>$B8 * IFERROR(VLOOKUP("LULUCF|SO2|Asthma symptoms wheeze", US_national_yearly!$D:$AM, 29, FALSE) / VLOOKUP("LULUCF|SO2|Asthma symptoms wheeze", US_national_yearly!$D:$AM, 10, FALSE), 1)</f>
        <v>9.9360784634475974E-5</v>
      </c>
      <c r="V8" s="7">
        <f>$B8 * IFERROR(VLOOKUP("LULUCF|SO2|Asthma symptoms wheeze", US_national_yearly!$D:$AM, 30, FALSE) / VLOOKUP("LULUCF|SO2|Asthma symptoms wheeze", US_national_yearly!$D:$AM, 10, FALSE), 1)</f>
        <v>9.9360784634475974E-5</v>
      </c>
      <c r="W8" s="7">
        <f>$B8 * IFERROR(VLOOKUP("LULUCF|SO2|Asthma symptoms wheeze", US_national_yearly!$D:$AM, 31, FALSE) / VLOOKUP("LULUCF|SO2|Asthma symptoms wheeze", US_national_yearly!$D:$AM, 10, FALSE), 1)</f>
        <v>9.9360784634475974E-5</v>
      </c>
      <c r="X8" s="7">
        <f>$B8 * IFERROR(VLOOKUP("LULUCF|SO2|Asthma symptoms wheeze", US_national_yearly!$D:$AM, 32, FALSE) / VLOOKUP("LULUCF|SO2|Asthma symptoms wheeze", US_national_yearly!$D:$AM, 10, FALSE), 1)</f>
        <v>9.9360784634475974E-5</v>
      </c>
      <c r="Y8" s="7">
        <f>$B8 * IFERROR(VLOOKUP("LULUCF|SO2|Asthma symptoms wheeze", US_national_yearly!$D:$AM, 33, FALSE) / VLOOKUP("LULUCF|SO2|Asthma symptoms wheeze", US_national_yearly!$D:$AM, 10, FALSE), 1)</f>
        <v>9.9360784634475974E-5</v>
      </c>
      <c r="Z8" s="7">
        <f>$B8 * IFERROR(VLOOKUP("LULUCF|SO2|Asthma symptoms wheeze", US_national_yearly!$D:$AM, 34, FALSE) / VLOOKUP("LULUCF|SO2|Asthma symptoms wheeze", US_national_yearly!$D:$AM, 10, FALSE), 1)</f>
        <v>9.9360784634475974E-5</v>
      </c>
      <c r="AA8" s="7">
        <f>$B8 * IFERROR(VLOOKUP("LULUCF|SO2|Asthma symptoms wheeze", US_national_yearly!$D:$AM, 35, FALSE) / VLOOKUP("LULUCF|SO2|Asthma symptoms wheeze", US_national_yearly!$D:$AM, 10, FALSE), 1)</f>
        <v>9.9360784634475974E-5</v>
      </c>
      <c r="AB8" s="7">
        <f>$B8 * IFERROR(VLOOKUP("LULUCF|SO2|Asthma symptoms wheeze", US_national_yearly!$D:$AM, 36, FALSE) / VLOOKUP("LULUCF|SO2|Asthma symptoms wheeze", US_national_yearly!$D:$AM, 10, FALSE), 1)</f>
        <v>9.9360784634475974E-5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8.405278921146781E-7</v>
      </c>
      <c r="C12" s="7">
        <f>$B12 * IFERROR(VLOOKUP("LULUCF|SO2|Respiratory hospital admissions", US_national_yearly!$D:$AM, 11, FALSE) / VLOOKUP("LULUCF|SO2|Respiratory hospital admissions", US_national_yearly!$D:$AM, 10, FALSE), 1)</f>
        <v>8.4548536739231957E-7</v>
      </c>
      <c r="D12" s="7">
        <f>$B12 * IFERROR(VLOOKUP("LULUCF|SO2|Respiratory hospital admissions", US_national_yearly!$D:$AM, 12, FALSE) / VLOOKUP("LULUCF|SO2|Respiratory hospital admissions", US_national_yearly!$D:$AM, 10, FALSE), 1)</f>
        <v>8.5044284266996105E-7</v>
      </c>
      <c r="E12" s="7">
        <f>$B12 * IFERROR(VLOOKUP("LULUCF|SO2|Respiratory hospital admissions", US_national_yearly!$D:$AM, 13, FALSE) / VLOOKUP("LULUCF|SO2|Respiratory hospital admissions", US_national_yearly!$D:$AM, 10, FALSE), 1)</f>
        <v>8.5540031794760253E-7</v>
      </c>
      <c r="F12" s="7">
        <f>$B12 * IFERROR(VLOOKUP("LULUCF|SO2|Respiratory hospital admissions", US_national_yearly!$D:$AM, 14, FALSE) / VLOOKUP("LULUCF|SO2|Respiratory hospital admissions", US_national_yearly!$D:$AM, 10, FALSE), 1)</f>
        <v>8.60357793225244E-7</v>
      </c>
      <c r="G12" s="7">
        <f>$B12 * IFERROR(VLOOKUP("LULUCF|SO2|Respiratory hospital admissions", US_national_yearly!$D:$AM, 15, FALSE) / VLOOKUP("LULUCF|SO2|Respiratory hospital admissions", US_national_yearly!$D:$AM, 10, FALSE), 1)</f>
        <v>8.6576227746015964E-7</v>
      </c>
      <c r="H12" s="7">
        <f>$B12 * IFERROR(VLOOKUP("LULUCF|SO2|Respiratory hospital admissions", US_national_yearly!$D:$AM, 16, FALSE) / VLOOKUP("LULUCF|SO2|Respiratory hospital admissions", US_national_yearly!$D:$AM, 10, FALSE), 1)</f>
        <v>8.7116676169507528E-7</v>
      </c>
      <c r="I12" s="7">
        <f>$B12 * IFERROR(VLOOKUP("LULUCF|SO2|Respiratory hospital admissions", US_national_yearly!$D:$AM, 17, FALSE) / VLOOKUP("LULUCF|SO2|Respiratory hospital admissions", US_national_yearly!$D:$AM, 10, FALSE), 1)</f>
        <v>8.7649622663091828E-7</v>
      </c>
      <c r="J12" s="7">
        <f>$B12 * IFERROR(VLOOKUP("LULUCF|SO2|Respiratory hospital admissions", US_national_yearly!$D:$AM, 18, FALSE) / VLOOKUP("LULUCF|SO2|Respiratory hospital admissions", US_national_yearly!$D:$AM, 10, FALSE), 1)</f>
        <v>8.8182569156676149E-7</v>
      </c>
      <c r="K12" s="7">
        <f>$B12 * IFERROR(VLOOKUP("LULUCF|SO2|Respiratory hospital admissions", US_national_yearly!$D:$AM, 19, FALSE) / VLOOKUP("LULUCF|SO2|Respiratory hospital admissions", US_national_yearly!$D:$AM, 10, FALSE), 1)</f>
        <v>8.8715515650260427E-7</v>
      </c>
      <c r="L12" s="7">
        <f>$B12 * IFERROR(VLOOKUP("LULUCF|SO2|Respiratory hospital admissions", US_national_yearly!$D:$AM, 20, FALSE) / VLOOKUP("LULUCF|SO2|Respiratory hospital admissions", US_national_yearly!$D:$AM, 10, FALSE), 1)</f>
        <v>8.9248462143844748E-7</v>
      </c>
      <c r="M12" s="7">
        <f>$B12 * IFERROR(VLOOKUP("LULUCF|SO2|Respiratory hospital admissions", US_national_yearly!$D:$AM, 21, FALSE) / VLOOKUP("LULUCF|SO2|Respiratory hospital admissions", US_national_yearly!$D:$AM, 10, FALSE), 1)</f>
        <v>8.9781408637429027E-7</v>
      </c>
      <c r="N12" s="7">
        <f>$B12 * IFERROR(VLOOKUP("LULUCF|SO2|Respiratory hospital admissions", US_national_yearly!$D:$AM, 22, FALSE) / VLOOKUP("LULUCF|SO2|Respiratory hospital admissions", US_national_yearly!$D:$AM, 10, FALSE), 1)</f>
        <v>9.0170443126434687E-7</v>
      </c>
      <c r="O12" s="7">
        <f>$B12 * IFERROR(VLOOKUP("LULUCF|SO2|Respiratory hospital admissions", US_national_yearly!$D:$AM, 23, FALSE) / VLOOKUP("LULUCF|SO2|Respiratory hospital admissions", US_national_yearly!$D:$AM, 10, FALSE), 1)</f>
        <v>9.0559477615440327E-7</v>
      </c>
      <c r="P12" s="7">
        <f>$B12 * IFERROR(VLOOKUP("LULUCF|SO2|Respiratory hospital admissions", US_national_yearly!$D:$AM, 24, FALSE) / VLOOKUP("LULUCF|SO2|Respiratory hospital admissions", US_national_yearly!$D:$AM, 10, FALSE), 1)</f>
        <v>9.0948512104445966E-7</v>
      </c>
      <c r="Q12" s="7">
        <f>$B12 * IFERROR(VLOOKUP("LULUCF|SO2|Respiratory hospital admissions", US_national_yearly!$D:$AM, 25, FALSE) / VLOOKUP("LULUCF|SO2|Respiratory hospital admissions", US_national_yearly!$D:$AM, 10, FALSE), 1)</f>
        <v>9.1337546593451616E-7</v>
      </c>
      <c r="R12" s="7">
        <f>$B12 * IFERROR(VLOOKUP("LULUCF|SO2|Respiratory hospital admissions", US_national_yearly!$D:$AM, 26, FALSE) / VLOOKUP("LULUCF|SO2|Respiratory hospital admissions", US_national_yearly!$D:$AM, 10, FALSE), 1)</f>
        <v>9.1726581082457255E-7</v>
      </c>
      <c r="S12" s="7">
        <f>$B12 * IFERROR(VLOOKUP("LULUCF|SO2|Respiratory hospital admissions", US_national_yearly!$D:$AM, 27, FALSE) / VLOOKUP("LULUCF|SO2|Respiratory hospital admissions", US_national_yearly!$D:$AM, 10, FALSE), 1)</f>
        <v>9.2097690300799516E-7</v>
      </c>
      <c r="T12" s="7">
        <f>$B12 * IFERROR(VLOOKUP("LULUCF|SO2|Respiratory hospital admissions", US_national_yearly!$D:$AM, 28, FALSE) / VLOOKUP("LULUCF|SO2|Respiratory hospital admissions", US_national_yearly!$D:$AM, 10, FALSE), 1)</f>
        <v>9.2468799519141747E-7</v>
      </c>
      <c r="U12" s="7">
        <f>$B12 * IFERROR(VLOOKUP("LULUCF|SO2|Respiratory hospital admissions", US_national_yearly!$D:$AM, 29, FALSE) / VLOOKUP("LULUCF|SO2|Respiratory hospital admissions", US_national_yearly!$D:$AM, 10, FALSE), 1)</f>
        <v>9.2839908737483998E-7</v>
      </c>
      <c r="V12" s="7">
        <f>$B12 * IFERROR(VLOOKUP("LULUCF|SO2|Respiratory hospital admissions", US_national_yearly!$D:$AM, 30, FALSE) / VLOOKUP("LULUCF|SO2|Respiratory hospital admissions", US_national_yearly!$D:$AM, 10, FALSE), 1)</f>
        <v>9.3211017955826259E-7</v>
      </c>
      <c r="W12" s="7">
        <f>$B12 * IFERROR(VLOOKUP("LULUCF|SO2|Respiratory hospital admissions", US_national_yearly!$D:$AM, 31, FALSE) / VLOOKUP("LULUCF|SO2|Respiratory hospital admissions", US_national_yearly!$D:$AM, 10, FALSE), 1)</f>
        <v>9.3582127174168511E-7</v>
      </c>
      <c r="X12" s="7">
        <f>$B12 * IFERROR(VLOOKUP("LULUCF|SO2|Respiratory hospital admissions", US_national_yearly!$D:$AM, 32, FALSE) / VLOOKUP("LULUCF|SO2|Respiratory hospital admissions", US_national_yearly!$D:$AM, 10, FALSE), 1)</f>
        <v>9.3934248893482412E-7</v>
      </c>
      <c r="Y12" s="7">
        <f>$B12 * IFERROR(VLOOKUP("LULUCF|SO2|Respiratory hospital admissions", US_national_yearly!$D:$AM, 33, FALSE) / VLOOKUP("LULUCF|SO2|Respiratory hospital admissions", US_national_yearly!$D:$AM, 10, FALSE), 1)</f>
        <v>9.4286370612796313E-7</v>
      </c>
      <c r="Z12" s="7">
        <f>$B12 * IFERROR(VLOOKUP("LULUCF|SO2|Respiratory hospital admissions", US_national_yearly!$D:$AM, 34, FALSE) / VLOOKUP("LULUCF|SO2|Respiratory hospital admissions", US_national_yearly!$D:$AM, 10, FALSE), 1)</f>
        <v>9.4638492332110225E-7</v>
      </c>
      <c r="AA12" s="7">
        <f>$B12 * IFERROR(VLOOKUP("LULUCF|SO2|Respiratory hospital admissions", US_national_yearly!$D:$AM, 35, FALSE) / VLOOKUP("LULUCF|SO2|Respiratory hospital admissions", US_national_yearly!$D:$AM, 10, FALSE), 1)</f>
        <v>9.4990614051424126E-7</v>
      </c>
      <c r="AB12" s="7">
        <f>$B12 * IFERROR(VLOOKUP("LULUCF|SO2|Respiratory hospital admissions", US_national_yearly!$D:$AM, 36, FALSE) / VLOOKUP("LULUCF|SO2|Respiratory hospital admissions", US_national_yearly!$D:$AM, 10, FALSE), 1)</f>
        <v>9.5342735770738048E-7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4.9217167656441817E-6</v>
      </c>
      <c r="C13" s="7">
        <f>$B13 * IFERROR(VLOOKUP("LULUCF|SO2|Non-fatal heart attacks", US_national_yearly!$D:$AM, 11, FALSE) / VLOOKUP("LULUCF|SO2|Non-fatal heart attacks", US_national_yearly!$D:$AM, 10, FALSE), 1)</f>
        <v>5.066200493228011E-6</v>
      </c>
      <c r="D13" s="7">
        <f>$B13 * IFERROR(VLOOKUP("LULUCF|SO2|Non-fatal heart attacks", US_national_yearly!$D:$AM, 12, FALSE) / VLOOKUP("LULUCF|SO2|Non-fatal heart attacks", US_national_yearly!$D:$AM, 10, FALSE), 1)</f>
        <v>5.2106842208118411E-6</v>
      </c>
      <c r="E13" s="7">
        <f>$B13 * IFERROR(VLOOKUP("LULUCF|SO2|Non-fatal heart attacks", US_national_yearly!$D:$AM, 13, FALSE) / VLOOKUP("LULUCF|SO2|Non-fatal heart attacks", US_national_yearly!$D:$AM, 10, FALSE), 1)</f>
        <v>5.3551679483956705E-6</v>
      </c>
      <c r="F13" s="7">
        <f>$B13 * IFERROR(VLOOKUP("LULUCF|SO2|Non-fatal heart attacks", US_national_yearly!$D:$AM, 14, FALSE) / VLOOKUP("LULUCF|SO2|Non-fatal heart attacks", US_national_yearly!$D:$AM, 10, FALSE), 1)</f>
        <v>5.4996516759794989E-6</v>
      </c>
      <c r="G13" s="7">
        <f>$B13 * IFERROR(VLOOKUP("LULUCF|SO2|Non-fatal heart attacks", US_national_yearly!$D:$AM, 15, FALSE) / VLOOKUP("LULUCF|SO2|Non-fatal heart attacks", US_national_yearly!$D:$AM, 10, FALSE), 1)</f>
        <v>5.6359132327754903E-6</v>
      </c>
      <c r="H13" s="7">
        <f>$B13 * IFERROR(VLOOKUP("LULUCF|SO2|Non-fatal heart attacks", US_national_yearly!$D:$AM, 16, FALSE) / VLOOKUP("LULUCF|SO2|Non-fatal heart attacks", US_national_yearly!$D:$AM, 10, FALSE), 1)</f>
        <v>5.7721747895714816E-6</v>
      </c>
      <c r="I13" s="7">
        <f>$B13 * IFERROR(VLOOKUP("LULUCF|SO2|Non-fatal heart attacks", US_national_yearly!$D:$AM, 17, FALSE) / VLOOKUP("LULUCF|SO2|Non-fatal heart attacks", US_national_yearly!$D:$AM, 10, FALSE), 1)</f>
        <v>5.8818226267697741E-6</v>
      </c>
      <c r="J13" s="7">
        <f>$B13 * IFERROR(VLOOKUP("LULUCF|SO2|Non-fatal heart attacks", US_national_yearly!$D:$AM, 18, FALSE) / VLOOKUP("LULUCF|SO2|Non-fatal heart attacks", US_national_yearly!$D:$AM, 10, FALSE), 1)</f>
        <v>5.9914704639680683E-6</v>
      </c>
      <c r="K13" s="7">
        <f>$B13 * IFERROR(VLOOKUP("LULUCF|SO2|Non-fatal heart attacks", US_national_yearly!$D:$AM, 19, FALSE) / VLOOKUP("LULUCF|SO2|Non-fatal heart attacks", US_national_yearly!$D:$AM, 10, FALSE), 1)</f>
        <v>6.1011183011663608E-6</v>
      </c>
      <c r="L13" s="7">
        <f>$B13 * IFERROR(VLOOKUP("LULUCF|SO2|Non-fatal heart attacks", US_national_yearly!$D:$AM, 20, FALSE) / VLOOKUP("LULUCF|SO2|Non-fatal heart attacks", US_national_yearly!$D:$AM, 10, FALSE), 1)</f>
        <v>6.2107661383646558E-6</v>
      </c>
      <c r="M13" s="7">
        <f>$B13 * IFERROR(VLOOKUP("LULUCF|SO2|Non-fatal heart attacks", US_national_yearly!$D:$AM, 21, FALSE) / VLOOKUP("LULUCF|SO2|Non-fatal heart attacks", US_national_yearly!$D:$AM, 10, FALSE), 1)</f>
        <v>6.3204139755629492E-6</v>
      </c>
      <c r="N13" s="7">
        <f>$B13 * IFERROR(VLOOKUP("LULUCF|SO2|Non-fatal heart attacks", US_national_yearly!$D:$AM, 22, FALSE) / VLOOKUP("LULUCF|SO2|Non-fatal heart attacks", US_national_yearly!$D:$AM, 10, FALSE), 1)</f>
        <v>6.3916096409774304E-6</v>
      </c>
      <c r="O13" s="7">
        <f>$B13 * IFERROR(VLOOKUP("LULUCF|SO2|Non-fatal heart attacks", US_national_yearly!$D:$AM, 23, FALSE) / VLOOKUP("LULUCF|SO2|Non-fatal heart attacks", US_national_yearly!$D:$AM, 10, FALSE), 1)</f>
        <v>6.4628053063919143E-6</v>
      </c>
      <c r="P13" s="7">
        <f>$B13 * IFERROR(VLOOKUP("LULUCF|SO2|Non-fatal heart attacks", US_national_yearly!$D:$AM, 24, FALSE) / VLOOKUP("LULUCF|SO2|Non-fatal heart attacks", US_national_yearly!$D:$AM, 10, FALSE), 1)</f>
        <v>6.5340009718063981E-6</v>
      </c>
      <c r="Q13" s="7">
        <f>$B13 * IFERROR(VLOOKUP("LULUCF|SO2|Non-fatal heart attacks", US_national_yearly!$D:$AM, 25, FALSE) / VLOOKUP("LULUCF|SO2|Non-fatal heart attacks", US_national_yearly!$D:$AM, 10, FALSE), 1)</f>
        <v>6.6051966372208811E-6</v>
      </c>
      <c r="R13" s="7">
        <f>$B13 * IFERROR(VLOOKUP("LULUCF|SO2|Non-fatal heart attacks", US_national_yearly!$D:$AM, 26, FALSE) / VLOOKUP("LULUCF|SO2|Non-fatal heart attacks", US_national_yearly!$D:$AM, 10, FALSE), 1)</f>
        <v>6.6763923026353632E-6</v>
      </c>
      <c r="S13" s="7">
        <f>$B13 * IFERROR(VLOOKUP("LULUCF|SO2|Non-fatal heart attacks", US_national_yearly!$D:$AM, 27, FALSE) / VLOOKUP("LULUCF|SO2|Non-fatal heart attacks", US_national_yearly!$D:$AM, 10, FALSE), 1)</f>
        <v>6.7135631590876665E-6</v>
      </c>
      <c r="T13" s="7">
        <f>$B13 * IFERROR(VLOOKUP("LULUCF|SO2|Non-fatal heart attacks", US_national_yearly!$D:$AM, 28, FALSE) / VLOOKUP("LULUCF|SO2|Non-fatal heart attacks", US_national_yearly!$D:$AM, 10, FALSE), 1)</f>
        <v>6.7507340155399689E-6</v>
      </c>
      <c r="U13" s="7">
        <f>$B13 * IFERROR(VLOOKUP("LULUCF|SO2|Non-fatal heart attacks", US_national_yearly!$D:$AM, 29, FALSE) / VLOOKUP("LULUCF|SO2|Non-fatal heart attacks", US_national_yearly!$D:$AM, 10, FALSE), 1)</f>
        <v>6.7879048719922706E-6</v>
      </c>
      <c r="V13" s="7">
        <f>$B13 * IFERROR(VLOOKUP("LULUCF|SO2|Non-fatal heart attacks", US_national_yearly!$D:$AM, 30, FALSE) / VLOOKUP("LULUCF|SO2|Non-fatal heart attacks", US_national_yearly!$D:$AM, 10, FALSE), 1)</f>
        <v>6.825075728444573E-6</v>
      </c>
      <c r="W13" s="7">
        <f>$B13 * IFERROR(VLOOKUP("LULUCF|SO2|Non-fatal heart attacks", US_national_yearly!$D:$AM, 31, FALSE) / VLOOKUP("LULUCF|SO2|Non-fatal heart attacks", US_national_yearly!$D:$AM, 10, FALSE), 1)</f>
        <v>6.8622465848968763E-6</v>
      </c>
      <c r="X13" s="7">
        <f>$B13 * IFERROR(VLOOKUP("LULUCF|SO2|Non-fatal heart attacks", US_national_yearly!$D:$AM, 32, FALSE) / VLOOKUP("LULUCF|SO2|Non-fatal heart attacks", US_national_yearly!$D:$AM, 10, FALSE), 1)</f>
        <v>6.8903073300403993E-6</v>
      </c>
      <c r="Y13" s="7">
        <f>$B13 * IFERROR(VLOOKUP("LULUCF|SO2|Non-fatal heart attacks", US_national_yearly!$D:$AM, 33, FALSE) / VLOOKUP("LULUCF|SO2|Non-fatal heart attacks", US_national_yearly!$D:$AM, 10, FALSE), 1)</f>
        <v>6.9183680751839222E-6</v>
      </c>
      <c r="Z13" s="7">
        <f>$B13 * IFERROR(VLOOKUP("LULUCF|SO2|Non-fatal heart attacks", US_national_yearly!$D:$AM, 34, FALSE) / VLOOKUP("LULUCF|SO2|Non-fatal heart attacks", US_national_yearly!$D:$AM, 10, FALSE), 1)</f>
        <v>6.9464288203274443E-6</v>
      </c>
      <c r="AA13" s="7">
        <f>$B13 * IFERROR(VLOOKUP("LULUCF|SO2|Non-fatal heart attacks", US_national_yearly!$D:$AM, 35, FALSE) / VLOOKUP("LULUCF|SO2|Non-fatal heart attacks", US_national_yearly!$D:$AM, 10, FALSE), 1)</f>
        <v>6.9744895654709673E-6</v>
      </c>
      <c r="AB13" s="7">
        <f>$B13 * IFERROR(VLOOKUP("LULUCF|SO2|Non-fatal heart attacks", US_national_yearly!$D:$AM, 36, FALSE) / VLOOKUP("LULUCF|SO2|Non-fatal heart attacks", US_national_yearly!$D:$AM, 10, FALSE), 1)</f>
        <v>7.0025503106144903E-6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5.0898912906093075E-3</v>
      </c>
      <c r="C14" s="7">
        <f>$B14 * IFERROR(VLOOKUP("LULUCF|SO2|Minor restricted activity days", US_national_yearly!$D:$AM, 11, FALSE) / VLOOKUP("LULUCF|SO2|Minor restricted activity days", US_national_yearly!$D:$AM, 10, FALSE), 1)</f>
        <v>5.1027212106402337E-3</v>
      </c>
      <c r="D14" s="7">
        <f>$B14 * IFERROR(VLOOKUP("LULUCF|SO2|Minor restricted activity days", US_national_yearly!$D:$AM, 12, FALSE) / VLOOKUP("LULUCF|SO2|Minor restricted activity days", US_national_yearly!$D:$AM, 10, FALSE), 1)</f>
        <v>5.1155511306711591E-3</v>
      </c>
      <c r="E14" s="7">
        <f>$B14 * IFERROR(VLOOKUP("LULUCF|SO2|Minor restricted activity days", US_national_yearly!$D:$AM, 13, FALSE) / VLOOKUP("LULUCF|SO2|Minor restricted activity days", US_national_yearly!$D:$AM, 10, FALSE), 1)</f>
        <v>5.1283810507020845E-3</v>
      </c>
      <c r="F14" s="7">
        <f>$B14 * IFERROR(VLOOKUP("LULUCF|SO2|Minor restricted activity days", US_national_yearly!$D:$AM, 14, FALSE) / VLOOKUP("LULUCF|SO2|Minor restricted activity days", US_national_yearly!$D:$AM, 10, FALSE), 1)</f>
        <v>5.1412109707330098E-3</v>
      </c>
      <c r="G14" s="7">
        <f>$B14 * IFERROR(VLOOKUP("LULUCF|SO2|Minor restricted activity days", US_national_yearly!$D:$AM, 15, FALSE) / VLOOKUP("LULUCF|SO2|Minor restricted activity days", US_national_yearly!$D:$AM, 10, FALSE), 1)</f>
        <v>5.1600953526001504E-3</v>
      </c>
      <c r="H14" s="7">
        <f>$B14 * IFERROR(VLOOKUP("LULUCF|SO2|Minor restricted activity days", US_national_yearly!$D:$AM, 16, FALSE) / VLOOKUP("LULUCF|SO2|Minor restricted activity days", US_national_yearly!$D:$AM, 10, FALSE), 1)</f>
        <v>5.178979734467291E-3</v>
      </c>
      <c r="I14" s="7">
        <f>$B14 * IFERROR(VLOOKUP("LULUCF|SO2|Minor restricted activity days", US_national_yearly!$D:$AM, 17, FALSE) / VLOOKUP("LULUCF|SO2|Minor restricted activity days", US_national_yearly!$D:$AM, 10, FALSE), 1)</f>
        <v>5.211185287511075E-3</v>
      </c>
      <c r="J14" s="7">
        <f>$B14 * IFERROR(VLOOKUP("LULUCF|SO2|Minor restricted activity days", US_national_yearly!$D:$AM, 18, FALSE) / VLOOKUP("LULUCF|SO2|Minor restricted activity days", US_national_yearly!$D:$AM, 10, FALSE), 1)</f>
        <v>5.2433908405548589E-3</v>
      </c>
      <c r="K14" s="7">
        <f>$B14 * IFERROR(VLOOKUP("LULUCF|SO2|Minor restricted activity days", US_national_yearly!$D:$AM, 19, FALSE) / VLOOKUP("LULUCF|SO2|Minor restricted activity days", US_national_yearly!$D:$AM, 10, FALSE), 1)</f>
        <v>5.2755963935986437E-3</v>
      </c>
      <c r="L14" s="7">
        <f>$B14 * IFERROR(VLOOKUP("LULUCF|SO2|Minor restricted activity days", US_national_yearly!$D:$AM, 20, FALSE) / VLOOKUP("LULUCF|SO2|Minor restricted activity days", US_national_yearly!$D:$AM, 10, FALSE), 1)</f>
        <v>5.3078019466424277E-3</v>
      </c>
      <c r="M14" s="7">
        <f>$B14 * IFERROR(VLOOKUP("LULUCF|SO2|Minor restricted activity days", US_national_yearly!$D:$AM, 21, FALSE) / VLOOKUP("LULUCF|SO2|Minor restricted activity days", US_national_yearly!$D:$AM, 10, FALSE), 1)</f>
        <v>5.3400074996862116E-3</v>
      </c>
      <c r="N14" s="7">
        <f>$B14 * IFERROR(VLOOKUP("LULUCF|SO2|Minor restricted activity days", US_national_yearly!$D:$AM, 22, FALSE) / VLOOKUP("LULUCF|SO2|Minor restricted activity days", US_national_yearly!$D:$AM, 10, FALSE), 1)</f>
        <v>5.3840595285799681E-3</v>
      </c>
      <c r="O14" s="7">
        <f>$B14 * IFERROR(VLOOKUP("LULUCF|SO2|Minor restricted activity days", US_national_yearly!$D:$AM, 23, FALSE) / VLOOKUP("LULUCF|SO2|Minor restricted activity days", US_national_yearly!$D:$AM, 10, FALSE), 1)</f>
        <v>5.4281115574737245E-3</v>
      </c>
      <c r="P14" s="7">
        <f>$B14 * IFERROR(VLOOKUP("LULUCF|SO2|Minor restricted activity days", US_national_yearly!$D:$AM, 24, FALSE) / VLOOKUP("LULUCF|SO2|Minor restricted activity days", US_national_yearly!$D:$AM, 10, FALSE), 1)</f>
        <v>5.4721635863674801E-3</v>
      </c>
      <c r="Q14" s="7">
        <f>$B14 * IFERROR(VLOOKUP("LULUCF|SO2|Minor restricted activity days", US_national_yearly!$D:$AM, 25, FALSE) / VLOOKUP("LULUCF|SO2|Minor restricted activity days", US_national_yearly!$D:$AM, 10, FALSE), 1)</f>
        <v>5.5162156152612366E-3</v>
      </c>
      <c r="R14" s="7">
        <f>$B14 * IFERROR(VLOOKUP("LULUCF|SO2|Minor restricted activity days", US_national_yearly!$D:$AM, 26, FALSE) / VLOOKUP("LULUCF|SO2|Minor restricted activity days", US_national_yearly!$D:$AM, 10, FALSE), 1)</f>
        <v>5.560267644154993E-3</v>
      </c>
      <c r="S14" s="7">
        <f>$B14 * IFERROR(VLOOKUP("LULUCF|SO2|Minor restricted activity days", US_national_yearly!$D:$AM, 27, FALSE) / VLOOKUP("LULUCF|SO2|Minor restricted activity days", US_national_yearly!$D:$AM, 10, FALSE), 1)</f>
        <v>5.6051829991571444E-3</v>
      </c>
      <c r="T14" s="7">
        <f>$B14 * IFERROR(VLOOKUP("LULUCF|SO2|Minor restricted activity days", US_national_yearly!$D:$AM, 28, FALSE) / VLOOKUP("LULUCF|SO2|Minor restricted activity days", US_national_yearly!$D:$AM, 10, FALSE), 1)</f>
        <v>5.6500983541592957E-3</v>
      </c>
      <c r="U14" s="7">
        <f>$B14 * IFERROR(VLOOKUP("LULUCF|SO2|Minor restricted activity days", US_national_yearly!$D:$AM, 29, FALSE) / VLOOKUP("LULUCF|SO2|Minor restricted activity days", US_national_yearly!$D:$AM, 10, FALSE), 1)</f>
        <v>5.6950137091614462E-3</v>
      </c>
      <c r="V14" s="7">
        <f>$B14 * IFERROR(VLOOKUP("LULUCF|SO2|Minor restricted activity days", US_national_yearly!$D:$AM, 30, FALSE) / VLOOKUP("LULUCF|SO2|Minor restricted activity days", US_national_yearly!$D:$AM, 10, FALSE), 1)</f>
        <v>5.7399290641635976E-3</v>
      </c>
      <c r="W14" s="7">
        <f>$B14 * IFERROR(VLOOKUP("LULUCF|SO2|Minor restricted activity days", US_national_yearly!$D:$AM, 31, FALSE) / VLOOKUP("LULUCF|SO2|Minor restricted activity days", US_national_yearly!$D:$AM, 10, FALSE), 1)</f>
        <v>5.7848444191657498E-3</v>
      </c>
      <c r="X14" s="7">
        <f>$B14 * IFERROR(VLOOKUP("LULUCF|SO2|Minor restricted activity days", US_national_yearly!$D:$AM, 32, FALSE) / VLOOKUP("LULUCF|SO2|Minor restricted activity days", US_national_yearly!$D:$AM, 10, FALSE), 1)</f>
        <v>5.8243438946386636E-3</v>
      </c>
      <c r="Y14" s="7">
        <f>$B14 * IFERROR(VLOOKUP("LULUCF|SO2|Minor restricted activity days", US_national_yearly!$D:$AM, 33, FALSE) / VLOOKUP("LULUCF|SO2|Minor restricted activity days", US_national_yearly!$D:$AM, 10, FALSE), 1)</f>
        <v>5.8638433701115765E-3</v>
      </c>
      <c r="Z14" s="7">
        <f>$B14 * IFERROR(VLOOKUP("LULUCF|SO2|Minor restricted activity days", US_national_yearly!$D:$AM, 34, FALSE) / VLOOKUP("LULUCF|SO2|Minor restricted activity days", US_national_yearly!$D:$AM, 10, FALSE), 1)</f>
        <v>5.9033428455844911E-3</v>
      </c>
      <c r="AA14" s="7">
        <f>$B14 * IFERROR(VLOOKUP("LULUCF|SO2|Minor restricted activity days", US_national_yearly!$D:$AM, 35, FALSE) / VLOOKUP("LULUCF|SO2|Minor restricted activity days", US_national_yearly!$D:$AM, 10, FALSE), 1)</f>
        <v>5.942842321057404E-3</v>
      </c>
      <c r="AB14" s="7">
        <f>$B14 * IFERROR(VLOOKUP("LULUCF|SO2|Minor restricted activity days", US_national_yearly!$D:$AM, 36, FALSE) / VLOOKUP("LULUCF|SO2|Minor restricted activity days", US_national_yearly!$D:$AM, 10, FALSE), 1)</f>
        <v>5.9823417965303187E-3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8.6539214903810628E-4</v>
      </c>
      <c r="C15" s="7">
        <f>$B15 * IFERROR(VLOOKUP("LULUCF|SO2|Work loss days", US_national_yearly!$D:$AM, 11, FALSE) / VLOOKUP("LULUCF|SO2|Work loss days", US_national_yearly!$D:$AM, 10, FALSE), 1)</f>
        <v>8.6819588205907388E-4</v>
      </c>
      <c r="D15" s="7">
        <f>$B15 * IFERROR(VLOOKUP("LULUCF|SO2|Work loss days", US_national_yearly!$D:$AM, 12, FALSE) / VLOOKUP("LULUCF|SO2|Work loss days", US_national_yearly!$D:$AM, 10, FALSE), 1)</f>
        <v>8.7099961508004149E-4</v>
      </c>
      <c r="E15" s="7">
        <f>$B15 * IFERROR(VLOOKUP("LULUCF|SO2|Work loss days", US_national_yearly!$D:$AM, 13, FALSE) / VLOOKUP("LULUCF|SO2|Work loss days", US_national_yearly!$D:$AM, 10, FALSE), 1)</f>
        <v>8.7380334810100899E-4</v>
      </c>
      <c r="F15" s="7">
        <f>$B15 * IFERROR(VLOOKUP("LULUCF|SO2|Work loss days", US_national_yearly!$D:$AM, 14, FALSE) / VLOOKUP("LULUCF|SO2|Work loss days", US_national_yearly!$D:$AM, 10, FALSE), 1)</f>
        <v>8.766070811219766E-4</v>
      </c>
      <c r="G15" s="7">
        <f>$B15 * IFERROR(VLOOKUP("LULUCF|SO2|Work loss days", US_national_yearly!$D:$AM, 15, FALSE) / VLOOKUP("LULUCF|SO2|Work loss days", US_national_yearly!$D:$AM, 10, FALSE), 1)</f>
        <v>8.8027050137253274E-4</v>
      </c>
      <c r="H15" s="7">
        <f>$B15 * IFERROR(VLOOKUP("LULUCF|SO2|Work loss days", US_national_yearly!$D:$AM, 16, FALSE) / VLOOKUP("LULUCF|SO2|Work loss days", US_national_yearly!$D:$AM, 10, FALSE), 1)</f>
        <v>8.8393392162308866E-4</v>
      </c>
      <c r="I15" s="7">
        <f>$B15 * IFERROR(VLOOKUP("LULUCF|SO2|Work loss days", US_national_yearly!$D:$AM, 17, FALSE) / VLOOKUP("LULUCF|SO2|Work loss days", US_national_yearly!$D:$AM, 10, FALSE), 1)</f>
        <v>8.8929301367096268E-4</v>
      </c>
      <c r="J15" s="7">
        <f>$B15 * IFERROR(VLOOKUP("LULUCF|SO2|Work loss days", US_national_yearly!$D:$AM, 18, FALSE) / VLOOKUP("LULUCF|SO2|Work loss days", US_national_yearly!$D:$AM, 10, FALSE), 1)</f>
        <v>8.9465210571883637E-4</v>
      </c>
      <c r="K15" s="7">
        <f>$B15 * IFERROR(VLOOKUP("LULUCF|SO2|Work loss days", US_national_yearly!$D:$AM, 19, FALSE) / VLOOKUP("LULUCF|SO2|Work loss days", US_national_yearly!$D:$AM, 10, FALSE), 1)</f>
        <v>9.0001119776671038E-4</v>
      </c>
      <c r="L15" s="7">
        <f>$B15 * IFERROR(VLOOKUP("LULUCF|SO2|Work loss days", US_national_yearly!$D:$AM, 20, FALSE) / VLOOKUP("LULUCF|SO2|Work loss days", US_national_yearly!$D:$AM, 10, FALSE), 1)</f>
        <v>9.053702898145844E-4</v>
      </c>
      <c r="M15" s="7">
        <f>$B15 * IFERROR(VLOOKUP("LULUCF|SO2|Work loss days", US_national_yearly!$D:$AM, 21, FALSE) / VLOOKUP("LULUCF|SO2|Work loss days", US_national_yearly!$D:$AM, 10, FALSE), 1)</f>
        <v>9.1072938186245831E-4</v>
      </c>
      <c r="N15" s="7">
        <f>$B15 * IFERROR(VLOOKUP("LULUCF|SO2|Work loss days", US_national_yearly!$D:$AM, 22, FALSE) / VLOOKUP("LULUCF|SO2|Work loss days", US_national_yearly!$D:$AM, 10, FALSE), 1)</f>
        <v>9.1744881484652756E-4</v>
      </c>
      <c r="O15" s="7">
        <f>$B15 * IFERROR(VLOOKUP("LULUCF|SO2|Work loss days", US_national_yearly!$D:$AM, 23, FALSE) / VLOOKUP("LULUCF|SO2|Work loss days", US_national_yearly!$D:$AM, 10, FALSE), 1)</f>
        <v>9.2416824783059671E-4</v>
      </c>
      <c r="P15" s="7">
        <f>$B15 * IFERROR(VLOOKUP("LULUCF|SO2|Work loss days", US_national_yearly!$D:$AM, 24, FALSE) / VLOOKUP("LULUCF|SO2|Work loss days", US_national_yearly!$D:$AM, 10, FALSE), 1)</f>
        <v>9.3088768081466574E-4</v>
      </c>
      <c r="Q15" s="7">
        <f>$B15 * IFERROR(VLOOKUP("LULUCF|SO2|Work loss days", US_national_yearly!$D:$AM, 25, FALSE) / VLOOKUP("LULUCF|SO2|Work loss days", US_national_yearly!$D:$AM, 10, FALSE), 1)</f>
        <v>9.37607113798735E-4</v>
      </c>
      <c r="R15" s="7">
        <f>$B15 * IFERROR(VLOOKUP("LULUCF|SO2|Work loss days", US_national_yearly!$D:$AM, 26, FALSE) / VLOOKUP("LULUCF|SO2|Work loss days", US_national_yearly!$D:$AM, 10, FALSE), 1)</f>
        <v>9.4432654678280414E-4</v>
      </c>
      <c r="S15" s="7">
        <f>$B15 * IFERROR(VLOOKUP("LULUCF|SO2|Work loss days", US_national_yearly!$D:$AM, 27, FALSE) / VLOOKUP("LULUCF|SO2|Work loss days", US_national_yearly!$D:$AM, 10, FALSE), 1)</f>
        <v>9.5183549098881389E-4</v>
      </c>
      <c r="T15" s="7">
        <f>$B15 * IFERROR(VLOOKUP("LULUCF|SO2|Work loss days", US_national_yearly!$D:$AM, 28, FALSE) / VLOOKUP("LULUCF|SO2|Work loss days", US_national_yearly!$D:$AM, 10, FALSE), 1)</f>
        <v>9.5934443519482375E-4</v>
      </c>
      <c r="U15" s="7">
        <f>$B15 * IFERROR(VLOOKUP("LULUCF|SO2|Work loss days", US_national_yearly!$D:$AM, 29, FALSE) / VLOOKUP("LULUCF|SO2|Work loss days", US_national_yearly!$D:$AM, 10, FALSE), 1)</f>
        <v>9.668533794008335E-4</v>
      </c>
      <c r="V15" s="7">
        <f>$B15 * IFERROR(VLOOKUP("LULUCF|SO2|Work loss days", US_national_yearly!$D:$AM, 30, FALSE) / VLOOKUP("LULUCF|SO2|Work loss days", US_national_yearly!$D:$AM, 10, FALSE), 1)</f>
        <v>9.7436232360684314E-4</v>
      </c>
      <c r="W15" s="7">
        <f>$B15 * IFERROR(VLOOKUP("LULUCF|SO2|Work loss days", US_national_yearly!$D:$AM, 31, FALSE) / VLOOKUP("LULUCF|SO2|Work loss days", US_national_yearly!$D:$AM, 10, FALSE), 1)</f>
        <v>9.818712678128531E-4</v>
      </c>
      <c r="X15" s="7">
        <f>$B15 * IFERROR(VLOOKUP("LULUCF|SO2|Work loss days", US_national_yearly!$D:$AM, 32, FALSE) / VLOOKUP("LULUCF|SO2|Work loss days", US_national_yearly!$D:$AM, 10, FALSE), 1)</f>
        <v>9.8861326470239537E-4</v>
      </c>
      <c r="Y15" s="7">
        <f>$B15 * IFERROR(VLOOKUP("LULUCF|SO2|Work loss days", US_national_yearly!$D:$AM, 33, FALSE) / VLOOKUP("LULUCF|SO2|Work loss days", US_national_yearly!$D:$AM, 10, FALSE), 1)</f>
        <v>9.9535526159193785E-4</v>
      </c>
      <c r="Z15" s="7">
        <f>$B15 * IFERROR(VLOOKUP("LULUCF|SO2|Work loss days", US_national_yearly!$D:$AM, 34, FALSE) / VLOOKUP("LULUCF|SO2|Work loss days", US_national_yearly!$D:$AM, 10, FALSE), 1)</f>
        <v>1.0020972584814803E-3</v>
      </c>
      <c r="AA15" s="7">
        <f>$B15 * IFERROR(VLOOKUP("LULUCF|SO2|Work loss days", US_national_yearly!$D:$AM, 35, FALSE) / VLOOKUP("LULUCF|SO2|Work loss days", US_national_yearly!$D:$AM, 10, FALSE), 1)</f>
        <v>1.008839255371023E-3</v>
      </c>
      <c r="AB15" s="7">
        <f>$B15 * IFERROR(VLOOKUP("LULUCF|SO2|Work loss days", US_national_yearly!$D:$AM, 36, FALSE) / VLOOKUP("LULUCF|SO2|Work loss days", US_national_yearly!$D:$AM, 10, FALSE), 1)</f>
        <v>1.0155812522605655E-3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1.1808817674583833E-6</v>
      </c>
      <c r="C17" s="7">
        <f>$B17 * IFERROR(VLOOKUP("LULUCF|SO2|Cardiovascular hospital admissions", US_national_yearly!$D:$AM, 11, FALSE) / VLOOKUP("LULUCF|SO2|Cardiovascular hospital admissions", US_national_yearly!$D:$AM, 10, FALSE), 1)</f>
        <v>1.2165961542006745E-6</v>
      </c>
      <c r="D17" s="7">
        <f>$B17 * IFERROR(VLOOKUP("LULUCF|SO2|Cardiovascular hospital admissions", US_national_yearly!$D:$AM, 12, FALSE) / VLOOKUP("LULUCF|SO2|Cardiovascular hospital admissions", US_national_yearly!$D:$AM, 10, FALSE), 1)</f>
        <v>1.2523105409429655E-6</v>
      </c>
      <c r="E17" s="7">
        <f>$B17 * IFERROR(VLOOKUP("LULUCF|SO2|Cardiovascular hospital admissions", US_national_yearly!$D:$AM, 13, FALSE) / VLOOKUP("LULUCF|SO2|Cardiovascular hospital admissions", US_national_yearly!$D:$AM, 10, FALSE), 1)</f>
        <v>1.2880249276852567E-6</v>
      </c>
      <c r="F17" s="7">
        <f>$B17 * IFERROR(VLOOKUP("LULUCF|SO2|Cardiovascular hospital admissions", US_national_yearly!$D:$AM, 14, FALSE) / VLOOKUP("LULUCF|SO2|Cardiovascular hospital admissions", US_national_yearly!$D:$AM, 10, FALSE), 1)</f>
        <v>1.3237393144275482E-6</v>
      </c>
      <c r="G17" s="7">
        <f>$B17 * IFERROR(VLOOKUP("LULUCF|SO2|Cardiovascular hospital admissions", US_national_yearly!$D:$AM, 15, FALSE) / VLOOKUP("LULUCF|SO2|Cardiovascular hospital admissions", US_national_yearly!$D:$AM, 10, FALSE), 1)</f>
        <v>1.3579503010192818E-6</v>
      </c>
      <c r="H17" s="7">
        <f>$B17 * IFERROR(VLOOKUP("LULUCF|SO2|Cardiovascular hospital admissions", US_national_yearly!$D:$AM, 16, FALSE) / VLOOKUP("LULUCF|SO2|Cardiovascular hospital admissions", US_national_yearly!$D:$AM, 10, FALSE), 1)</f>
        <v>1.3921612876110157E-6</v>
      </c>
      <c r="I17" s="7">
        <f>$B17 * IFERROR(VLOOKUP("LULUCF|SO2|Cardiovascular hospital admissions", US_national_yearly!$D:$AM, 17, FALSE) / VLOOKUP("LULUCF|SO2|Cardiovascular hospital admissions", US_national_yearly!$D:$AM, 10, FALSE), 1)</f>
        <v>1.4214734269043786E-6</v>
      </c>
      <c r="J17" s="7">
        <f>$B17 * IFERROR(VLOOKUP("LULUCF|SO2|Cardiovascular hospital admissions", US_national_yearly!$D:$AM, 18, FALSE) / VLOOKUP("LULUCF|SO2|Cardiovascular hospital admissions", US_national_yearly!$D:$AM, 10, FALSE), 1)</f>
        <v>1.4507855661977416E-6</v>
      </c>
      <c r="K17" s="7">
        <f>$B17 * IFERROR(VLOOKUP("LULUCF|SO2|Cardiovascular hospital admissions", US_national_yearly!$D:$AM, 19, FALSE) / VLOOKUP("LULUCF|SO2|Cardiovascular hospital admissions", US_national_yearly!$D:$AM, 10, FALSE), 1)</f>
        <v>1.4800977054911045E-6</v>
      </c>
      <c r="L17" s="7">
        <f>$B17 * IFERROR(VLOOKUP("LULUCF|SO2|Cardiovascular hospital admissions", US_national_yearly!$D:$AM, 20, FALSE) / VLOOKUP("LULUCF|SO2|Cardiovascular hospital admissions", US_national_yearly!$D:$AM, 10, FALSE), 1)</f>
        <v>1.5094098447844675E-6</v>
      </c>
      <c r="M17" s="7">
        <f>$B17 * IFERROR(VLOOKUP("LULUCF|SO2|Cardiovascular hospital admissions", US_national_yearly!$D:$AM, 21, FALSE) / VLOOKUP("LULUCF|SO2|Cardiovascular hospital admissions", US_national_yearly!$D:$AM, 10, FALSE), 1)</f>
        <v>1.5387219840778302E-6</v>
      </c>
      <c r="N17" s="7">
        <f>$B17 * IFERROR(VLOOKUP("LULUCF|SO2|Cardiovascular hospital admissions", US_national_yearly!$D:$AM, 22, FALSE) / VLOOKUP("LULUCF|SO2|Cardiovascular hospital admissions", US_national_yearly!$D:$AM, 10, FALSE), 1)</f>
        <v>1.5584130646774573E-6</v>
      </c>
      <c r="O17" s="7">
        <f>$B17 * IFERROR(VLOOKUP("LULUCF|SO2|Cardiovascular hospital admissions", US_national_yearly!$D:$AM, 23, FALSE) / VLOOKUP("LULUCF|SO2|Cardiovascular hospital admissions", US_national_yearly!$D:$AM, 10, FALSE), 1)</f>
        <v>1.578104145277084E-6</v>
      </c>
      <c r="P17" s="7">
        <f>$B17 * IFERROR(VLOOKUP("LULUCF|SO2|Cardiovascular hospital admissions", US_national_yearly!$D:$AM, 24, FALSE) / VLOOKUP("LULUCF|SO2|Cardiovascular hospital admissions", US_national_yearly!$D:$AM, 10, FALSE), 1)</f>
        <v>1.597795225876711E-6</v>
      </c>
      <c r="Q17" s="7">
        <f>$B17 * IFERROR(VLOOKUP("LULUCF|SO2|Cardiovascular hospital admissions", US_national_yearly!$D:$AM, 25, FALSE) / VLOOKUP("LULUCF|SO2|Cardiovascular hospital admissions", US_national_yearly!$D:$AM, 10, FALSE), 1)</f>
        <v>1.6174863064763377E-6</v>
      </c>
      <c r="R17" s="7">
        <f>$B17 * IFERROR(VLOOKUP("LULUCF|SO2|Cardiovascular hospital admissions", US_national_yearly!$D:$AM, 26, FALSE) / VLOOKUP("LULUCF|SO2|Cardiovascular hospital admissions", US_national_yearly!$D:$AM, 10, FALSE), 1)</f>
        <v>1.6371773870759649E-6</v>
      </c>
      <c r="S17" s="7">
        <f>$B17 * IFERROR(VLOOKUP("LULUCF|SO2|Cardiovascular hospital admissions", US_national_yearly!$D:$AM, 27, FALSE) / VLOOKUP("LULUCF|SO2|Cardiovascular hospital admissions", US_national_yearly!$D:$AM, 10, FALSE), 1)</f>
        <v>1.6475334934651206E-6</v>
      </c>
      <c r="T17" s="7">
        <f>$B17 * IFERROR(VLOOKUP("LULUCF|SO2|Cardiovascular hospital admissions", US_national_yearly!$D:$AM, 28, FALSE) / VLOOKUP("LULUCF|SO2|Cardiovascular hospital admissions", US_national_yearly!$D:$AM, 10, FALSE), 1)</f>
        <v>1.657889599854276E-6</v>
      </c>
      <c r="U17" s="7">
        <f>$B17 * IFERROR(VLOOKUP("LULUCF|SO2|Cardiovascular hospital admissions", US_national_yearly!$D:$AM, 29, FALSE) / VLOOKUP("LULUCF|SO2|Cardiovascular hospital admissions", US_national_yearly!$D:$AM, 10, FALSE), 1)</f>
        <v>1.6682457062434317E-6</v>
      </c>
      <c r="V17" s="7">
        <f>$B17 * IFERROR(VLOOKUP("LULUCF|SO2|Cardiovascular hospital admissions", US_national_yearly!$D:$AM, 30, FALSE) / VLOOKUP("LULUCF|SO2|Cardiovascular hospital admissions", US_national_yearly!$D:$AM, 10, FALSE), 1)</f>
        <v>1.6786018126325872E-6</v>
      </c>
      <c r="W17" s="7">
        <f>$B17 * IFERROR(VLOOKUP("LULUCF|SO2|Cardiovascular hospital admissions", US_national_yearly!$D:$AM, 31, FALSE) / VLOOKUP("LULUCF|SO2|Cardiovascular hospital admissions", US_national_yearly!$D:$AM, 10, FALSE), 1)</f>
        <v>1.6889579190217429E-6</v>
      </c>
      <c r="X17" s="7">
        <f>$B17 * IFERROR(VLOOKUP("LULUCF|SO2|Cardiovascular hospital admissions", US_national_yearly!$D:$AM, 32, FALSE) / VLOOKUP("LULUCF|SO2|Cardiovascular hospital admissions", US_national_yearly!$D:$AM, 10, FALSE), 1)</f>
        <v>1.6959103155875046E-6</v>
      </c>
      <c r="Y17" s="7">
        <f>$B17 * IFERROR(VLOOKUP("LULUCF|SO2|Cardiovascular hospital admissions", US_national_yearly!$D:$AM, 33, FALSE) / VLOOKUP("LULUCF|SO2|Cardiovascular hospital admissions", US_national_yearly!$D:$AM, 10, FALSE), 1)</f>
        <v>1.7028627121532663E-6</v>
      </c>
      <c r="Z17" s="7">
        <f>$B17 * IFERROR(VLOOKUP("LULUCF|SO2|Cardiovascular hospital admissions", US_national_yearly!$D:$AM, 34, FALSE) / VLOOKUP("LULUCF|SO2|Cardiovascular hospital admissions", US_national_yearly!$D:$AM, 10, FALSE), 1)</f>
        <v>1.7098151087190279E-6</v>
      </c>
      <c r="AA17" s="7">
        <f>$B17 * IFERROR(VLOOKUP("LULUCF|SO2|Cardiovascular hospital admissions", US_national_yearly!$D:$AM, 35, FALSE) / VLOOKUP("LULUCF|SO2|Cardiovascular hospital admissions", US_national_yearly!$D:$AM, 10, FALSE), 1)</f>
        <v>1.71676750528479E-6</v>
      </c>
      <c r="AB17" s="7">
        <f>$B17 * IFERROR(VLOOKUP("LULUCF|SO2|Cardiovascular hospital admissions", US_national_yearly!$D:$AM, 36, FALSE) / VLOOKUP("LULUCF|SO2|Cardiovascular hospital admissions", US_national_yearly!$D:$AM, 10, FALSE), 1)</f>
        <v>1.7237199018505513E-6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2026-06-15T17:16:29Z</dcterms:modified>
</cp:coreProperties>
</file>