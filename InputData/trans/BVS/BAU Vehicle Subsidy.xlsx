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VS\"/>
    </mc:Choice>
  </mc:AlternateContent>
  <xr:revisionPtr revIDLastSave="0" documentId="8_{0754F01C-B800-4D91-8163-9B2268798703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AA64" i="2"/>
  <c r="AA69" i="2" s="1"/>
  <c r="Z6" i="5" s="1"/>
  <c r="P63" i="2"/>
  <c r="P68" i="2" s="1"/>
  <c r="O2" i="5" s="1"/>
  <c r="O8" i="5" s="1"/>
  <c r="AC64" i="2"/>
  <c r="AC69" i="2" s="1"/>
  <c r="AB6" i="5" s="1"/>
  <c r="R63" i="2"/>
  <c r="R68" i="2" s="1"/>
  <c r="Q2" i="5" s="1"/>
  <c r="Q8" i="5" s="1"/>
  <c r="S63" i="2"/>
  <c r="S68" i="2" s="1"/>
  <c r="R2" i="5" s="1"/>
  <c r="R8" i="5" s="1"/>
  <c r="AD63" i="2"/>
  <c r="AD68" i="2" s="1"/>
  <c r="AC2" i="5" s="1"/>
  <c r="AC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K63" i="2"/>
  <c r="K68" i="2" s="1"/>
  <c r="J2" i="5" s="1"/>
  <c r="J8" i="5" s="1"/>
  <c r="W64" i="2"/>
  <c r="W69" i="2" s="1"/>
  <c r="V6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AD64" i="2"/>
  <c r="AD69" i="2" s="1"/>
  <c r="AC6" i="5" s="1"/>
  <c r="AE64" i="2"/>
  <c r="AE69" i="2" s="1"/>
  <c r="AD6" i="5" s="1"/>
  <c r="T63" i="2"/>
  <c r="T68" i="2" s="1"/>
  <c r="S2" i="5" s="1"/>
  <c r="S8" i="5" s="1"/>
  <c r="AF63" i="2"/>
  <c r="AF68" i="2" s="1"/>
  <c r="AE2" i="5" s="1"/>
  <c r="AE8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<sst xmlns="http://schemas.openxmlformats.org/spreadsheetml/2006/main" count="491" uniqueCount="240">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</sst>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98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NM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2195.748</v>
      </c>
      <c r="G63" s="5">
        <f>SUMIFS('State EV Rebates'!$G$5:$G$24,'State EV Rebates'!$A$5:$A$24,About!$B$2)*$P$79</f>
        <v>2139.0750000000003</v>
      </c>
      <c r="H63" s="5">
        <f>SUMIFS('State EV Rebates'!$H$5:$H$24,'State EV Rebates'!$A$5:$A$24,About!$B$2)*$Q$79</f>
        <v>2055.453</v>
      </c>
      <c r="I63" s="5">
        <f>SUMIFS('State EV Rebates'!$I$5:$I$24,'State EV Rebates'!$A$5:$A$24,About!$B$2)*$R$79</f>
        <v>1999.4670000000001</v>
      </c>
      <c r="J63" s="5">
        <f>SUMIFS('State EV Rebates'!$J$5:$J$24,'State EV Rebates'!$A$5:$A$24,About!$B$2)*$S$79</f>
        <v>1945.002</v>
      </c>
      <c r="K63" s="5">
        <f>SUMIFS('State EV Rebates'!$K$5:$K$24,'State EV Rebates'!$A$5:$A$24,About!$B$2)*$T$79</f>
        <v>1892.0249999999999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1829.79</v>
      </c>
      <c r="G64" s="5">
        <f>SUMIFS('State EV Rebates'!$G$28:$G$47,'State EV Rebates'!$A$28:$A$47,About!$B$2)*$P$79</f>
        <v>1782.5625</v>
      </c>
      <c r="H64" s="5">
        <f>SUMIFS('State EV Rebates'!$H$28:$H$47,'State EV Rebates'!$A$28:$A$47,About!$B$2)*$Q$79</f>
        <v>1712.8774999999998</v>
      </c>
      <c r="I64" s="5">
        <f>SUMIFS('State EV Rebates'!$I$28:$I$47,'State EV Rebates'!$A$28:$A$47,About!$B$2)*$R$79</f>
        <v>1666.2225000000001</v>
      </c>
      <c r="J64" s="5">
        <f>SUMIFS('State EV Rebates'!$J$28:$J$47,'State EV Rebates'!$A$28:$A$47,About!$B$2)*$S$79</f>
        <v>1620.8349999999998</v>
      </c>
      <c r="K64" s="5">
        <f>SUMIFS('State EV Rebates'!$K$28:$K$47,'State EV Rebates'!$A$28:$A$47,About!$B$2)*$T$79</f>
        <v>1576.6875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5751.2357018516086</v>
      </c>
      <c r="G68" s="5">
        <f t="shared" si="0"/>
        <v>4663.3407550587362</v>
      </c>
      <c r="H68" s="5">
        <f t="shared" si="0"/>
        <v>2055.453</v>
      </c>
      <c r="I68" s="5">
        <f t="shared" si="0"/>
        <v>1999.4670000000001</v>
      </c>
      <c r="J68" s="5">
        <f t="shared" si="0"/>
        <v>1945.002</v>
      </c>
      <c r="K68" s="5">
        <f t="shared" si="0"/>
        <v>1892.0249999999999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4676.3123385773724</v>
      </c>
      <c r="G69" s="5">
        <f t="shared" si="1"/>
        <v>3579.7249892476912</v>
      </c>
      <c r="H69" s="5">
        <f t="shared" si="1"/>
        <v>1712.8774999999998</v>
      </c>
      <c r="I69" s="5">
        <f t="shared" si="1"/>
        <v>1666.2225000000001</v>
      </c>
      <c r="J69" s="5">
        <f t="shared" si="1"/>
        <v>1620.8349999999998</v>
      </c>
      <c r="K69" s="5">
        <f t="shared" si="1"/>
        <v>1576.6875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5751.2357018516086</v>
      </c>
      <c r="F2" s="17">
        <f>'Passenger Vehicle Calculations'!G68</f>
        <v>4663.3407550587362</v>
      </c>
      <c r="G2" s="17">
        <f>'Passenger Vehicle Calculations'!H68</f>
        <v>2055.453</v>
      </c>
      <c r="H2" s="17">
        <f>'Passenger Vehicle Calculations'!I68</f>
        <v>1999.4670000000001</v>
      </c>
      <c r="I2" s="17">
        <f>'Passenger Vehicle Calculations'!J68</f>
        <v>1945.002</v>
      </c>
      <c r="J2" s="17">
        <f>'Passenger Vehicle Calculations'!K68</f>
        <v>1892.0249999999999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4676.3123385773724</v>
      </c>
      <c r="F6" s="17">
        <f>'Passenger Vehicle Calculations'!G69</f>
        <v>3579.7249892476912</v>
      </c>
      <c r="G6" s="17">
        <f>'Passenger Vehicle Calculations'!H69</f>
        <v>1712.8774999999998</v>
      </c>
      <c r="H6" s="17">
        <f>'Passenger Vehicle Calculations'!I69</f>
        <v>1666.2225000000001</v>
      </c>
      <c r="I6" s="17">
        <f>'Passenger Vehicle Calculations'!J69</f>
        <v>1620.8349999999998</v>
      </c>
      <c r="J6" s="17">
        <f>'Passenger Vehicle Calculations'!K69</f>
        <v>1576.6875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5751.2357018516086</v>
      </c>
      <c r="F8" s="17">
        <f t="shared" si="0"/>
        <v>4663.3407550587362</v>
      </c>
      <c r="G8" s="17">
        <f t="shared" si="0"/>
        <v>2055.453</v>
      </c>
      <c r="H8" s="17">
        <f t="shared" si="0"/>
        <v>1999.4670000000001</v>
      </c>
      <c r="I8" s="17">
        <f t="shared" si="0"/>
        <v>1945.002</v>
      </c>
      <c r="J8" s="17">
        <f t="shared" si="0"/>
        <v>1892.0249999999999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2026-09-09T22:14:50Z</dcterms:modified>
</cp:coreProperties>
</file>