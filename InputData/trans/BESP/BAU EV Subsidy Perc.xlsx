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mexico\InputData\trans\BESP\"/>
    </mc:Choice>
  </mc:AlternateContent>
  <xr:revisionPtr revIDLastSave="0" documentId="13_ncr:1_{B9AD7880-2A0F-447F-9863-EA6B33F76573}" xr6:coauthVersionLast="47" xr6:coauthVersionMax="47" xr10:uidLastSave="{00000000-0000-0000-0000-000000000000}"/>
  <bookViews>
    <workbookView xWindow="61290" yWindow="2610" windowWidth="23100" windowHeight="13305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1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33" i="2" s="1"/>
  <c r="I2" i="6" s="1"/>
  <c r="F3" i="2"/>
  <c r="G3" i="2"/>
  <c r="H3" i="2"/>
  <c r="I3" i="2"/>
  <c r="J3" i="2"/>
  <c r="J33" i="2" s="1"/>
  <c r="N2" i="6" s="1"/>
  <c r="K3" i="2"/>
  <c r="K33" i="2" s="1"/>
  <c r="O2" i="6" s="1"/>
  <c r="L3" i="2"/>
  <c r="L33" i="2" s="1"/>
  <c r="P2" i="6" s="1"/>
  <c r="M3" i="2"/>
  <c r="M33" i="2" s="1"/>
  <c r="Q2" i="6" s="1"/>
  <c r="N3" i="2"/>
  <c r="O3" i="2"/>
  <c r="P3" i="2"/>
  <c r="Q3" i="2"/>
  <c r="R3" i="2"/>
  <c r="R33" i="2" s="1"/>
  <c r="V2" i="6" s="1"/>
  <c r="S3" i="2"/>
  <c r="S33" i="2" s="1"/>
  <c r="W2" i="6" s="1"/>
  <c r="T3" i="2"/>
  <c r="T33" i="2" s="1"/>
  <c r="X2" i="6" s="1"/>
  <c r="U3" i="2"/>
  <c r="U33" i="2" s="1"/>
  <c r="Y2" i="6" s="1"/>
  <c r="V3" i="2"/>
  <c r="W3" i="2"/>
  <c r="X3" i="2"/>
  <c r="Y3" i="2"/>
  <c r="Z3" i="2"/>
  <c r="Z33" i="2" s="1"/>
  <c r="AD2" i="6" s="1"/>
  <c r="AA3" i="2"/>
  <c r="AA33" i="2" s="1"/>
  <c r="AE2" i="6" s="1"/>
  <c r="AB3" i="2"/>
  <c r="AC3" i="2"/>
  <c r="AD3" i="2"/>
  <c r="AE3" i="2"/>
  <c r="AF3" i="2"/>
  <c r="F33" i="2"/>
  <c r="J2" i="6" s="1"/>
  <c r="G33" i="2"/>
  <c r="K2" i="6" s="1"/>
  <c r="H33" i="2"/>
  <c r="L2" i="6" s="1"/>
  <c r="I33" i="2"/>
  <c r="N33" i="2"/>
  <c r="R2" i="6" s="1"/>
  <c r="O33" i="2"/>
  <c r="S2" i="6" s="1"/>
  <c r="P33" i="2"/>
  <c r="T2" i="6" s="1"/>
  <c r="Q33" i="2"/>
  <c r="V33" i="2"/>
  <c r="Z2" i="6" s="1"/>
  <c r="W33" i="2"/>
  <c r="AA2" i="6" s="1"/>
  <c r="X33" i="2"/>
  <c r="AB2" i="6" s="1"/>
  <c r="Y33" i="2"/>
  <c r="M2" i="6"/>
  <c r="U2" i="6"/>
  <c r="AC2" i="6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18" i="3" l="1"/>
  <c r="C4" i="3"/>
  <c r="D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E8" i="3"/>
  <c r="C88" i="3"/>
  <c r="E18" i="3"/>
  <c r="C79" i="3"/>
  <c r="E9" i="3"/>
  <c r="C81" i="3"/>
  <c r="E11" i="3"/>
  <c r="C85" i="3"/>
  <c r="E15" i="3"/>
  <c r="E5" i="3"/>
  <c r="E13" i="3"/>
  <c r="E16" i="3" l="1"/>
  <c r="D8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F16" i="3"/>
  <c r="D83" i="3"/>
  <c r="F13" i="3"/>
  <c r="D74" i="3"/>
  <c r="F4" i="3"/>
  <c r="D75" i="3"/>
  <c r="F5" i="3"/>
  <c r="D85" i="3"/>
  <c r="F15" i="3"/>
  <c r="D8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92" i="3"/>
  <c r="B3" i="2" s="1"/>
  <c r="B3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D2" i="6" l="1"/>
  <c r="C2" i="6" s="1"/>
  <c r="B2" i="6" s="1"/>
  <c r="E2" i="6"/>
  <c r="E92" i="3"/>
  <c r="C3" i="2" s="1"/>
  <c r="C3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3" i="2" s="1"/>
  <c r="AG2" i="6" s="1"/>
  <c r="AF92" i="3" l="1"/>
  <c r="AD33" i="2" s="1"/>
  <c r="AH2" i="6" s="1"/>
  <c r="AG89" i="3"/>
  <c r="AI19" i="3"/>
  <c r="AH89" i="3" s="1"/>
  <c r="AG73" i="3"/>
  <c r="AG92" i="3" s="1"/>
  <c r="AE33" i="2" s="1"/>
  <c r="AI2" i="6" s="1"/>
  <c r="AI3" i="3"/>
  <c r="AH73" i="3" s="1"/>
  <c r="AH92" i="3" s="1"/>
  <c r="AF33" i="2" s="1"/>
  <c r="AJ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<sst xmlns="http://schemas.openxmlformats.org/spreadsheetml/2006/main" count="556" uniqueCount="285">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</sst>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F490A6AA-9916-4DE8-A061-988F4AB2774D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93.384917013886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15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15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25" workbookViewId="0">
      <selection activeCell="A47" sqref="A47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83</v>
      </c>
      <c r="C1" s="39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NM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1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8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A46" s="42">
        <v>0.88711067149387013</v>
      </c>
      <c r="B46" s="4" t="s">
        <v>284</v>
      </c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selection activeCell="AG3" sqref="AG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3" ht="14.5" x14ac:dyDescent="0.35">
      <c r="A1" s="1" t="s">
        <v>128</v>
      </c>
    </row>
    <row r="2" spans="1:33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3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f>BAU!G92</f>
        <v>1531.9111519939402</v>
      </c>
      <c r="F3" s="11">
        <f>BAU!H92</f>
        <v>1131.4322818029341</v>
      </c>
      <c r="G3" s="11">
        <f>BAU!I92</f>
        <v>933.18813916995919</v>
      </c>
      <c r="H3" s="11">
        <f>BAU!J92</f>
        <v>933.18813916995953</v>
      </c>
      <c r="I3" s="11">
        <f>BAU!K92</f>
        <v>744.00735890914916</v>
      </c>
      <c r="J3" s="11">
        <f>BAU!L92</f>
        <v>744.00735890914984</v>
      </c>
      <c r="K3" s="11">
        <f>BAU!M92</f>
        <v>621.92251501542137</v>
      </c>
      <c r="L3" s="11">
        <f>BAU!N92</f>
        <v>240.24673989502756</v>
      </c>
      <c r="M3" s="11">
        <f>BAU!O92</f>
        <v>18.397272874844433</v>
      </c>
      <c r="N3" s="11">
        <f>BAU!P92</f>
        <v>18.397272874844436</v>
      </c>
      <c r="O3" s="11">
        <f>BAU!Q92</f>
        <v>18.397272874844433</v>
      </c>
      <c r="P3" s="11">
        <f>BAU!R92</f>
        <v>18.397272874844436</v>
      </c>
      <c r="Q3" s="11">
        <f>BAU!S92</f>
        <v>18.397272874844433</v>
      </c>
      <c r="R3" s="11">
        <f>BAU!T92</f>
        <v>18.397272874844433</v>
      </c>
      <c r="S3" s="11">
        <f>BAU!U92</f>
        <v>18.397272874844436</v>
      </c>
      <c r="T3" s="11">
        <f>BAU!V92</f>
        <v>0</v>
      </c>
      <c r="U3" s="11">
        <f>BAU!W92</f>
        <v>0</v>
      </c>
      <c r="V3" s="11">
        <f>BAU!X92</f>
        <v>0</v>
      </c>
      <c r="W3" s="11">
        <f>BAU!Y92</f>
        <v>0</v>
      </c>
      <c r="X3" s="11">
        <f>BAU!Z92</f>
        <v>0</v>
      </c>
      <c r="Y3" s="11">
        <f>BAU!AA92</f>
        <v>0</v>
      </c>
      <c r="Z3" s="11">
        <f>BAU!AB92</f>
        <v>0</v>
      </c>
      <c r="AA3" s="11">
        <f>BAU!AC92</f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  <c r="AG3" s="11"/>
    </row>
    <row r="4" spans="1:33" ht="14.5" x14ac:dyDescent="0.35">
      <c r="A4" s="31"/>
      <c r="E4" s="40" t="s">
        <v>281</v>
      </c>
    </row>
    <row r="5" spans="1:33" ht="14.5" x14ac:dyDescent="0.35">
      <c r="A5" s="32" t="s">
        <v>129</v>
      </c>
    </row>
    <row r="6" spans="1:33" ht="14.5" x14ac:dyDescent="0.35">
      <c r="A6" s="31" t="s">
        <v>130</v>
      </c>
    </row>
    <row r="7" spans="1:33" ht="14.5" x14ac:dyDescent="0.35">
      <c r="A7" s="31" t="s">
        <v>131</v>
      </c>
    </row>
    <row r="8" spans="1:33" ht="14.5" x14ac:dyDescent="0.35">
      <c r="A8" s="32" t="s">
        <v>132</v>
      </c>
      <c r="B8" s="1" t="s">
        <v>2</v>
      </c>
      <c r="C8" s="1" t="s">
        <v>133</v>
      </c>
    </row>
    <row r="9" spans="1:33" ht="14.5" x14ac:dyDescent="0.35">
      <c r="A9" s="31">
        <v>2500</v>
      </c>
      <c r="B9" s="8" t="s">
        <v>15</v>
      </c>
      <c r="C9" s="8">
        <v>39250017</v>
      </c>
    </row>
    <row r="10" spans="1:33" ht="14.5" x14ac:dyDescent="0.35">
      <c r="A10" s="31">
        <v>5000</v>
      </c>
      <c r="B10" s="8" t="s">
        <v>18</v>
      </c>
      <c r="C10" s="8">
        <v>5540545</v>
      </c>
    </row>
    <row r="11" spans="1:33" ht="14.5" x14ac:dyDescent="0.35">
      <c r="A11" s="31">
        <v>3500</v>
      </c>
      <c r="B11" s="8" t="s">
        <v>23</v>
      </c>
      <c r="C11" s="8">
        <v>952065</v>
      </c>
    </row>
    <row r="12" spans="1:33" ht="14.5" x14ac:dyDescent="0.35">
      <c r="A12" s="33">
        <v>1500</v>
      </c>
      <c r="B12" s="8" t="s">
        <v>50</v>
      </c>
      <c r="C12" s="8">
        <v>4681666</v>
      </c>
    </row>
    <row r="13" spans="1:33" ht="14.5" x14ac:dyDescent="0.35">
      <c r="A13" s="31">
        <v>2500</v>
      </c>
      <c r="B13" s="8" t="s">
        <v>58</v>
      </c>
      <c r="C13" s="8">
        <v>6811779</v>
      </c>
    </row>
    <row r="14" spans="1:33" ht="14.5" x14ac:dyDescent="0.35">
      <c r="A14" s="31">
        <v>1500</v>
      </c>
      <c r="B14" s="8" t="s">
        <v>97</v>
      </c>
      <c r="C14" s="8">
        <v>3923561</v>
      </c>
    </row>
    <row r="15" spans="1:33" ht="14.5" x14ac:dyDescent="0.35">
      <c r="A15" s="31">
        <v>2500</v>
      </c>
      <c r="B15" s="8" t="s">
        <v>104</v>
      </c>
      <c r="C15" s="8">
        <v>1056426</v>
      </c>
    </row>
    <row r="16" spans="1:33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NM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2745.8606136031603</v>
      </c>
      <c r="B33" s="12">
        <f>(B3+C23)</f>
        <v>2745.8606136031599</v>
      </c>
      <c r="C33" s="12">
        <f t="shared" ref="C33:AF33" si="2">(C3+D23)</f>
        <v>2745.8606136031603</v>
      </c>
      <c r="D33" s="12">
        <f t="shared" si="2"/>
        <v>1913.0458308533109</v>
      </c>
      <c r="E33" s="12">
        <f t="shared" si="2"/>
        <v>1531.9111519939402</v>
      </c>
      <c r="F33" s="12">
        <f t="shared" si="2"/>
        <v>1131.4322818029341</v>
      </c>
      <c r="G33" s="12">
        <f t="shared" si="2"/>
        <v>933.18813916995919</v>
      </c>
      <c r="H33" s="12">
        <f t="shared" si="2"/>
        <v>933.18813916995953</v>
      </c>
      <c r="I33" s="12">
        <f t="shared" si="2"/>
        <v>744.00735890914916</v>
      </c>
      <c r="J33" s="12">
        <f t="shared" si="2"/>
        <v>744.00735890914984</v>
      </c>
      <c r="K33" s="12">
        <f t="shared" si="2"/>
        <v>621.92251501542137</v>
      </c>
      <c r="L33" s="12">
        <f t="shared" si="2"/>
        <v>240.24673989502756</v>
      </c>
      <c r="M33" s="12">
        <f t="shared" si="2"/>
        <v>18.397272874844433</v>
      </c>
      <c r="N33" s="12">
        <f t="shared" si="2"/>
        <v>18.397272874844436</v>
      </c>
      <c r="O33" s="12">
        <f t="shared" si="2"/>
        <v>18.397272874844433</v>
      </c>
      <c r="P33" s="12">
        <f t="shared" si="2"/>
        <v>18.397272874844436</v>
      </c>
      <c r="Q33" s="12">
        <f t="shared" si="2"/>
        <v>18.397272874844433</v>
      </c>
      <c r="R33" s="12">
        <f t="shared" si="2"/>
        <v>18.397272874844433</v>
      </c>
      <c r="S33" s="12">
        <f t="shared" si="2"/>
        <v>18.397272874844436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topLeftCell="O1" workbookViewId="0">
      <selection activeCell="F2" sqref="F2:AJ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43">
        <f>C2</f>
        <v>2435.88225276207</v>
      </c>
      <c r="C2" s="43">
        <f>D2</f>
        <v>2435.88225276207</v>
      </c>
      <c r="D2" s="43">
        <f>E2</f>
        <v>2435.88225276207</v>
      </c>
      <c r="E2" s="12">
        <f>Data!A33*About!$A46</f>
        <v>2435.88225276207</v>
      </c>
      <c r="F2" s="12">
        <f>Data!B33*About!$A46</f>
        <v>2435.8822527620696</v>
      </c>
      <c r="G2" s="12">
        <f>Data!C33*About!$A46</f>
        <v>2435.88225276207</v>
      </c>
      <c r="H2" s="12">
        <f>Data!D33*About!$A46</f>
        <v>1697.0833716068294</v>
      </c>
      <c r="I2" s="12">
        <f>Data!E33*About!$A46</f>
        <v>1358.9747307142925</v>
      </c>
      <c r="J2" s="12">
        <f>Data!F33*About!$A46</f>
        <v>1003.7056512600426</v>
      </c>
      <c r="K2" s="12">
        <f>Data!G33*About!$A46</f>
        <v>827.84115676917759</v>
      </c>
      <c r="L2" s="12">
        <f>Data!H33*About!$A46</f>
        <v>827.84115676917793</v>
      </c>
      <c r="M2" s="12">
        <f>Data!I33*About!$A46</f>
        <v>660.01686775827613</v>
      </c>
      <c r="N2" s="12">
        <f>Data!J33*About!$A46</f>
        <v>660.0168677582767</v>
      </c>
      <c r="O2" s="12">
        <f>Data!K33*About!$A46</f>
        <v>551.71409991248697</v>
      </c>
      <c r="P2" s="12">
        <f>Data!L33*About!$A46</f>
        <v>213.12544675249106</v>
      </c>
      <c r="Q2" s="12">
        <f>Data!M33*About!$A46</f>
        <v>16.320417093659206</v>
      </c>
      <c r="R2" s="12">
        <f>Data!N33*About!$A46</f>
        <v>16.320417093659209</v>
      </c>
      <c r="S2" s="12">
        <f>Data!O33*About!$A46</f>
        <v>16.320417093659206</v>
      </c>
      <c r="T2" s="12">
        <f>Data!P33*About!$A46</f>
        <v>16.320417093659209</v>
      </c>
      <c r="U2" s="12">
        <f>Data!Q33*About!$A46</f>
        <v>16.320417093659206</v>
      </c>
      <c r="V2" s="12">
        <f>Data!R33*About!$A46</f>
        <v>16.320417093659206</v>
      </c>
      <c r="W2" s="12">
        <f>Data!S33*About!$A46</f>
        <v>16.320417093659209</v>
      </c>
      <c r="X2" s="12">
        <f>Data!T33*About!$A46</f>
        <v>0</v>
      </c>
      <c r="Y2" s="12">
        <f>Data!U33*About!$A46</f>
        <v>0</v>
      </c>
      <c r="Z2" s="12">
        <f>Data!V33*About!$A46</f>
        <v>0</v>
      </c>
      <c r="AA2" s="12">
        <f>Data!W33*About!$A46</f>
        <v>0</v>
      </c>
      <c r="AB2" s="12">
        <f>Data!X33*About!$A46</f>
        <v>0</v>
      </c>
      <c r="AC2" s="12">
        <f>Data!Y33*About!$A46</f>
        <v>0</v>
      </c>
      <c r="AD2" s="12">
        <f>Data!Z33*About!$A46</f>
        <v>0</v>
      </c>
      <c r="AE2" s="12">
        <f>Data!AA33*About!$A46</f>
        <v>0</v>
      </c>
      <c r="AF2" s="12">
        <f>Data!AB33*About!$A46</f>
        <v>0</v>
      </c>
      <c r="AG2" s="12">
        <f>Data!AC33*About!$A46</f>
        <v>0</v>
      </c>
      <c r="AH2" s="12">
        <f>Data!AD33*About!$A46</f>
        <v>0</v>
      </c>
      <c r="AI2" s="12">
        <f>Data!AE33*About!$A46</f>
        <v>0</v>
      </c>
      <c r="AJ2" s="12">
        <f>Data!AF33*About!$A46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2023-03-08T14:17:15Z</dcterms:modified>
</cp:coreProperties>
</file>