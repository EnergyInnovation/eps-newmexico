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mexico\InputData\trans\BESP\"/>
    </mc:Choice>
  </mc:AlternateContent>
  <xr:revisionPtr revIDLastSave="0" documentId="13_ncr:1_{4A3EB6FA-00A5-4BB7-8A3E-0918DC2D352A}" xr6:coauthVersionLast="47" xr6:coauthVersionMax="47" xr10:uidLastSave="{00000000-0000-0000-0000-000000000000}"/>
  <bookViews>
    <workbookView xWindow="58740" yWindow="1395" windowWidth="21825" windowHeight="15060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2" l="1"/>
  <c r="G2" i="6" s="1"/>
  <c r="D33" i="2"/>
  <c r="H2" i="6" s="1"/>
  <c r="E33" i="2"/>
  <c r="I2" i="6" s="1"/>
  <c r="F33" i="2"/>
  <c r="J2" i="6" s="1"/>
  <c r="G33" i="2"/>
  <c r="H33" i="2"/>
  <c r="L2" i="6" s="1"/>
  <c r="I33" i="2"/>
  <c r="J33" i="2"/>
  <c r="N2" i="6" s="1"/>
  <c r="K33" i="2"/>
  <c r="O2" i="6" s="1"/>
  <c r="L33" i="2"/>
  <c r="P2" i="6" s="1"/>
  <c r="M33" i="2"/>
  <c r="Q2" i="6" s="1"/>
  <c r="N33" i="2"/>
  <c r="R2" i="6" s="1"/>
  <c r="O33" i="2"/>
  <c r="P33" i="2"/>
  <c r="T2" i="6" s="1"/>
  <c r="Q33" i="2"/>
  <c r="R33" i="2"/>
  <c r="V2" i="6" s="1"/>
  <c r="S33" i="2"/>
  <c r="W2" i="6" s="1"/>
  <c r="T33" i="2"/>
  <c r="X2" i="6" s="1"/>
  <c r="U33" i="2"/>
  <c r="Y2" i="6" s="1"/>
  <c r="V33" i="2"/>
  <c r="Z2" i="6" s="1"/>
  <c r="W33" i="2"/>
  <c r="X33" i="2"/>
  <c r="AB2" i="6" s="1"/>
  <c r="Y33" i="2"/>
  <c r="Z33" i="2"/>
  <c r="AD2" i="6" s="1"/>
  <c r="AA33" i="2"/>
  <c r="AE2" i="6" s="1"/>
  <c r="AB33" i="2"/>
  <c r="AF2" i="6" s="1"/>
  <c r="AC33" i="2"/>
  <c r="AG2" i="6" s="1"/>
  <c r="AD33" i="2"/>
  <c r="AH2" i="6" s="1"/>
  <c r="AE33" i="2"/>
  <c r="AF33" i="2"/>
  <c r="AJ2" i="6" s="1"/>
  <c r="B33" i="2"/>
  <c r="F2" i="6" s="1"/>
  <c r="K2" i="6"/>
  <c r="M2" i="6"/>
  <c r="S2" i="6"/>
  <c r="U2" i="6"/>
  <c r="AA2" i="6"/>
  <c r="AC2" i="6"/>
  <c r="AI2" i="6"/>
  <c r="E2" i="6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8" i="3" l="1"/>
  <c r="D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88" i="3"/>
  <c r="E18" i="3"/>
  <c r="C79" i="3"/>
  <c r="E9" i="3"/>
  <c r="C81" i="3"/>
  <c r="E11" i="3"/>
  <c r="C85" i="3"/>
  <c r="E15" i="3"/>
  <c r="E5" i="3"/>
  <c r="E13" i="3"/>
  <c r="E16" i="3" l="1"/>
  <c r="D8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F16" i="3"/>
  <c r="D83" i="3"/>
  <c r="F13" i="3"/>
  <c r="D74" i="3"/>
  <c r="F4" i="3"/>
  <c r="D75" i="3"/>
  <c r="F5" i="3"/>
  <c r="D85" i="3"/>
  <c r="F15" i="3"/>
  <c r="D8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2" i="6" s="1"/>
  <c r="C2" i="6" s="1"/>
  <c r="B2" i="6" s="1"/>
  <c r="D92" i="3"/>
  <c r="B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F92" i="3" l="1"/>
  <c r="AD3" i="2" s="1"/>
  <c r="AG89" i="3"/>
  <c r="AI19" i="3"/>
  <c r="AH89" i="3" s="1"/>
  <c r="AG73" i="3"/>
  <c r="AG92" i="3" s="1"/>
  <c r="AE3" i="2" s="1"/>
  <c r="AI3" i="3"/>
  <c r="AH73" i="3" s="1"/>
  <c r="AH92" i="3" s="1"/>
  <c r="AF3" i="2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<sst xmlns="http://schemas.openxmlformats.org/spreadsheetml/2006/main" count="556" uniqueCount="285">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</sst>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1" fillId="0" borderId="1" xfId="1"/>
    <xf numFmtId="2" fontId="6" fillId="2" borderId="1" xfId="0" applyNumberFormat="1" applyFont="1" applyFill="1"/>
  </cellXfs>
  <cellStyles count="2">
    <cellStyle name="Normal" xfId="0" builtinId="0"/>
    <cellStyle name="Normal 6" xfId="1" xr:uid="{F490A6AA-9916-4DE8-A061-988F4AB2774D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855679976848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25" workbookViewId="0">
      <selection activeCell="A47" sqref="A47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83</v>
      </c>
      <c r="C1" s="39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NM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1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8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A46" s="53">
        <v>0.88711067149387013</v>
      </c>
      <c r="B46" s="4" t="s">
        <v>284</v>
      </c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N10" workbookViewId="0">
      <selection activeCell="B33" sqref="B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0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NM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2745.8606136031603</v>
      </c>
      <c r="B33" s="12">
        <f>(B3+C23)</f>
        <v>2745.8606136031599</v>
      </c>
      <c r="C33" s="12">
        <f t="shared" ref="C33:AF33" si="2">(C3+D23)</f>
        <v>2745.8606136031603</v>
      </c>
      <c r="D33" s="12">
        <f t="shared" si="2"/>
        <v>1913.0458308533109</v>
      </c>
      <c r="E33" s="12">
        <f t="shared" si="2"/>
        <v>0</v>
      </c>
      <c r="F33" s="12">
        <f t="shared" si="2"/>
        <v>0</v>
      </c>
      <c r="G33" s="12">
        <f t="shared" si="2"/>
        <v>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4">
        <v>175</v>
      </c>
      <c r="I24" s="45">
        <v>210</v>
      </c>
      <c r="J24" s="46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7">
        <v>997</v>
      </c>
      <c r="I25" s="48">
        <v>1111</v>
      </c>
      <c r="J25" s="49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7">
        <v>72</v>
      </c>
      <c r="I26" s="48">
        <v>87</v>
      </c>
      <c r="J26" s="49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7">
        <v>557</v>
      </c>
      <c r="I27" s="48">
        <v>573</v>
      </c>
      <c r="J27" s="49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7">
        <v>2044</v>
      </c>
      <c r="I28" s="48">
        <v>2430</v>
      </c>
      <c r="J28" s="49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7">
        <v>1270</v>
      </c>
      <c r="I29" s="48">
        <v>1281</v>
      </c>
      <c r="J29" s="49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7">
        <v>111</v>
      </c>
      <c r="I30" s="48">
        <v>173</v>
      </c>
      <c r="J30" s="49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7">
        <v>210</v>
      </c>
      <c r="I31" s="48">
        <v>186</v>
      </c>
      <c r="J31" s="49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7">
        <v>309</v>
      </c>
      <c r="I32" s="48">
        <v>517</v>
      </c>
      <c r="J32" s="49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7">
        <v>398</v>
      </c>
      <c r="I33" s="48">
        <v>382</v>
      </c>
      <c r="J33" s="49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7">
        <v>133</v>
      </c>
      <c r="I34" s="48">
        <v>157</v>
      </c>
      <c r="J34" s="49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7">
        <v>717</v>
      </c>
      <c r="I35" s="48">
        <v>654</v>
      </c>
      <c r="J35" s="49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7">
        <v>215</v>
      </c>
      <c r="I36" s="48">
        <v>255</v>
      </c>
      <c r="J36" s="49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7"/>
      <c r="I37" s="48">
        <v>27</v>
      </c>
      <c r="J37" s="49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7">
        <v>8000</v>
      </c>
      <c r="I38" s="48">
        <v>7275</v>
      </c>
      <c r="J38" s="49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7">
        <v>1123</v>
      </c>
      <c r="I39" s="48">
        <v>1205</v>
      </c>
      <c r="J39" s="49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7">
        <v>220</v>
      </c>
      <c r="I40" s="48">
        <v>250</v>
      </c>
      <c r="J40" s="49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0">
        <v>164</v>
      </c>
      <c r="I41" s="51">
        <v>118</v>
      </c>
      <c r="J41" s="52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2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3"/>
      <c r="B2" s="8" t="s">
        <v>266</v>
      </c>
      <c r="C2" s="8" t="s">
        <v>267</v>
      </c>
      <c r="D2" s="8" t="s">
        <v>268</v>
      </c>
    </row>
    <row r="3" spans="1:4" ht="14.5" x14ac:dyDescent="0.35">
      <c r="A3" s="43"/>
      <c r="C3" s="8">
        <v>200000</v>
      </c>
      <c r="D3" s="8" t="s">
        <v>269</v>
      </c>
    </row>
    <row r="4" spans="1:4" ht="14.5" x14ac:dyDescent="0.35">
      <c r="A4" s="43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workbookViewId="0">
      <selection activeCell="D2" sqref="B2:D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54">
        <f>C2</f>
        <v>2435.88225276207</v>
      </c>
      <c r="C2" s="54">
        <f>D2</f>
        <v>2435.88225276207</v>
      </c>
      <c r="D2" s="54">
        <f>E2</f>
        <v>2435.88225276207</v>
      </c>
      <c r="E2" s="12">
        <f>Data!A33*About!$A46</f>
        <v>2435.88225276207</v>
      </c>
      <c r="F2" s="12">
        <f>Data!B33*About!$A46</f>
        <v>2435.8822527620696</v>
      </c>
      <c r="G2" s="12">
        <f>Data!C33*About!$A46</f>
        <v>2435.88225276207</v>
      </c>
      <c r="H2" s="12">
        <f>Data!D33*About!$A46</f>
        <v>1697.0833716068294</v>
      </c>
      <c r="I2" s="12">
        <f>Data!E33*About!$A46</f>
        <v>0</v>
      </c>
      <c r="J2" s="12">
        <f>Data!F33*About!$A46</f>
        <v>0</v>
      </c>
      <c r="K2" s="12">
        <f>Data!G33*About!$A46</f>
        <v>0</v>
      </c>
      <c r="L2" s="12">
        <f>Data!H33*About!$A46</f>
        <v>0</v>
      </c>
      <c r="M2" s="12">
        <f>Data!I33*About!$A46</f>
        <v>0</v>
      </c>
      <c r="N2" s="12">
        <f>Data!J33*About!$A46</f>
        <v>0</v>
      </c>
      <c r="O2" s="12">
        <f>Data!K33*About!$A46</f>
        <v>0</v>
      </c>
      <c r="P2" s="12">
        <f>Data!L33*About!$A46</f>
        <v>0</v>
      </c>
      <c r="Q2" s="12">
        <f>Data!M33*About!$A46</f>
        <v>0</v>
      </c>
      <c r="R2" s="12">
        <f>Data!N33*About!$A46</f>
        <v>0</v>
      </c>
      <c r="S2" s="12">
        <f>Data!O33*About!$A46</f>
        <v>0</v>
      </c>
      <c r="T2" s="12">
        <f>Data!P33*About!$A46</f>
        <v>0</v>
      </c>
      <c r="U2" s="12">
        <f>Data!Q33*About!$A46</f>
        <v>0</v>
      </c>
      <c r="V2" s="12">
        <f>Data!R33*About!$A46</f>
        <v>0</v>
      </c>
      <c r="W2" s="12">
        <f>Data!S33*About!$A46</f>
        <v>0</v>
      </c>
      <c r="X2" s="12">
        <f>Data!T33*About!$A46</f>
        <v>0</v>
      </c>
      <c r="Y2" s="12">
        <f>Data!U33*About!$A46</f>
        <v>0</v>
      </c>
      <c r="Z2" s="12">
        <f>Data!V33*About!$A46</f>
        <v>0</v>
      </c>
      <c r="AA2" s="12">
        <f>Data!W33*About!$A46</f>
        <v>0</v>
      </c>
      <c r="AB2" s="12">
        <f>Data!X33*About!$A46</f>
        <v>0</v>
      </c>
      <c r="AC2" s="12">
        <f>Data!Y33*About!$A46</f>
        <v>0</v>
      </c>
      <c r="AD2" s="12">
        <f>Data!Z33*About!$A46</f>
        <v>0</v>
      </c>
      <c r="AE2" s="12">
        <f>Data!AA33*About!$A46</f>
        <v>0</v>
      </c>
      <c r="AF2" s="12">
        <f>Data!AB33*About!$A46</f>
        <v>0</v>
      </c>
      <c r="AG2" s="12">
        <f>Data!AC33*About!$A46</f>
        <v>0</v>
      </c>
      <c r="AH2" s="12">
        <f>Data!AD33*About!$A46</f>
        <v>0</v>
      </c>
      <c r="AI2" s="12">
        <f>Data!AE33*About!$A46</f>
        <v>0</v>
      </c>
      <c r="AJ2" s="12">
        <f>Data!AF33*About!$A46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2023-02-09T01:33:57Z</dcterms:modified>
</cp:coreProperties>
</file>