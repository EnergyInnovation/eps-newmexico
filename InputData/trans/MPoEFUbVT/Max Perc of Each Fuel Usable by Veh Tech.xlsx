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subin/Documents/Code/eps-newmexico/InputData/trans/MPoEFUbVT/"/>
    </mc:Choice>
  </mc:AlternateContent>
  <xr:revisionPtr revIDLastSave="0" documentId="13_ncr:1_{F6FF5151-DF1A-5942-8C9B-3772572E4B6A}" xr6:coauthVersionLast="47" xr6:coauthVersionMax="47" xr10:uidLastSave="{00000000-0000-0000-0000-000000000000}"/>
  <bookViews>
    <workbookView xWindow="2260" yWindow="2240" windowWidth="32940" windowHeight="16020" activeTab="1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50" l="1"/>
  <c r="H11" i="50"/>
  <c r="I11" i="50"/>
  <c r="J11" i="50"/>
  <c r="K11" i="50"/>
  <c r="L11" i="50"/>
  <c r="M11" i="50"/>
  <c r="N11" i="50"/>
  <c r="O11" i="50"/>
  <c r="P11" i="50"/>
  <c r="Q11" i="50"/>
  <c r="R11" i="50"/>
  <c r="S11" i="50"/>
  <c r="T11" i="50"/>
  <c r="U11" i="50"/>
  <c r="V11" i="50"/>
  <c r="W11" i="50"/>
  <c r="X11" i="50"/>
  <c r="Y11" i="50"/>
  <c r="Z11" i="50"/>
  <c r="AA11" i="50"/>
  <c r="AB11" i="50"/>
  <c r="AC11" i="50"/>
  <c r="AD11" i="50"/>
  <c r="AE11" i="50"/>
  <c r="AF11" i="50"/>
  <c r="AG11" i="50"/>
  <c r="AH11" i="50"/>
  <c r="AI11" i="50"/>
  <c r="F11" i="50"/>
  <c r="E7" i="116" l="1"/>
  <c r="D7" i="116"/>
  <c r="C7" i="116"/>
  <c r="B7" i="116"/>
  <c r="E6" i="115"/>
  <c r="D6" i="115"/>
  <c r="C6" i="115"/>
  <c r="B6" i="115"/>
  <c r="E7" i="110"/>
  <c r="D7" i="110"/>
  <c r="C7" i="110"/>
  <c r="B7" i="110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7" i="92"/>
  <c r="D7" i="92"/>
  <c r="C7" i="92"/>
  <c r="B7" i="92"/>
  <c r="E6" i="91"/>
  <c r="D6" i="91"/>
  <c r="C6" i="91"/>
  <c r="B6" i="91"/>
  <c r="E7" i="86"/>
  <c r="D7" i="86"/>
  <c r="C7" i="86"/>
  <c r="B7" i="86"/>
  <c r="C6" i="85"/>
  <c r="D6" i="85"/>
  <c r="E6" i="85"/>
  <c r="B6" i="85"/>
  <c r="P6" i="115" l="1"/>
  <c r="P6" i="109"/>
  <c r="P6" i="103"/>
  <c r="P6" i="97"/>
  <c r="P7" i="116"/>
  <c r="P7" i="110"/>
  <c r="P7" i="104"/>
  <c r="P7" i="98"/>
  <c r="P7" i="92"/>
  <c r="P7" i="86"/>
  <c r="P6" i="85"/>
  <c r="P6" i="91"/>
  <c r="O7" i="116"/>
  <c r="O7" i="110"/>
  <c r="O7" i="104"/>
  <c r="O7" i="98"/>
  <c r="O6" i="115"/>
  <c r="O6" i="109"/>
  <c r="O6" i="103"/>
  <c r="O6" i="97"/>
  <c r="O6" i="91"/>
  <c r="O6" i="85"/>
  <c r="O7" i="92"/>
  <c r="O7" i="86"/>
  <c r="Y6" i="115"/>
  <c r="Y6" i="109"/>
  <c r="Y6" i="103"/>
  <c r="Y6" i="97"/>
  <c r="Y7" i="116"/>
  <c r="Y7" i="110"/>
  <c r="Y7" i="104"/>
  <c r="Y7" i="98"/>
  <c r="Y7" i="92"/>
  <c r="Y7" i="86"/>
  <c r="Y6" i="85"/>
  <c r="Y6" i="91"/>
  <c r="U6" i="115"/>
  <c r="U6" i="109"/>
  <c r="U6" i="103"/>
  <c r="U7" i="116"/>
  <c r="U7" i="110"/>
  <c r="U7" i="104"/>
  <c r="U7" i="98"/>
  <c r="U7" i="92"/>
  <c r="U7" i="86"/>
  <c r="U6" i="97"/>
  <c r="U6" i="91"/>
  <c r="U6" i="85"/>
  <c r="Q6" i="115"/>
  <c r="Q6" i="109"/>
  <c r="Q6" i="103"/>
  <c r="Q7" i="116"/>
  <c r="Q7" i="110"/>
  <c r="Q7" i="104"/>
  <c r="Q7" i="98"/>
  <c r="Q7" i="92"/>
  <c r="Q7" i="86"/>
  <c r="Q6" i="85"/>
  <c r="Q6" i="91"/>
  <c r="Q6" i="97"/>
  <c r="M6" i="115"/>
  <c r="M6" i="109"/>
  <c r="M6" i="103"/>
  <c r="M7" i="116"/>
  <c r="M7" i="110"/>
  <c r="M7" i="104"/>
  <c r="M7" i="98"/>
  <c r="M7" i="92"/>
  <c r="M7" i="86"/>
  <c r="M6" i="91"/>
  <c r="M6" i="97"/>
  <c r="M6" i="85"/>
  <c r="I6" i="115"/>
  <c r="I6" i="109"/>
  <c r="I6" i="103"/>
  <c r="I7" i="116"/>
  <c r="I7" i="110"/>
  <c r="I7" i="104"/>
  <c r="I7" i="98"/>
  <c r="I7" i="92"/>
  <c r="I7" i="86"/>
  <c r="I6" i="85"/>
  <c r="I6" i="97"/>
  <c r="I6" i="91"/>
  <c r="T6" i="115"/>
  <c r="T6" i="109"/>
  <c r="T6" i="103"/>
  <c r="T6" i="97"/>
  <c r="T7" i="116"/>
  <c r="T7" i="110"/>
  <c r="T7" i="104"/>
  <c r="T7" i="98"/>
  <c r="T7" i="92"/>
  <c r="T7" i="86"/>
  <c r="T6" i="85"/>
  <c r="T6" i="91"/>
  <c r="L6" i="115"/>
  <c r="L6" i="109"/>
  <c r="L6" i="103"/>
  <c r="L6" i="97"/>
  <c r="L7" i="116"/>
  <c r="L7" i="110"/>
  <c r="L7" i="104"/>
  <c r="L7" i="98"/>
  <c r="L7" i="92"/>
  <c r="L7" i="86"/>
  <c r="L6" i="85"/>
  <c r="L6" i="91"/>
  <c r="H6" i="115"/>
  <c r="H6" i="109"/>
  <c r="H6" i="103"/>
  <c r="H6" i="97"/>
  <c r="H7" i="116"/>
  <c r="H7" i="110"/>
  <c r="H7" i="104"/>
  <c r="H7" i="98"/>
  <c r="H7" i="92"/>
  <c r="H7" i="86"/>
  <c r="H6" i="85"/>
  <c r="H6" i="91"/>
  <c r="X6" i="115"/>
  <c r="X6" i="109"/>
  <c r="X6" i="103"/>
  <c r="X6" i="97"/>
  <c r="X7" i="116"/>
  <c r="X7" i="110"/>
  <c r="X7" i="104"/>
  <c r="X7" i="98"/>
  <c r="X7" i="92"/>
  <c r="X7" i="86"/>
  <c r="X6" i="91"/>
  <c r="X6" i="85"/>
  <c r="K7" i="116"/>
  <c r="K7" i="110"/>
  <c r="K7" i="104"/>
  <c r="K7" i="98"/>
  <c r="K6" i="115"/>
  <c r="K6" i="109"/>
  <c r="K6" i="103"/>
  <c r="K6" i="97"/>
  <c r="K6" i="91"/>
  <c r="K6" i="85"/>
  <c r="K7" i="86"/>
  <c r="K7" i="92"/>
  <c r="G7" i="116"/>
  <c r="G7" i="110"/>
  <c r="G7" i="104"/>
  <c r="G7" i="98"/>
  <c r="G6" i="115"/>
  <c r="G6" i="109"/>
  <c r="G6" i="103"/>
  <c r="G6" i="97"/>
  <c r="G6" i="91"/>
  <c r="G6" i="85"/>
  <c r="G7" i="92"/>
  <c r="G7" i="86"/>
  <c r="W7" i="116"/>
  <c r="W7" i="110"/>
  <c r="W7" i="104"/>
  <c r="W7" i="98"/>
  <c r="W6" i="115"/>
  <c r="W6" i="109"/>
  <c r="W6" i="103"/>
  <c r="W6" i="97"/>
  <c r="W6" i="91"/>
  <c r="W7" i="92"/>
  <c r="W7" i="86"/>
  <c r="W6" i="85"/>
  <c r="S7" i="116"/>
  <c r="S7" i="110"/>
  <c r="S7" i="104"/>
  <c r="S7" i="98"/>
  <c r="S6" i="115"/>
  <c r="S6" i="109"/>
  <c r="S6" i="103"/>
  <c r="S6" i="97"/>
  <c r="S6" i="91"/>
  <c r="S7" i="86"/>
  <c r="S7" i="92"/>
  <c r="S6" i="85"/>
  <c r="V7" i="116"/>
  <c r="V7" i="110"/>
  <c r="V7" i="104"/>
  <c r="V7" i="98"/>
  <c r="V6" i="115"/>
  <c r="V6" i="109"/>
  <c r="V6" i="103"/>
  <c r="V6" i="97"/>
  <c r="V6" i="91"/>
  <c r="V6" i="85"/>
  <c r="V7" i="92"/>
  <c r="V7" i="86"/>
  <c r="R7" i="116"/>
  <c r="R7" i="110"/>
  <c r="R7" i="104"/>
  <c r="R7" i="98"/>
  <c r="R6" i="115"/>
  <c r="R6" i="109"/>
  <c r="R6" i="103"/>
  <c r="R6" i="97"/>
  <c r="R6" i="91"/>
  <c r="R6" i="85"/>
  <c r="R7" i="92"/>
  <c r="R7" i="86"/>
  <c r="N7" i="116"/>
  <c r="N7" i="110"/>
  <c r="N7" i="104"/>
  <c r="N7" i="98"/>
  <c r="N6" i="115"/>
  <c r="N6" i="109"/>
  <c r="N6" i="103"/>
  <c r="N6" i="97"/>
  <c r="N6" i="91"/>
  <c r="N7" i="86"/>
  <c r="N7" i="92"/>
  <c r="N6" i="85"/>
  <c r="J7" i="116"/>
  <c r="J7" i="110"/>
  <c r="J7" i="104"/>
  <c r="J7" i="98"/>
  <c r="J6" i="115"/>
  <c r="J6" i="109"/>
  <c r="J6" i="103"/>
  <c r="J6" i="97"/>
  <c r="J6" i="91"/>
  <c r="J7" i="86"/>
  <c r="J6" i="85"/>
  <c r="J7" i="92"/>
  <c r="F7" i="116"/>
  <c r="F7" i="110"/>
  <c r="F7" i="104"/>
  <c r="F7" i="98"/>
  <c r="F6" i="115"/>
  <c r="F6" i="109"/>
  <c r="F6" i="103"/>
  <c r="F6" i="97"/>
  <c r="F6" i="91"/>
  <c r="F7" i="86"/>
  <c r="F6" i="85"/>
  <c r="F7" i="92"/>
  <c r="AJ6" i="69"/>
  <c r="AI6" i="69"/>
  <c r="AH6" i="69"/>
  <c r="AG6" i="69"/>
  <c r="AF6" i="69"/>
  <c r="AE6" i="69"/>
  <c r="AD6" i="69"/>
  <c r="AC6" i="69"/>
  <c r="AB6" i="69"/>
  <c r="AA6" i="69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H6" i="69"/>
  <c r="G6" i="69"/>
  <c r="F6" i="69"/>
  <c r="E6" i="69"/>
  <c r="D6" i="69"/>
  <c r="C6" i="69"/>
  <c r="B6" i="69"/>
  <c r="AJ7" i="68"/>
  <c r="AI7" i="68"/>
  <c r="AH7" i="68"/>
  <c r="AG7" i="68"/>
  <c r="AF7" i="68"/>
  <c r="AE7" i="68"/>
  <c r="AD7" i="68"/>
  <c r="AC7" i="68"/>
  <c r="AB7" i="68"/>
  <c r="AA7" i="68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H7" i="68"/>
  <c r="G7" i="68"/>
  <c r="F7" i="68"/>
  <c r="E7" i="68"/>
  <c r="D7" i="68"/>
  <c r="C7" i="68"/>
  <c r="B7" i="68"/>
  <c r="AJ6" i="67"/>
  <c r="AI6" i="67"/>
  <c r="AH6" i="67"/>
  <c r="AG6" i="67"/>
  <c r="AF6" i="67"/>
  <c r="AE6" i="67"/>
  <c r="AD6" i="67"/>
  <c r="AC6" i="67"/>
  <c r="AB6" i="67"/>
  <c r="AA6" i="67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H6" i="67"/>
  <c r="G6" i="67"/>
  <c r="F6" i="67"/>
  <c r="E6" i="67"/>
  <c r="D6" i="67"/>
  <c r="C6" i="67"/>
  <c r="B6" i="67"/>
  <c r="AJ7" i="62"/>
  <c r="AI7" i="62"/>
  <c r="AH7" i="62"/>
  <c r="AG7" i="62"/>
  <c r="AF7" i="62"/>
  <c r="AE7" i="62"/>
  <c r="AD7" i="62"/>
  <c r="AC7" i="62"/>
  <c r="AB7" i="62"/>
  <c r="AA7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G7" i="62"/>
  <c r="F7" i="62"/>
  <c r="E7" i="62"/>
  <c r="D7" i="62"/>
  <c r="C7" i="62"/>
  <c r="B7" i="62"/>
  <c r="AJ7" i="61"/>
  <c r="AI7" i="61"/>
  <c r="AH7" i="61"/>
  <c r="AG7" i="61"/>
  <c r="AF7" i="61"/>
  <c r="AE7" i="61"/>
  <c r="AD7" i="61"/>
  <c r="AC7" i="61"/>
  <c r="AB7" i="61"/>
  <c r="AA7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G7" i="61"/>
  <c r="F7" i="61"/>
  <c r="E7" i="61"/>
  <c r="D7" i="61"/>
  <c r="C7" i="61"/>
  <c r="B7" i="61"/>
  <c r="AJ6" i="60"/>
  <c r="AI6" i="60"/>
  <c r="AH6" i="60"/>
  <c r="AG6" i="60"/>
  <c r="AF6" i="60"/>
  <c r="AE6" i="60"/>
  <c r="AD6" i="60"/>
  <c r="AC6" i="60"/>
  <c r="AB6" i="60"/>
  <c r="AA6" i="60"/>
  <c r="Z6" i="60"/>
  <c r="Y6" i="60"/>
  <c r="X6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H6" i="60"/>
  <c r="G6" i="60"/>
  <c r="F6" i="60"/>
  <c r="E6" i="60"/>
  <c r="D6" i="60"/>
  <c r="C6" i="60"/>
  <c r="B6" i="60"/>
  <c r="AJ6" i="56"/>
  <c r="AI6" i="56"/>
  <c r="AH6" i="56"/>
  <c r="AG6" i="56"/>
  <c r="AF6" i="56"/>
  <c r="AE6" i="56"/>
  <c r="AD6" i="56"/>
  <c r="AC6" i="56"/>
  <c r="AB6" i="56"/>
  <c r="AA6" i="56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G6" i="56"/>
  <c r="F6" i="56"/>
  <c r="E6" i="56"/>
  <c r="D6" i="56"/>
  <c r="C6" i="56"/>
  <c r="B6" i="56"/>
  <c r="AJ7" i="55"/>
  <c r="AI7" i="55"/>
  <c r="AH7" i="55"/>
  <c r="AG7" i="55"/>
  <c r="AF7" i="55"/>
  <c r="AE7" i="55"/>
  <c r="AD7" i="55"/>
  <c r="AC7" i="55"/>
  <c r="AB7" i="55"/>
  <c r="AA7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H7" i="55"/>
  <c r="G7" i="55"/>
  <c r="F7" i="55"/>
  <c r="E7" i="55"/>
  <c r="D7" i="55"/>
  <c r="C7" i="55"/>
  <c r="B7" i="55"/>
  <c r="AJ6" i="54"/>
  <c r="AI6" i="54"/>
  <c r="AH6" i="54"/>
  <c r="AG6" i="54"/>
  <c r="AF6" i="54"/>
  <c r="AE6" i="54"/>
  <c r="AD6" i="54"/>
  <c r="AC6" i="54"/>
  <c r="AB6" i="54"/>
  <c r="AA6" i="54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G6" i="54"/>
  <c r="F6" i="54"/>
  <c r="E6" i="54"/>
  <c r="D6" i="54"/>
  <c r="C6" i="54"/>
  <c r="B6" i="54"/>
  <c r="Z7" i="116" l="1"/>
  <c r="Z7" i="110"/>
  <c r="Z7" i="104"/>
  <c r="Z7" i="98"/>
  <c r="Z6" i="115"/>
  <c r="Z6" i="109"/>
  <c r="Z6" i="103"/>
  <c r="Z6" i="97"/>
  <c r="Z6" i="91"/>
  <c r="Z6" i="85"/>
  <c r="Z7" i="86"/>
  <c r="Z7" i="92"/>
  <c r="C6" i="41"/>
  <c r="D6" i="41"/>
  <c r="E6" i="41"/>
  <c r="F6" i="41"/>
  <c r="G6" i="41"/>
  <c r="H6" i="41"/>
  <c r="I6" i="41"/>
  <c r="J6" i="41"/>
  <c r="K6" i="41"/>
  <c r="L6" i="41"/>
  <c r="M6" i="41"/>
  <c r="N6" i="41"/>
  <c r="O6" i="41"/>
  <c r="P6" i="41"/>
  <c r="Q6" i="41"/>
  <c r="R6" i="41"/>
  <c r="S6" i="41"/>
  <c r="T6" i="41"/>
  <c r="U6" i="41"/>
  <c r="V6" i="41"/>
  <c r="W6" i="41"/>
  <c r="X6" i="41"/>
  <c r="Y6" i="41"/>
  <c r="Z6" i="41"/>
  <c r="AA6" i="41"/>
  <c r="AB6" i="41"/>
  <c r="AC6" i="41"/>
  <c r="AD6" i="41"/>
  <c r="AE6" i="41"/>
  <c r="AF6" i="41"/>
  <c r="AG6" i="41"/>
  <c r="AH6" i="41"/>
  <c r="AI6" i="41"/>
  <c r="AJ6" i="41"/>
  <c r="B6" i="41"/>
  <c r="C7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AH7" i="42"/>
  <c r="AI7" i="42"/>
  <c r="AJ7" i="42"/>
  <c r="B7" i="42"/>
  <c r="C6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B6" i="43"/>
  <c r="AA7" i="116" l="1"/>
  <c r="AA7" i="110"/>
  <c r="AA7" i="104"/>
  <c r="AA7" i="98"/>
  <c r="AA6" i="115"/>
  <c r="AA6" i="109"/>
  <c r="AA6" i="103"/>
  <c r="AA6" i="97"/>
  <c r="AA6" i="91"/>
  <c r="AA7" i="86"/>
  <c r="AA7" i="92"/>
  <c r="AA6" i="85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C6" i="7"/>
  <c r="B6" i="7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C7" i="6"/>
  <c r="B7" i="6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C6" i="5"/>
  <c r="B6" i="5"/>
  <c r="AB6" i="115" l="1"/>
  <c r="AB6" i="109"/>
  <c r="AB6" i="103"/>
  <c r="AB6" i="97"/>
  <c r="AB7" i="116"/>
  <c r="AB7" i="110"/>
  <c r="AB7" i="104"/>
  <c r="AB7" i="98"/>
  <c r="AB7" i="92"/>
  <c r="AB7" i="86"/>
  <c r="AB6" i="85"/>
  <c r="AB6" i="91"/>
  <c r="AC6" i="115" l="1"/>
  <c r="AC6" i="109"/>
  <c r="AC6" i="103"/>
  <c r="AC6" i="97"/>
  <c r="AC7" i="116"/>
  <c r="AC7" i="110"/>
  <c r="AC7" i="104"/>
  <c r="AC7" i="98"/>
  <c r="AC7" i="92"/>
  <c r="AC7" i="86"/>
  <c r="AC6" i="91"/>
  <c r="AC6" i="85"/>
  <c r="AD7" i="116" l="1"/>
  <c r="AD7" i="110"/>
  <c r="AD7" i="104"/>
  <c r="AD7" i="98"/>
  <c r="AD7" i="92"/>
  <c r="AD6" i="115"/>
  <c r="AD6" i="109"/>
  <c r="AD6" i="103"/>
  <c r="AD6" i="97"/>
  <c r="AD6" i="91"/>
  <c r="AD6" i="85"/>
  <c r="AD7" i="86"/>
  <c r="AE7" i="116" l="1"/>
  <c r="AE7" i="110"/>
  <c r="AE7" i="104"/>
  <c r="AE7" i="98"/>
  <c r="AE6" i="115"/>
  <c r="AE6" i="109"/>
  <c r="AE6" i="103"/>
  <c r="AE6" i="97"/>
  <c r="AE6" i="91"/>
  <c r="AE7" i="86"/>
  <c r="AE7" i="92"/>
  <c r="AE6" i="85"/>
  <c r="AF6" i="115" l="1"/>
  <c r="AF6" i="109"/>
  <c r="AF6" i="103"/>
  <c r="AF6" i="97"/>
  <c r="AF7" i="116"/>
  <c r="AF7" i="110"/>
  <c r="AF7" i="104"/>
  <c r="AF7" i="98"/>
  <c r="AF7" i="92"/>
  <c r="AF7" i="86"/>
  <c r="AF6" i="91"/>
  <c r="AF6" i="85"/>
  <c r="AG6" i="115" l="1"/>
  <c r="AG6" i="109"/>
  <c r="AG6" i="103"/>
  <c r="AG6" i="97"/>
  <c r="AG7" i="116"/>
  <c r="AG7" i="110"/>
  <c r="AG7" i="104"/>
  <c r="AG7" i="98"/>
  <c r="AG7" i="92"/>
  <c r="AG7" i="86"/>
  <c r="AG6" i="85"/>
  <c r="AG6" i="91"/>
  <c r="AH7" i="116" l="1"/>
  <c r="AH7" i="110"/>
  <c r="AH7" i="104"/>
  <c r="AH7" i="98"/>
  <c r="AH7" i="92"/>
  <c r="AH6" i="115"/>
  <c r="AH6" i="109"/>
  <c r="AH6" i="103"/>
  <c r="AH6" i="97"/>
  <c r="AH6" i="91"/>
  <c r="AH6" i="85"/>
  <c r="AH7" i="86"/>
  <c r="AI7" i="116" l="1"/>
  <c r="AI7" i="110"/>
  <c r="AI7" i="104"/>
  <c r="AI7" i="98"/>
  <c r="AI6" i="115"/>
  <c r="AI6" i="109"/>
  <c r="AI6" i="103"/>
  <c r="AI6" i="97"/>
  <c r="AI6" i="91"/>
  <c r="AI7" i="92"/>
  <c r="AI7" i="86"/>
  <c r="AI6" i="85"/>
</calcChain>
</file>

<file path=xl/sharedStrings.xml><?xml version="1.0" encoding="utf-8"?>
<sst xmlns="http://schemas.openxmlformats.org/spreadsheetml/2006/main" count="858" uniqueCount="76">
  <si>
    <t>Sources: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</si>
  <si>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</si>
  <si>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</si>
  <si>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</si>
  <si>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</si>
  <si>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</si>
  <si>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</si>
  <si>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</si>
  <si>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</si>
  <si>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DoE Alternative Fuels Data Center</t>
  </si>
  <si>
    <t>combinations that the model supports, even though some combinations are not used</t>
  </si>
  <si>
    <t>This is to support adaptation to other countries that may wish to use that vehicle</t>
  </si>
  <si>
    <t>MPoEFUbVT Max Perc of Each Fuel Usable by Veh Technology</t>
  </si>
  <si>
    <t>ethanol</t>
  </si>
  <si>
    <t>For maximum ethanol use in gasoline vehicles, we use 25%, based on what is achieved</t>
  </si>
  <si>
    <t>in Brazil today with minor engine modifications.  Though there exist flex fuel vehicles</t>
  </si>
  <si>
    <t>that can run on up to 100% ethanol, we consider those not to be covered by the</t>
  </si>
  <si>
    <t>"gasoline vehicle" technology type.</t>
  </si>
  <si>
    <t>Wikipedia</t>
  </si>
  <si>
    <t>Common ethanol fuel mixtures</t>
  </si>
  <si>
    <t>https://en.wikipedia.org/wiki/Common_ethanol_fuel_mixtures</t>
  </si>
  <si>
    <t>Introduction and "E20, E25" sections</t>
  </si>
  <si>
    <t>which works without engine modifications.  A model adapter may consider using</t>
  </si>
  <si>
    <t>a value of 15% if wishing to limit the simulation to values achievable without any</t>
  </si>
  <si>
    <t>engine modifications.</t>
  </si>
  <si>
    <t>Note that the U.S. blend wall (allowable ethanol mix) today is 15% for new vehicles,</t>
  </si>
  <si>
    <t>Biofuel Gasoline</t>
  </si>
  <si>
    <t>Biofuel Diesel</t>
  </si>
  <si>
    <t>We use a 20% maximum value.  BD20 (20% biofuel diesel) is the most common biofuel blend</t>
  </si>
  <si>
    <t>in the U.S. today and is widely supported by recent engines.  Though blends up to</t>
  </si>
  <si>
    <t>BD100 are possible, BD100 requires special handling and may require engine</t>
  </si>
  <si>
    <t>modifications, particularly in cold weather, so we do not use 100% as our maximum</t>
  </si>
  <si>
    <t>potential here.</t>
  </si>
  <si>
    <t>unspecified date</t>
  </si>
  <si>
    <t>Biodiesel Blends</t>
  </si>
  <si>
    <t>https://www.afdc.energy.gov/fuels/biodiesel_blends.html</t>
  </si>
  <si>
    <t>We include sheets for all possible vehicle type / vehicle technology</t>
  </si>
  <si>
    <t>in the U.S. dataset.  (For example, there are no natural gas motorbikes in the U.S. model.)</t>
  </si>
  <si>
    <t>Nonroad Modes</t>
  </si>
  <si>
    <t>see note below and BPoEFUbVT variable's sources</t>
  </si>
  <si>
    <t>combination.</t>
  </si>
  <si>
    <t>For nonroad modes, we use the same percentages as in the BAU case (see variable BPoEFUbVT),</t>
  </si>
  <si>
    <t>Plug-in Hybrid Vehicle Electricity Use</t>
  </si>
  <si>
    <t>Technically, the maximum share of electricity usable by these vehicles is 100%.</t>
  </si>
  <si>
    <t>However, this variable is used to help govern the way the LCFS policy works, and that</t>
  </si>
  <si>
    <t>That would require drivers to only drive within their cars' electric ranges.</t>
  </si>
  <si>
    <t>policy affects fuel suppliers.  It doesn't affect driving behavior by plug-in hybrid owners.</t>
  </si>
  <si>
    <t>Accordingly, we set the maximum electricity share equal to the BAU electricity share.</t>
  </si>
  <si>
    <t>aircraft</t>
  </si>
  <si>
    <t>all vehicles except aircraft and ships</t>
  </si>
  <si>
    <t>International Energy Agency</t>
  </si>
  <si>
    <t>Commentary: Are aviation biofuels ready for take off?</t>
  </si>
  <si>
    <t>https://www.iea.org/newsroom/news/2019/march/are-aviation-biofuels-ready-for-take-off.html</t>
  </si>
  <si>
    <t>Aviation fuel consumption in the SFS, 2025-2040</t>
  </si>
  <si>
    <t>https://shipandbunker.com/news/features/industry-insight/637086-industry-insight-sustainable-marine-biofuel-scaling-up-for-a-crucial-role-in-a-low-emission-future-for-shipping</t>
  </si>
  <si>
    <t>Ship&amp;Bunker</t>
  </si>
  <si>
    <t>Taken from text</t>
  </si>
  <si>
    <t>biodiesel for on-road modes</t>
  </si>
  <si>
    <t>biofuel for aircraft</t>
  </si>
  <si>
    <t>biofuel for ships</t>
  </si>
  <si>
    <t>nonroad modes, other fuels</t>
  </si>
  <si>
    <t>Interpolate and extrapolate:</t>
  </si>
  <si>
    <t>ships, rail</t>
  </si>
  <si>
    <t>assumed to be the same as aircraft</t>
  </si>
  <si>
    <t>except for biofuel, where we use data from sources specified above.</t>
  </si>
  <si>
    <t>Note that if you wish to have the non-road vehicles contribute to meeting the LCFS,</t>
  </si>
  <si>
    <t>these modes must be enabled in variable trans/BVTStL.</t>
  </si>
  <si>
    <t>heavy or residual fuel oil</t>
  </si>
  <si>
    <t>LPG propane or butane</t>
  </si>
  <si>
    <t>hydrogen</t>
  </si>
  <si>
    <t>Ships, Rail</t>
  </si>
  <si>
    <t>The potential percentage biofuel use in ships and rail was assumed to be the same as</t>
  </si>
  <si>
    <t>in aircraft.</t>
  </si>
  <si>
    <t>This variable is used in the LCFS calculations.</t>
  </si>
  <si>
    <t>Max Fraction (dimensionless)</t>
  </si>
  <si>
    <t>Percentage Fuel Use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</si>
</sst>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8"/>
    <xf numFmtId="0" fontId="0" fillId="0" borderId="0" xfId="0" applyFill="1"/>
    <xf numFmtId="1" fontId="0" fillId="0" borderId="0" xfId="0" applyNumberFormat="1"/>
    <xf numFmtId="0" fontId="0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Relationship Id="rId1" Type="http://schemas.openxmlformats.org/officeDocument/2006/relationships/hyperlink" Target="https://www.iea.org/newsroom/news/2019/march/are-aviation-biofuels-ready-for-take-off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workbookViewId="0"/>
  </sheetViews>
  <sheetFormatPr baseColWidth="10" defaultColWidth="8.83203125" defaultRowHeight="15" x14ac:dyDescent="0.2"/>
  <cols>
    <col min="2" max="2" width="69.33203125" customWidth="1"/>
  </cols>
  <sheetData>
    <row r="1" spans="1:12" x14ac:dyDescent="0.2">
      <c r="A1" s="1" t="s">
        <v>12</v>
      </c>
      <c r="C1" s="10">
        <v>44307</v>
      </c>
    </row>
    <row r="2" spans="1:12" x14ac:dyDescent="0.2">
      <c r="E2" s="6"/>
      <c r="F2" s="6"/>
      <c r="G2" s="6"/>
      <c r="H2" s="6"/>
      <c r="I2" s="6"/>
      <c r="J2" s="6"/>
      <c r="K2" s="6"/>
      <c r="L2" s="6"/>
    </row>
    <row r="3" spans="1:12" x14ac:dyDescent="0.2">
      <c r="A3" s="1" t="s">
        <v>0</v>
      </c>
      <c r="B3" s="2" t="s">
        <v>13</v>
      </c>
      <c r="E3" s="6"/>
      <c r="F3" s="6"/>
      <c r="G3" s="6"/>
      <c r="H3" s="6"/>
      <c r="I3" s="6"/>
      <c r="J3" s="6"/>
      <c r="K3" s="6"/>
      <c r="L3" s="6"/>
    </row>
    <row r="4" spans="1:12" x14ac:dyDescent="0.2">
      <c r="B4" t="s">
        <v>18</v>
      </c>
      <c r="E4" s="6"/>
      <c r="F4" s="6"/>
      <c r="G4" s="6"/>
      <c r="H4" s="6"/>
      <c r="I4" s="6"/>
      <c r="J4" s="6"/>
      <c r="K4" s="6"/>
      <c r="L4" s="6"/>
    </row>
    <row r="5" spans="1:12" x14ac:dyDescent="0.2">
      <c r="B5" s="3">
        <v>2017</v>
      </c>
      <c r="E5" s="6"/>
      <c r="F5" s="6"/>
      <c r="G5" s="6"/>
      <c r="H5" s="6"/>
      <c r="I5" s="6"/>
      <c r="J5" s="6"/>
      <c r="K5" s="6"/>
      <c r="L5" s="6"/>
    </row>
    <row r="6" spans="1:12" x14ac:dyDescent="0.2">
      <c r="B6" t="s">
        <v>19</v>
      </c>
      <c r="E6" s="6"/>
      <c r="F6" s="6"/>
      <c r="G6" s="6"/>
      <c r="H6" s="6"/>
      <c r="I6" s="6"/>
      <c r="J6" s="6"/>
      <c r="K6" s="6"/>
      <c r="L6" s="6"/>
    </row>
    <row r="7" spans="1:12" x14ac:dyDescent="0.2">
      <c r="B7" t="s">
        <v>20</v>
      </c>
      <c r="E7" s="6"/>
      <c r="F7" s="6"/>
      <c r="G7" s="6"/>
      <c r="H7" s="6"/>
      <c r="I7" s="6"/>
      <c r="J7" s="6"/>
      <c r="K7" s="6"/>
      <c r="L7" s="6"/>
    </row>
    <row r="8" spans="1:12" x14ac:dyDescent="0.2">
      <c r="B8" t="s">
        <v>21</v>
      </c>
      <c r="E8" s="6"/>
      <c r="F8" s="6"/>
      <c r="G8" s="6"/>
      <c r="H8" s="6"/>
      <c r="I8" s="6"/>
      <c r="J8" s="6"/>
      <c r="K8" s="6"/>
      <c r="L8" s="6"/>
    </row>
    <row r="9" spans="1:12" x14ac:dyDescent="0.2">
      <c r="E9" s="6"/>
      <c r="F9" s="6"/>
      <c r="G9" s="6"/>
      <c r="H9" s="6"/>
      <c r="I9" s="6"/>
      <c r="J9" s="6"/>
      <c r="K9" s="6"/>
      <c r="L9" s="6"/>
    </row>
    <row r="10" spans="1:12" x14ac:dyDescent="0.2">
      <c r="B10" s="2" t="s">
        <v>57</v>
      </c>
      <c r="E10" s="6"/>
      <c r="F10" s="6"/>
      <c r="G10" s="6"/>
      <c r="H10" s="6"/>
      <c r="I10" s="6"/>
      <c r="J10" s="6"/>
      <c r="K10" s="6"/>
      <c r="L10" s="6"/>
    </row>
    <row r="11" spans="1:12" x14ac:dyDescent="0.2">
      <c r="B11" t="s">
        <v>9</v>
      </c>
      <c r="E11" s="6"/>
      <c r="F11" s="6"/>
      <c r="G11" s="6"/>
      <c r="H11" s="6"/>
      <c r="I11" s="6"/>
      <c r="J11" s="6"/>
      <c r="K11" s="6"/>
      <c r="L11" s="6"/>
    </row>
    <row r="12" spans="1:12" x14ac:dyDescent="0.2">
      <c r="B12" s="3" t="s">
        <v>33</v>
      </c>
      <c r="E12" s="6"/>
      <c r="F12" s="6"/>
      <c r="G12" s="6"/>
      <c r="H12" s="6"/>
      <c r="I12" s="6"/>
      <c r="J12" s="6"/>
      <c r="K12" s="6"/>
      <c r="L12" s="6"/>
    </row>
    <row r="13" spans="1:12" x14ac:dyDescent="0.2">
      <c r="B13" t="s">
        <v>34</v>
      </c>
      <c r="E13" s="6"/>
      <c r="F13" s="6"/>
      <c r="G13" s="6"/>
      <c r="H13" s="6"/>
      <c r="I13" s="6"/>
      <c r="J13" s="6"/>
      <c r="K13" s="6"/>
      <c r="L13" s="6"/>
    </row>
    <row r="14" spans="1:12" x14ac:dyDescent="0.2">
      <c r="B14" t="s">
        <v>35</v>
      </c>
    </row>
    <row r="16" spans="1:12" x14ac:dyDescent="0.2">
      <c r="B16" s="2" t="s">
        <v>58</v>
      </c>
    </row>
    <row r="17" spans="1:2" x14ac:dyDescent="0.2">
      <c r="B17" t="s">
        <v>50</v>
      </c>
    </row>
    <row r="18" spans="1:2" x14ac:dyDescent="0.2">
      <c r="B18" s="3">
        <v>2019</v>
      </c>
    </row>
    <row r="19" spans="1:2" x14ac:dyDescent="0.2">
      <c r="B19" t="s">
        <v>51</v>
      </c>
    </row>
    <row r="20" spans="1:2" x14ac:dyDescent="0.2">
      <c r="B20" s="5" t="s">
        <v>52</v>
      </c>
    </row>
    <row r="21" spans="1:2" x14ac:dyDescent="0.2">
      <c r="B21" t="s">
        <v>53</v>
      </c>
    </row>
    <row r="23" spans="1:2" x14ac:dyDescent="0.2">
      <c r="B23" s="2" t="s">
        <v>59</v>
      </c>
    </row>
    <row r="24" spans="1:2" x14ac:dyDescent="0.2">
      <c r="B24" t="s">
        <v>55</v>
      </c>
    </row>
    <row r="25" spans="1:2" x14ac:dyDescent="0.2">
      <c r="B25" s="3">
        <v>2016</v>
      </c>
    </row>
    <row r="26" spans="1:2" x14ac:dyDescent="0.2">
      <c r="B26" s="5" t="s">
        <v>54</v>
      </c>
    </row>
    <row r="27" spans="1:2" x14ac:dyDescent="0.2">
      <c r="B27" t="s">
        <v>56</v>
      </c>
    </row>
    <row r="29" spans="1:2" x14ac:dyDescent="0.2">
      <c r="B29" s="2" t="s">
        <v>60</v>
      </c>
    </row>
    <row r="30" spans="1:2" x14ac:dyDescent="0.2">
      <c r="B30" t="s">
        <v>39</v>
      </c>
    </row>
    <row r="32" spans="1:2" x14ac:dyDescent="0.2">
      <c r="A32" s="1" t="s">
        <v>1</v>
      </c>
    </row>
    <row r="33" spans="1:1" x14ac:dyDescent="0.2">
      <c r="A33" s="8" t="s">
        <v>73</v>
      </c>
    </row>
    <row r="34" spans="1:1" x14ac:dyDescent="0.2">
      <c r="A34" s="1"/>
    </row>
    <row r="35" spans="1:1" x14ac:dyDescent="0.2">
      <c r="A35" t="s">
        <v>36</v>
      </c>
    </row>
    <row r="36" spans="1:1" x14ac:dyDescent="0.2">
      <c r="A36" t="s">
        <v>10</v>
      </c>
    </row>
    <row r="37" spans="1:1" x14ac:dyDescent="0.2">
      <c r="A37" t="s">
        <v>37</v>
      </c>
    </row>
    <row r="38" spans="1:1" x14ac:dyDescent="0.2">
      <c r="A38" t="s">
        <v>11</v>
      </c>
    </row>
    <row r="39" spans="1:1" x14ac:dyDescent="0.2">
      <c r="A39" t="s">
        <v>40</v>
      </c>
    </row>
    <row r="41" spans="1:1" x14ac:dyDescent="0.2">
      <c r="A41" s="1" t="s">
        <v>26</v>
      </c>
    </row>
    <row r="42" spans="1:1" x14ac:dyDescent="0.2">
      <c r="A42" t="s">
        <v>14</v>
      </c>
    </row>
    <row r="43" spans="1:1" x14ac:dyDescent="0.2">
      <c r="A43" t="s">
        <v>15</v>
      </c>
    </row>
    <row r="44" spans="1:1" x14ac:dyDescent="0.2">
      <c r="A44" t="s">
        <v>16</v>
      </c>
    </row>
    <row r="45" spans="1:1" x14ac:dyDescent="0.2">
      <c r="A45" t="s">
        <v>17</v>
      </c>
    </row>
    <row r="47" spans="1:1" x14ac:dyDescent="0.2">
      <c r="A47" t="s">
        <v>25</v>
      </c>
    </row>
    <row r="48" spans="1:1" x14ac:dyDescent="0.2">
      <c r="A48" t="s">
        <v>22</v>
      </c>
    </row>
    <row r="49" spans="1:1" x14ac:dyDescent="0.2">
      <c r="A49" t="s">
        <v>23</v>
      </c>
    </row>
    <row r="50" spans="1:1" x14ac:dyDescent="0.2">
      <c r="A50" t="s">
        <v>24</v>
      </c>
    </row>
    <row r="52" spans="1:1" x14ac:dyDescent="0.2">
      <c r="A52" s="1" t="s">
        <v>27</v>
      </c>
    </row>
    <row r="53" spans="1:1" x14ac:dyDescent="0.2">
      <c r="A53" t="s">
        <v>28</v>
      </c>
    </row>
    <row r="54" spans="1:1" x14ac:dyDescent="0.2">
      <c r="A54" t="s">
        <v>29</v>
      </c>
    </row>
    <row r="55" spans="1:1" x14ac:dyDescent="0.2">
      <c r="A55" t="s">
        <v>30</v>
      </c>
    </row>
    <row r="56" spans="1:1" x14ac:dyDescent="0.2">
      <c r="A56" t="s">
        <v>31</v>
      </c>
    </row>
    <row r="57" spans="1:1" x14ac:dyDescent="0.2">
      <c r="A57" t="s">
        <v>32</v>
      </c>
    </row>
    <row r="59" spans="1:1" x14ac:dyDescent="0.2">
      <c r="A59" s="1" t="s">
        <v>42</v>
      </c>
    </row>
    <row r="60" spans="1:1" x14ac:dyDescent="0.2">
      <c r="A60" t="s">
        <v>43</v>
      </c>
    </row>
    <row r="61" spans="1:1" x14ac:dyDescent="0.2">
      <c r="A61" t="s">
        <v>45</v>
      </c>
    </row>
    <row r="62" spans="1:1" x14ac:dyDescent="0.2">
      <c r="A62" t="s">
        <v>44</v>
      </c>
    </row>
    <row r="63" spans="1:1" x14ac:dyDescent="0.2">
      <c r="A63" t="s">
        <v>46</v>
      </c>
    </row>
    <row r="64" spans="1:1" x14ac:dyDescent="0.2">
      <c r="A64" t="s">
        <v>47</v>
      </c>
    </row>
    <row r="66" spans="1:1" x14ac:dyDescent="0.2">
      <c r="A66" s="1" t="s">
        <v>38</v>
      </c>
    </row>
    <row r="67" spans="1:1" x14ac:dyDescent="0.2">
      <c r="A67" t="s">
        <v>41</v>
      </c>
    </row>
    <row r="68" spans="1:1" x14ac:dyDescent="0.2">
      <c r="A68" t="s">
        <v>64</v>
      </c>
    </row>
    <row r="69" spans="1:1" x14ac:dyDescent="0.2">
      <c r="A69" t="s">
        <v>65</v>
      </c>
    </row>
    <row r="70" spans="1:1" x14ac:dyDescent="0.2">
      <c r="A70" t="s">
        <v>66</v>
      </c>
    </row>
    <row r="72" spans="1:1" x14ac:dyDescent="0.2">
      <c r="A72" s="1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</sheetData>
  <hyperlinks>
    <hyperlink ref="B20" r:id="rId1" xr:uid="{00000000-0004-0000-0000-000000000000}"/>
    <hyperlink ref="B26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4"/>
  <sheetViews>
    <sheetView tabSelected="1" workbookViewId="0">
      <selection activeCell="B7" sqref="B7"/>
    </sheetView>
  </sheetViews>
  <sheetFormatPr baseColWidth="10" defaultColWidth="8.83203125" defaultRowHeight="15" x14ac:dyDescent="0.2"/>
  <sheetData>
    <row r="1" spans="1:35" x14ac:dyDescent="0.2">
      <c r="A1" s="1" t="s">
        <v>49</v>
      </c>
    </row>
    <row r="2" spans="1:35" x14ac:dyDescent="0.2">
      <c r="A2">
        <v>0.25</v>
      </c>
      <c r="B2" t="s">
        <v>6</v>
      </c>
    </row>
    <row r="3" spans="1:35" x14ac:dyDescent="0.2">
      <c r="A3">
        <v>1</v>
      </c>
      <c r="B3" t="s">
        <v>8</v>
      </c>
    </row>
    <row r="5" spans="1:35" x14ac:dyDescent="0.2">
      <c r="A5" s="1" t="s">
        <v>48</v>
      </c>
    </row>
    <row r="6" spans="1:35" x14ac:dyDescent="0.2">
      <c r="A6">
        <v>2030</v>
      </c>
      <c r="B6">
        <v>2040</v>
      </c>
    </row>
    <row r="7" spans="1:35" x14ac:dyDescent="0.2">
      <c r="A7">
        <v>0.2</v>
      </c>
      <c r="B7">
        <v>0.6</v>
      </c>
    </row>
    <row r="9" spans="1:35" x14ac:dyDescent="0.2">
      <c r="A9" s="1" t="s">
        <v>61</v>
      </c>
    </row>
    <row r="10" spans="1:35" x14ac:dyDescent="0.2">
      <c r="A10">
        <v>2016</v>
      </c>
      <c r="B10">
        <v>2017</v>
      </c>
      <c r="C10">
        <v>2018</v>
      </c>
      <c r="D10">
        <v>2019</v>
      </c>
      <c r="E10">
        <v>2020</v>
      </c>
      <c r="F10">
        <v>2021</v>
      </c>
      <c r="G10">
        <v>2022</v>
      </c>
      <c r="H10">
        <v>2023</v>
      </c>
      <c r="I10">
        <v>2024</v>
      </c>
      <c r="J10">
        <v>2025</v>
      </c>
      <c r="K10">
        <v>2026</v>
      </c>
      <c r="L10">
        <v>2027</v>
      </c>
      <c r="M10">
        <v>2028</v>
      </c>
      <c r="N10">
        <v>2029</v>
      </c>
      <c r="O10">
        <v>2030</v>
      </c>
      <c r="P10">
        <v>2031</v>
      </c>
      <c r="Q10">
        <v>2032</v>
      </c>
      <c r="R10">
        <v>2033</v>
      </c>
      <c r="S10">
        <v>2034</v>
      </c>
      <c r="T10">
        <v>2035</v>
      </c>
      <c r="U10">
        <v>2036</v>
      </c>
      <c r="V10">
        <v>2037</v>
      </c>
      <c r="W10">
        <v>2038</v>
      </c>
      <c r="X10">
        <v>2039</v>
      </c>
      <c r="Y10">
        <v>2040</v>
      </c>
      <c r="Z10">
        <v>2041</v>
      </c>
      <c r="AA10">
        <v>2042</v>
      </c>
      <c r="AB10">
        <v>2043</v>
      </c>
      <c r="AC10">
        <v>2044</v>
      </c>
      <c r="AD10">
        <v>2045</v>
      </c>
      <c r="AE10">
        <v>2046</v>
      </c>
      <c r="AF10">
        <v>2047</v>
      </c>
      <c r="AG10">
        <v>2048</v>
      </c>
      <c r="AH10">
        <v>2049</v>
      </c>
      <c r="AI10">
        <v>2050</v>
      </c>
    </row>
    <row r="11" spans="1:35" x14ac:dyDescent="0.2">
      <c r="A11">
        <v>0</v>
      </c>
      <c r="B11">
        <v>0</v>
      </c>
      <c r="C11">
        <v>0</v>
      </c>
      <c r="D11">
        <v>0</v>
      </c>
      <c r="E11" s="7">
        <v>0</v>
      </c>
      <c r="F11">
        <f>TREND($A$7:$B$7,$A$6:$B$6,F10)</f>
        <v>-0.15999999999999659</v>
      </c>
      <c r="G11">
        <f t="shared" ref="G11:AI11" si="0">TREND($A$7:$B$7,$A$6:$B$6,G10)</f>
        <v>-0.12000000000000455</v>
      </c>
      <c r="H11">
        <f t="shared" si="0"/>
        <v>-7.9999999999998295E-2</v>
      </c>
      <c r="I11">
        <f t="shared" si="0"/>
        <v>-3.9999999999992042E-2</v>
      </c>
      <c r="J11">
        <f t="shared" si="0"/>
        <v>0</v>
      </c>
      <c r="K11">
        <f t="shared" si="0"/>
        <v>4.0000000000006253E-2</v>
      </c>
      <c r="L11">
        <f t="shared" si="0"/>
        <v>7.9999999999998295E-2</v>
      </c>
      <c r="M11">
        <f t="shared" si="0"/>
        <v>0.12000000000000455</v>
      </c>
      <c r="N11">
        <f t="shared" si="0"/>
        <v>0.15999999999999659</v>
      </c>
      <c r="O11">
        <f t="shared" si="0"/>
        <v>0.20000000000000284</v>
      </c>
      <c r="P11">
        <f t="shared" si="0"/>
        <v>0.24000000000000909</v>
      </c>
      <c r="Q11">
        <f t="shared" si="0"/>
        <v>0.28000000000000114</v>
      </c>
      <c r="R11">
        <f t="shared" si="0"/>
        <v>0.32000000000000739</v>
      </c>
      <c r="S11">
        <f t="shared" si="0"/>
        <v>0.35999999999999943</v>
      </c>
      <c r="T11">
        <f t="shared" si="0"/>
        <v>0.40000000000000568</v>
      </c>
      <c r="U11">
        <f t="shared" si="0"/>
        <v>0.43999999999999773</v>
      </c>
      <c r="V11">
        <f t="shared" si="0"/>
        <v>0.48000000000000398</v>
      </c>
      <c r="W11">
        <f t="shared" si="0"/>
        <v>0.51999999999999602</v>
      </c>
      <c r="X11">
        <f t="shared" si="0"/>
        <v>0.56000000000000227</v>
      </c>
      <c r="Y11">
        <f t="shared" si="0"/>
        <v>0.60000000000000853</v>
      </c>
      <c r="Z11">
        <f t="shared" si="0"/>
        <v>0.64000000000000057</v>
      </c>
      <c r="AA11">
        <f t="shared" si="0"/>
        <v>0.68000000000000682</v>
      </c>
      <c r="AB11">
        <f t="shared" si="0"/>
        <v>0.71999999999999886</v>
      </c>
      <c r="AC11">
        <f t="shared" si="0"/>
        <v>0.76000000000000512</v>
      </c>
      <c r="AD11">
        <f t="shared" si="0"/>
        <v>0.79999999999999716</v>
      </c>
      <c r="AE11">
        <f t="shared" si="0"/>
        <v>0.84000000000000341</v>
      </c>
      <c r="AF11">
        <f t="shared" si="0"/>
        <v>0.87999999999999545</v>
      </c>
      <c r="AG11">
        <f t="shared" si="0"/>
        <v>0.92000000000000171</v>
      </c>
      <c r="AH11">
        <f t="shared" si="0"/>
        <v>0.96000000000000796</v>
      </c>
      <c r="AI11">
        <f t="shared" si="0"/>
        <v>1</v>
      </c>
    </row>
    <row r="13" spans="1:35" x14ac:dyDescent="0.2">
      <c r="A13" s="1" t="s">
        <v>62</v>
      </c>
    </row>
    <row r="14" spans="1:35" x14ac:dyDescent="0.2">
      <c r="A14" t="s">
        <v>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3.3320312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J11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</row>
    <row r="5" spans="1:3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</row>
    <row r="5" spans="1:3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AI11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-0.15999999999999659</v>
      </c>
      <c r="G6">
        <f>'Max Biofuel Blends'!G$11</f>
        <v>-0.12000000000000455</v>
      </c>
      <c r="H6">
        <f>'Max Biofuel Blends'!H$11</f>
        <v>-7.9999999999998295E-2</v>
      </c>
      <c r="I6">
        <f>'Max Biofuel Blends'!I$11</f>
        <v>-3.9999999999992042E-2</v>
      </c>
      <c r="J6">
        <f>'Max Biofuel Blends'!J$11</f>
        <v>0</v>
      </c>
      <c r="K6">
        <f>'Max Biofuel Blends'!K$11</f>
        <v>4.0000000000006253E-2</v>
      </c>
      <c r="L6">
        <f>'Max Biofuel Blends'!L$11</f>
        <v>7.9999999999998295E-2</v>
      </c>
      <c r="M6">
        <f>'Max Biofuel Blends'!M$11</f>
        <v>0.12000000000000455</v>
      </c>
      <c r="N6">
        <f>'Max Biofuel Blends'!N$11</f>
        <v>0.15999999999999659</v>
      </c>
      <c r="O6">
        <f>'Max Biofuel Blends'!O$11</f>
        <v>0.20000000000000284</v>
      </c>
      <c r="P6">
        <f>'Max Biofuel Blends'!P$11</f>
        <v>0.24000000000000909</v>
      </c>
      <c r="Q6">
        <f>'Max Biofuel Blends'!Q$11</f>
        <v>0.28000000000000114</v>
      </c>
      <c r="R6">
        <f>'Max Biofuel Blends'!R$11</f>
        <v>0.32000000000000739</v>
      </c>
      <c r="S6">
        <f>'Max Biofuel Blends'!S$11</f>
        <v>0.35999999999999943</v>
      </c>
      <c r="T6">
        <f>'Max Biofuel Blends'!T$11</f>
        <v>0.40000000000000568</v>
      </c>
      <c r="U6">
        <f>'Max Biofuel Blends'!U$11</f>
        <v>0.43999999999999773</v>
      </c>
      <c r="V6">
        <f>'Max Biofuel Blends'!V$11</f>
        <v>0.48000000000000398</v>
      </c>
      <c r="W6">
        <f>'Max Biofuel Blends'!W$11</f>
        <v>0.51999999999999602</v>
      </c>
      <c r="X6">
        <f>'Max Biofuel Blends'!X$11</f>
        <v>0.56000000000000227</v>
      </c>
      <c r="Y6">
        <f>'Max Biofuel Blends'!Y$11</f>
        <v>0.60000000000000853</v>
      </c>
      <c r="Z6">
        <f>'Max Biofuel Blends'!Z$11</f>
        <v>0.64000000000000057</v>
      </c>
      <c r="AA6">
        <f>'Max Biofuel Blends'!AA$11</f>
        <v>0.68000000000000682</v>
      </c>
      <c r="AB6">
        <f>'Max Biofuel Blends'!AB$11</f>
        <v>0.71999999999999886</v>
      </c>
      <c r="AC6">
        <f>'Max Biofuel Blends'!AC$11</f>
        <v>0.76000000000000512</v>
      </c>
      <c r="AD6">
        <f>'Max Biofuel Blends'!AD$11</f>
        <v>0.79999999999999716</v>
      </c>
      <c r="AE6">
        <f>'Max Biofuel Blends'!AE$11</f>
        <v>0.84000000000000341</v>
      </c>
      <c r="AF6">
        <f>'Max Biofuel Blends'!AF$11</f>
        <v>0.87999999999999545</v>
      </c>
      <c r="AG6">
        <f>'Max Biofuel Blends'!AG$11</f>
        <v>0.92000000000000171</v>
      </c>
      <c r="AH6">
        <f>'Max Biofuel Blends'!AH$11</f>
        <v>0.96000000000000796</v>
      </c>
      <c r="AI6">
        <f>'Max Biofuel Blends'!AI$11</f>
        <v>1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-0.15999999999999659</v>
      </c>
      <c r="G7">
        <f>'Max Biofuel Blends'!G$11</f>
        <v>-0.12000000000000455</v>
      </c>
      <c r="H7">
        <f>'Max Biofuel Blends'!H$11</f>
        <v>-7.9999999999998295E-2</v>
      </c>
      <c r="I7">
        <f>'Max Biofuel Blends'!I$11</f>
        <v>-3.9999999999992042E-2</v>
      </c>
      <c r="J7">
        <f>'Max Biofuel Blends'!J$11</f>
        <v>0</v>
      </c>
      <c r="K7">
        <f>'Max Biofuel Blends'!K$11</f>
        <v>4.0000000000006253E-2</v>
      </c>
      <c r="L7">
        <f>'Max Biofuel Blends'!L$11</f>
        <v>7.9999999999998295E-2</v>
      </c>
      <c r="M7">
        <f>'Max Biofuel Blends'!M$11</f>
        <v>0.12000000000000455</v>
      </c>
      <c r="N7">
        <f>'Max Biofuel Blends'!N$11</f>
        <v>0.15999999999999659</v>
      </c>
      <c r="O7">
        <f>'Max Biofuel Blends'!O$11</f>
        <v>0.20000000000000284</v>
      </c>
      <c r="P7">
        <f>'Max Biofuel Blends'!P$11</f>
        <v>0.24000000000000909</v>
      </c>
      <c r="Q7">
        <f>'Max Biofuel Blends'!Q$11</f>
        <v>0.28000000000000114</v>
      </c>
      <c r="R7">
        <f>'Max Biofuel Blends'!R$11</f>
        <v>0.32000000000000739</v>
      </c>
      <c r="S7">
        <f>'Max Biofuel Blends'!S$11</f>
        <v>0.35999999999999943</v>
      </c>
      <c r="T7">
        <f>'Max Biofuel Blends'!T$11</f>
        <v>0.40000000000000568</v>
      </c>
      <c r="U7">
        <f>'Max Biofuel Blends'!U$11</f>
        <v>0.43999999999999773</v>
      </c>
      <c r="V7">
        <f>'Max Biofuel Blends'!V$11</f>
        <v>0.48000000000000398</v>
      </c>
      <c r="W7">
        <f>'Max Biofuel Blends'!W$11</f>
        <v>0.51999999999999602</v>
      </c>
      <c r="X7">
        <f>'Max Biofuel Blends'!X$11</f>
        <v>0.56000000000000227</v>
      </c>
      <c r="Y7">
        <f>'Max Biofuel Blends'!Y$11</f>
        <v>0.60000000000000853</v>
      </c>
      <c r="Z7">
        <f>'Max Biofuel Blends'!Z$11</f>
        <v>0.64000000000000057</v>
      </c>
      <c r="AA7">
        <f>'Max Biofuel Blends'!AA$11</f>
        <v>0.68000000000000682</v>
      </c>
      <c r="AB7">
        <f>'Max Biofuel Blends'!AB$11</f>
        <v>0.71999999999999886</v>
      </c>
      <c r="AC7">
        <f>'Max Biofuel Blends'!AC$11</f>
        <v>0.76000000000000512</v>
      </c>
      <c r="AD7">
        <f>'Max Biofuel Blends'!AD$11</f>
        <v>0.79999999999999716</v>
      </c>
      <c r="AE7">
        <f>'Max Biofuel Blends'!AE$11</f>
        <v>0.84000000000000341</v>
      </c>
      <c r="AF7">
        <f>'Max Biofuel Blends'!AF$11</f>
        <v>0.87999999999999545</v>
      </c>
      <c r="AG7">
        <f>'Max Biofuel Blends'!AG$11</f>
        <v>0.92000000000000171</v>
      </c>
      <c r="AH7">
        <f>'Max Biofuel Blends'!AH$11</f>
        <v>0.96000000000000796</v>
      </c>
      <c r="AI7">
        <f>'Max Biofuel Blends'!AI$11</f>
        <v>1</v>
      </c>
    </row>
    <row r="8" spans="1:35" x14ac:dyDescent="0.2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-0.15999999999999659</v>
      </c>
      <c r="G6">
        <f>'Max Biofuel Blends'!G$11</f>
        <v>-0.12000000000000455</v>
      </c>
      <c r="H6">
        <f>'Max Biofuel Blends'!H$11</f>
        <v>-7.9999999999998295E-2</v>
      </c>
      <c r="I6">
        <f>'Max Biofuel Blends'!I$11</f>
        <v>-3.9999999999992042E-2</v>
      </c>
      <c r="J6">
        <f>'Max Biofuel Blends'!J$11</f>
        <v>0</v>
      </c>
      <c r="K6">
        <f>'Max Biofuel Blends'!K$11</f>
        <v>4.0000000000006253E-2</v>
      </c>
      <c r="L6">
        <f>'Max Biofuel Blends'!L$11</f>
        <v>7.9999999999998295E-2</v>
      </c>
      <c r="M6">
        <f>'Max Biofuel Blends'!M$11</f>
        <v>0.12000000000000455</v>
      </c>
      <c r="N6">
        <f>'Max Biofuel Blends'!N$11</f>
        <v>0.15999999999999659</v>
      </c>
      <c r="O6">
        <f>'Max Biofuel Blends'!O$11</f>
        <v>0.20000000000000284</v>
      </c>
      <c r="P6">
        <f>'Max Biofuel Blends'!P$11</f>
        <v>0.24000000000000909</v>
      </c>
      <c r="Q6">
        <f>'Max Biofuel Blends'!Q$11</f>
        <v>0.28000000000000114</v>
      </c>
      <c r="R6">
        <f>'Max Biofuel Blends'!R$11</f>
        <v>0.32000000000000739</v>
      </c>
      <c r="S6">
        <f>'Max Biofuel Blends'!S$11</f>
        <v>0.35999999999999943</v>
      </c>
      <c r="T6">
        <f>'Max Biofuel Blends'!T$11</f>
        <v>0.40000000000000568</v>
      </c>
      <c r="U6">
        <f>'Max Biofuel Blends'!U$11</f>
        <v>0.43999999999999773</v>
      </c>
      <c r="V6">
        <f>'Max Biofuel Blends'!V$11</f>
        <v>0.48000000000000398</v>
      </c>
      <c r="W6">
        <f>'Max Biofuel Blends'!W$11</f>
        <v>0.51999999999999602</v>
      </c>
      <c r="X6">
        <f>'Max Biofuel Blends'!X$11</f>
        <v>0.56000000000000227</v>
      </c>
      <c r="Y6">
        <f>'Max Biofuel Blends'!Y$11</f>
        <v>0.60000000000000853</v>
      </c>
      <c r="Z6">
        <f>'Max Biofuel Blends'!Z$11</f>
        <v>0.64000000000000057</v>
      </c>
      <c r="AA6">
        <f>'Max Biofuel Blends'!AA$11</f>
        <v>0.68000000000000682</v>
      </c>
      <c r="AB6">
        <f>'Max Biofuel Blends'!AB$11</f>
        <v>0.71999999999999886</v>
      </c>
      <c r="AC6">
        <f>'Max Biofuel Blends'!AC$11</f>
        <v>0.76000000000000512</v>
      </c>
      <c r="AD6">
        <f>'Max Biofuel Blends'!AD$11</f>
        <v>0.79999999999999716</v>
      </c>
      <c r="AE6">
        <f>'Max Biofuel Blends'!AE$11</f>
        <v>0.84000000000000341</v>
      </c>
      <c r="AF6">
        <f>'Max Biofuel Blends'!AF$11</f>
        <v>0.87999999999999545</v>
      </c>
      <c r="AG6">
        <f>'Max Biofuel Blends'!AG$11</f>
        <v>0.92000000000000171</v>
      </c>
      <c r="AH6">
        <f>'Max Biofuel Blends'!AH$11</f>
        <v>0.96000000000000796</v>
      </c>
      <c r="AI6">
        <f>'Max Biofuel Blends'!AI$11</f>
        <v>1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-0.15999999999999659</v>
      </c>
      <c r="G7">
        <f>'Max Biofuel Blends'!G$11</f>
        <v>-0.12000000000000455</v>
      </c>
      <c r="H7">
        <f>'Max Biofuel Blends'!H$11</f>
        <v>-7.9999999999998295E-2</v>
      </c>
      <c r="I7">
        <f>'Max Biofuel Blends'!I$11</f>
        <v>-3.9999999999992042E-2</v>
      </c>
      <c r="J7">
        <f>'Max Biofuel Blends'!J$11</f>
        <v>0</v>
      </c>
      <c r="K7">
        <f>'Max Biofuel Blends'!K$11</f>
        <v>4.0000000000006253E-2</v>
      </c>
      <c r="L7">
        <f>'Max Biofuel Blends'!L$11</f>
        <v>7.9999999999998295E-2</v>
      </c>
      <c r="M7">
        <f>'Max Biofuel Blends'!M$11</f>
        <v>0.12000000000000455</v>
      </c>
      <c r="N7">
        <f>'Max Biofuel Blends'!N$11</f>
        <v>0.15999999999999659</v>
      </c>
      <c r="O7">
        <f>'Max Biofuel Blends'!O$11</f>
        <v>0.20000000000000284</v>
      </c>
      <c r="P7">
        <f>'Max Biofuel Blends'!P$11</f>
        <v>0.24000000000000909</v>
      </c>
      <c r="Q7">
        <f>'Max Biofuel Blends'!Q$11</f>
        <v>0.28000000000000114</v>
      </c>
      <c r="R7">
        <f>'Max Biofuel Blends'!R$11</f>
        <v>0.32000000000000739</v>
      </c>
      <c r="S7">
        <f>'Max Biofuel Blends'!S$11</f>
        <v>0.35999999999999943</v>
      </c>
      <c r="T7">
        <f>'Max Biofuel Blends'!T$11</f>
        <v>0.40000000000000568</v>
      </c>
      <c r="U7">
        <f>'Max Biofuel Blends'!U$11</f>
        <v>0.43999999999999773</v>
      </c>
      <c r="V7">
        <f>'Max Biofuel Blends'!V$11</f>
        <v>0.48000000000000398</v>
      </c>
      <c r="W7">
        <f>'Max Biofuel Blends'!W$11</f>
        <v>0.51999999999999602</v>
      </c>
      <c r="X7">
        <f>'Max Biofuel Blends'!X$11</f>
        <v>0.56000000000000227</v>
      </c>
      <c r="Y7">
        <f>'Max Biofuel Blends'!Y$11</f>
        <v>0.60000000000000853</v>
      </c>
      <c r="Z7">
        <f>'Max Biofuel Blends'!Z$11</f>
        <v>0.64000000000000057</v>
      </c>
      <c r="AA7">
        <f>'Max Biofuel Blends'!AA$11</f>
        <v>0.68000000000000682</v>
      </c>
      <c r="AB7">
        <f>'Max Biofuel Blends'!AB$11</f>
        <v>0.71999999999999886</v>
      </c>
      <c r="AC7">
        <f>'Max Biofuel Blends'!AC$11</f>
        <v>0.76000000000000512</v>
      </c>
      <c r="AD7">
        <f>'Max Biofuel Blends'!AD$11</f>
        <v>0.79999999999999716</v>
      </c>
      <c r="AE7">
        <f>'Max Biofuel Blends'!AE$11</f>
        <v>0.84000000000000341</v>
      </c>
      <c r="AF7">
        <f>'Max Biofuel Blends'!AF$11</f>
        <v>0.87999999999999545</v>
      </c>
      <c r="AG7">
        <f>'Max Biofuel Blends'!AG$11</f>
        <v>0.92000000000000171</v>
      </c>
      <c r="AH7">
        <f>'Max Biofuel Blends'!AH$11</f>
        <v>0.96000000000000796</v>
      </c>
      <c r="AI7">
        <f>'Max Biofuel Blends'!AI$11</f>
        <v>1</v>
      </c>
    </row>
    <row r="8" spans="1:35" x14ac:dyDescent="0.2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-0.15999999999999659</v>
      </c>
      <c r="G6">
        <f>'Max Biofuel Blends'!G$11</f>
        <v>-0.12000000000000455</v>
      </c>
      <c r="H6">
        <f>'Max Biofuel Blends'!H$11</f>
        <v>-7.9999999999998295E-2</v>
      </c>
      <c r="I6">
        <f>'Max Biofuel Blends'!I$11</f>
        <v>-3.9999999999992042E-2</v>
      </c>
      <c r="J6">
        <f>'Max Biofuel Blends'!J$11</f>
        <v>0</v>
      </c>
      <c r="K6">
        <f>'Max Biofuel Blends'!K$11</f>
        <v>4.0000000000006253E-2</v>
      </c>
      <c r="L6">
        <f>'Max Biofuel Blends'!L$11</f>
        <v>7.9999999999998295E-2</v>
      </c>
      <c r="M6">
        <f>'Max Biofuel Blends'!M$11</f>
        <v>0.12000000000000455</v>
      </c>
      <c r="N6">
        <f>'Max Biofuel Blends'!N$11</f>
        <v>0.15999999999999659</v>
      </c>
      <c r="O6">
        <f>'Max Biofuel Blends'!O$11</f>
        <v>0.20000000000000284</v>
      </c>
      <c r="P6">
        <f>'Max Biofuel Blends'!P$11</f>
        <v>0.24000000000000909</v>
      </c>
      <c r="Q6">
        <f>'Max Biofuel Blends'!Q$11</f>
        <v>0.28000000000000114</v>
      </c>
      <c r="R6">
        <f>'Max Biofuel Blends'!R$11</f>
        <v>0.32000000000000739</v>
      </c>
      <c r="S6">
        <f>'Max Biofuel Blends'!S$11</f>
        <v>0.35999999999999943</v>
      </c>
      <c r="T6">
        <f>'Max Biofuel Blends'!T$11</f>
        <v>0.40000000000000568</v>
      </c>
      <c r="U6">
        <f>'Max Biofuel Blends'!U$11</f>
        <v>0.43999999999999773</v>
      </c>
      <c r="V6">
        <f>'Max Biofuel Blends'!V$11</f>
        <v>0.48000000000000398</v>
      </c>
      <c r="W6">
        <f>'Max Biofuel Blends'!W$11</f>
        <v>0.51999999999999602</v>
      </c>
      <c r="X6">
        <f>'Max Biofuel Blends'!X$11</f>
        <v>0.56000000000000227</v>
      </c>
      <c r="Y6">
        <f>'Max Biofuel Blends'!Y$11</f>
        <v>0.60000000000000853</v>
      </c>
      <c r="Z6">
        <f>'Max Biofuel Blends'!Z$11</f>
        <v>0.64000000000000057</v>
      </c>
      <c r="AA6">
        <f>'Max Biofuel Blends'!AA$11</f>
        <v>0.68000000000000682</v>
      </c>
      <c r="AB6">
        <f>'Max Biofuel Blends'!AB$11</f>
        <v>0.71999999999999886</v>
      </c>
      <c r="AC6">
        <f>'Max Biofuel Blends'!AC$11</f>
        <v>0.76000000000000512</v>
      </c>
      <c r="AD6">
        <f>'Max Biofuel Blends'!AD$11</f>
        <v>0.79999999999999716</v>
      </c>
      <c r="AE6">
        <f>'Max Biofuel Blends'!AE$11</f>
        <v>0.84000000000000341</v>
      </c>
      <c r="AF6">
        <f>'Max Biofuel Blends'!AF$11</f>
        <v>0.87999999999999545</v>
      </c>
      <c r="AG6">
        <f>'Max Biofuel Blends'!AG$11</f>
        <v>0.92000000000000171</v>
      </c>
      <c r="AH6">
        <f>'Max Biofuel Blends'!AH$11</f>
        <v>0.96000000000000796</v>
      </c>
      <c r="AI6">
        <f>'Max Biofuel Blends'!AI$11</f>
        <v>1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-0.15999999999999659</v>
      </c>
      <c r="G7">
        <f>'Max Biofuel Blends'!G$11</f>
        <v>-0.12000000000000455</v>
      </c>
      <c r="H7">
        <f>'Max Biofuel Blends'!H$11</f>
        <v>-7.9999999999998295E-2</v>
      </c>
      <c r="I7">
        <f>'Max Biofuel Blends'!I$11</f>
        <v>-3.9999999999992042E-2</v>
      </c>
      <c r="J7">
        <f>'Max Biofuel Blends'!J$11</f>
        <v>0</v>
      </c>
      <c r="K7">
        <f>'Max Biofuel Blends'!K$11</f>
        <v>4.0000000000006253E-2</v>
      </c>
      <c r="L7">
        <f>'Max Biofuel Blends'!L$11</f>
        <v>7.9999999999998295E-2</v>
      </c>
      <c r="M7">
        <f>'Max Biofuel Blends'!M$11</f>
        <v>0.12000000000000455</v>
      </c>
      <c r="N7">
        <f>'Max Biofuel Blends'!N$11</f>
        <v>0.15999999999999659</v>
      </c>
      <c r="O7">
        <f>'Max Biofuel Blends'!O$11</f>
        <v>0.20000000000000284</v>
      </c>
      <c r="P7">
        <f>'Max Biofuel Blends'!P$11</f>
        <v>0.24000000000000909</v>
      </c>
      <c r="Q7">
        <f>'Max Biofuel Blends'!Q$11</f>
        <v>0.28000000000000114</v>
      </c>
      <c r="R7">
        <f>'Max Biofuel Blends'!R$11</f>
        <v>0.32000000000000739</v>
      </c>
      <c r="S7">
        <f>'Max Biofuel Blends'!S$11</f>
        <v>0.35999999999999943</v>
      </c>
      <c r="T7">
        <f>'Max Biofuel Blends'!T$11</f>
        <v>0.40000000000000568</v>
      </c>
      <c r="U7">
        <f>'Max Biofuel Blends'!U$11</f>
        <v>0.43999999999999773</v>
      </c>
      <c r="V7">
        <f>'Max Biofuel Blends'!V$11</f>
        <v>0.48000000000000398</v>
      </c>
      <c r="W7">
        <f>'Max Biofuel Blends'!W$11</f>
        <v>0.51999999999999602</v>
      </c>
      <c r="X7">
        <f>'Max Biofuel Blends'!X$11</f>
        <v>0.56000000000000227</v>
      </c>
      <c r="Y7">
        <f>'Max Biofuel Blends'!Y$11</f>
        <v>0.60000000000000853</v>
      </c>
      <c r="Z7">
        <f>'Max Biofuel Blends'!Z$11</f>
        <v>0.64000000000000057</v>
      </c>
      <c r="AA7">
        <f>'Max Biofuel Blends'!AA$11</f>
        <v>0.68000000000000682</v>
      </c>
      <c r="AB7">
        <f>'Max Biofuel Blends'!AB$11</f>
        <v>0.71999999999999886</v>
      </c>
      <c r="AC7">
        <f>'Max Biofuel Blends'!AC$11</f>
        <v>0.76000000000000512</v>
      </c>
      <c r="AD7">
        <f>'Max Biofuel Blends'!AD$11</f>
        <v>0.79999999999999716</v>
      </c>
      <c r="AE7">
        <f>'Max Biofuel Blends'!AE$11</f>
        <v>0.84000000000000341</v>
      </c>
      <c r="AF7">
        <f>'Max Biofuel Blends'!AF$11</f>
        <v>0.87999999999999545</v>
      </c>
      <c r="AG7">
        <f>'Max Biofuel Blends'!AG$11</f>
        <v>0.92000000000000171</v>
      </c>
      <c r="AH7">
        <f>'Max Biofuel Blends'!AH$11</f>
        <v>0.96000000000000796</v>
      </c>
      <c r="AI7">
        <f>'Max Biofuel Blends'!AI$11</f>
        <v>1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-0.15999999999999659</v>
      </c>
      <c r="G6">
        <f>'Max Biofuel Blends'!G$11</f>
        <v>-0.12000000000000455</v>
      </c>
      <c r="H6">
        <f>'Max Biofuel Blends'!H$11</f>
        <v>-7.9999999999998295E-2</v>
      </c>
      <c r="I6">
        <f>'Max Biofuel Blends'!I$11</f>
        <v>-3.9999999999992042E-2</v>
      </c>
      <c r="J6">
        <f>'Max Biofuel Blends'!J$11</f>
        <v>0</v>
      </c>
      <c r="K6">
        <f>'Max Biofuel Blends'!K$11</f>
        <v>4.0000000000006253E-2</v>
      </c>
      <c r="L6">
        <f>'Max Biofuel Blends'!L$11</f>
        <v>7.9999999999998295E-2</v>
      </c>
      <c r="M6">
        <f>'Max Biofuel Blends'!M$11</f>
        <v>0.12000000000000455</v>
      </c>
      <c r="N6">
        <f>'Max Biofuel Blends'!N$11</f>
        <v>0.15999999999999659</v>
      </c>
      <c r="O6">
        <f>'Max Biofuel Blends'!O$11</f>
        <v>0.20000000000000284</v>
      </c>
      <c r="P6">
        <f>'Max Biofuel Blends'!P$11</f>
        <v>0.24000000000000909</v>
      </c>
      <c r="Q6">
        <f>'Max Biofuel Blends'!Q$11</f>
        <v>0.28000000000000114</v>
      </c>
      <c r="R6">
        <f>'Max Biofuel Blends'!R$11</f>
        <v>0.32000000000000739</v>
      </c>
      <c r="S6">
        <f>'Max Biofuel Blends'!S$11</f>
        <v>0.35999999999999943</v>
      </c>
      <c r="T6">
        <f>'Max Biofuel Blends'!T$11</f>
        <v>0.40000000000000568</v>
      </c>
      <c r="U6">
        <f>'Max Biofuel Blends'!U$11</f>
        <v>0.43999999999999773</v>
      </c>
      <c r="V6">
        <f>'Max Biofuel Blends'!V$11</f>
        <v>0.48000000000000398</v>
      </c>
      <c r="W6">
        <f>'Max Biofuel Blends'!W$11</f>
        <v>0.51999999999999602</v>
      </c>
      <c r="X6">
        <f>'Max Biofuel Blends'!X$11</f>
        <v>0.56000000000000227</v>
      </c>
      <c r="Y6">
        <f>'Max Biofuel Blends'!Y$11</f>
        <v>0.60000000000000853</v>
      </c>
      <c r="Z6">
        <f>'Max Biofuel Blends'!Z$11</f>
        <v>0.64000000000000057</v>
      </c>
      <c r="AA6">
        <f>'Max Biofuel Blends'!AA$11</f>
        <v>0.68000000000000682</v>
      </c>
      <c r="AB6">
        <f>'Max Biofuel Blends'!AB$11</f>
        <v>0.71999999999999886</v>
      </c>
      <c r="AC6">
        <f>'Max Biofuel Blends'!AC$11</f>
        <v>0.76000000000000512</v>
      </c>
      <c r="AD6">
        <f>'Max Biofuel Blends'!AD$11</f>
        <v>0.79999999999999716</v>
      </c>
      <c r="AE6">
        <f>'Max Biofuel Blends'!AE$11</f>
        <v>0.84000000000000341</v>
      </c>
      <c r="AF6">
        <f>'Max Biofuel Blends'!AF$11</f>
        <v>0.87999999999999545</v>
      </c>
      <c r="AG6">
        <f>'Max Biofuel Blends'!AG$11</f>
        <v>0.92000000000000171</v>
      </c>
      <c r="AH6">
        <f>'Max Biofuel Blends'!AH$11</f>
        <v>0.96000000000000796</v>
      </c>
      <c r="AI6">
        <f>'Max Biofuel Blends'!AI$11</f>
        <v>1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-0.15999999999999659</v>
      </c>
      <c r="G7">
        <f>'Max Biofuel Blends'!G$11</f>
        <v>-0.12000000000000455</v>
      </c>
      <c r="H7">
        <f>'Max Biofuel Blends'!H$11</f>
        <v>-7.9999999999998295E-2</v>
      </c>
      <c r="I7">
        <f>'Max Biofuel Blends'!I$11</f>
        <v>-3.9999999999992042E-2</v>
      </c>
      <c r="J7">
        <f>'Max Biofuel Blends'!J$11</f>
        <v>0</v>
      </c>
      <c r="K7">
        <f>'Max Biofuel Blends'!K$11</f>
        <v>4.0000000000006253E-2</v>
      </c>
      <c r="L7">
        <f>'Max Biofuel Blends'!L$11</f>
        <v>7.9999999999998295E-2</v>
      </c>
      <c r="M7">
        <f>'Max Biofuel Blends'!M$11</f>
        <v>0.12000000000000455</v>
      </c>
      <c r="N7">
        <f>'Max Biofuel Blends'!N$11</f>
        <v>0.15999999999999659</v>
      </c>
      <c r="O7">
        <f>'Max Biofuel Blends'!O$11</f>
        <v>0.20000000000000284</v>
      </c>
      <c r="P7">
        <f>'Max Biofuel Blends'!P$11</f>
        <v>0.24000000000000909</v>
      </c>
      <c r="Q7">
        <f>'Max Biofuel Blends'!Q$11</f>
        <v>0.28000000000000114</v>
      </c>
      <c r="R7">
        <f>'Max Biofuel Blends'!R$11</f>
        <v>0.32000000000000739</v>
      </c>
      <c r="S7">
        <f>'Max Biofuel Blends'!S$11</f>
        <v>0.35999999999999943</v>
      </c>
      <c r="T7">
        <f>'Max Biofuel Blends'!T$11</f>
        <v>0.40000000000000568</v>
      </c>
      <c r="U7">
        <f>'Max Biofuel Blends'!U$11</f>
        <v>0.43999999999999773</v>
      </c>
      <c r="V7">
        <f>'Max Biofuel Blends'!V$11</f>
        <v>0.48000000000000398</v>
      </c>
      <c r="W7">
        <f>'Max Biofuel Blends'!W$11</f>
        <v>0.51999999999999602</v>
      </c>
      <c r="X7">
        <f>'Max Biofuel Blends'!X$11</f>
        <v>0.56000000000000227</v>
      </c>
      <c r="Y7">
        <f>'Max Biofuel Blends'!Y$11</f>
        <v>0.60000000000000853</v>
      </c>
      <c r="Z7">
        <f>'Max Biofuel Blends'!Z$11</f>
        <v>0.64000000000000057</v>
      </c>
      <c r="AA7">
        <f>'Max Biofuel Blends'!AA$11</f>
        <v>0.68000000000000682</v>
      </c>
      <c r="AB7">
        <f>'Max Biofuel Blends'!AB$11</f>
        <v>0.71999999999999886</v>
      </c>
      <c r="AC7">
        <f>'Max Biofuel Blends'!AC$11</f>
        <v>0.76000000000000512</v>
      </c>
      <c r="AD7">
        <f>'Max Biofuel Blends'!AD$11</f>
        <v>0.79999999999999716</v>
      </c>
      <c r="AE7">
        <f>'Max Biofuel Blends'!AE$11</f>
        <v>0.84000000000000341</v>
      </c>
      <c r="AF7">
        <f>'Max Biofuel Blends'!AF$11</f>
        <v>0.87999999999999545</v>
      </c>
      <c r="AG7">
        <f>'Max Biofuel Blends'!AG$11</f>
        <v>0.92000000000000171</v>
      </c>
      <c r="AH7">
        <f>'Max Biofuel Blends'!AH$11</f>
        <v>0.96000000000000796</v>
      </c>
      <c r="AI7">
        <f>'Max Biofuel Blends'!AI$11</f>
        <v>1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-0.15999999999999659</v>
      </c>
      <c r="G6">
        <f>'Max Biofuel Blends'!G$11</f>
        <v>-0.12000000000000455</v>
      </c>
      <c r="H6">
        <f>'Max Biofuel Blends'!H$11</f>
        <v>-7.9999999999998295E-2</v>
      </c>
      <c r="I6">
        <f>'Max Biofuel Blends'!I$11</f>
        <v>-3.9999999999992042E-2</v>
      </c>
      <c r="J6">
        <f>'Max Biofuel Blends'!J$11</f>
        <v>0</v>
      </c>
      <c r="K6">
        <f>'Max Biofuel Blends'!K$11</f>
        <v>4.0000000000006253E-2</v>
      </c>
      <c r="L6">
        <f>'Max Biofuel Blends'!L$11</f>
        <v>7.9999999999998295E-2</v>
      </c>
      <c r="M6">
        <f>'Max Biofuel Blends'!M$11</f>
        <v>0.12000000000000455</v>
      </c>
      <c r="N6">
        <f>'Max Biofuel Blends'!N$11</f>
        <v>0.15999999999999659</v>
      </c>
      <c r="O6">
        <f>'Max Biofuel Blends'!O$11</f>
        <v>0.20000000000000284</v>
      </c>
      <c r="P6">
        <f>'Max Biofuel Blends'!P$11</f>
        <v>0.24000000000000909</v>
      </c>
      <c r="Q6">
        <f>'Max Biofuel Blends'!Q$11</f>
        <v>0.28000000000000114</v>
      </c>
      <c r="R6">
        <f>'Max Biofuel Blends'!R$11</f>
        <v>0.32000000000000739</v>
      </c>
      <c r="S6">
        <f>'Max Biofuel Blends'!S$11</f>
        <v>0.35999999999999943</v>
      </c>
      <c r="T6">
        <f>'Max Biofuel Blends'!T$11</f>
        <v>0.40000000000000568</v>
      </c>
      <c r="U6">
        <f>'Max Biofuel Blends'!U$11</f>
        <v>0.43999999999999773</v>
      </c>
      <c r="V6">
        <f>'Max Biofuel Blends'!V$11</f>
        <v>0.48000000000000398</v>
      </c>
      <c r="W6">
        <f>'Max Biofuel Blends'!W$11</f>
        <v>0.51999999999999602</v>
      </c>
      <c r="X6">
        <f>'Max Biofuel Blends'!X$11</f>
        <v>0.56000000000000227</v>
      </c>
      <c r="Y6">
        <f>'Max Biofuel Blends'!Y$11</f>
        <v>0.60000000000000853</v>
      </c>
      <c r="Z6">
        <f>'Max Biofuel Blends'!Z$11</f>
        <v>0.64000000000000057</v>
      </c>
      <c r="AA6">
        <f>'Max Biofuel Blends'!AA$11</f>
        <v>0.68000000000000682</v>
      </c>
      <c r="AB6">
        <f>'Max Biofuel Blends'!AB$11</f>
        <v>0.71999999999999886</v>
      </c>
      <c r="AC6">
        <f>'Max Biofuel Blends'!AC$11</f>
        <v>0.76000000000000512</v>
      </c>
      <c r="AD6">
        <f>'Max Biofuel Blends'!AD$11</f>
        <v>0.79999999999999716</v>
      </c>
      <c r="AE6">
        <f>'Max Biofuel Blends'!AE$11</f>
        <v>0.84000000000000341</v>
      </c>
      <c r="AF6">
        <f>'Max Biofuel Blends'!AF$11</f>
        <v>0.87999999999999545</v>
      </c>
      <c r="AG6">
        <f>'Max Biofuel Blends'!AG$11</f>
        <v>0.92000000000000171</v>
      </c>
      <c r="AH6">
        <f>'Max Biofuel Blends'!AH$11</f>
        <v>0.96000000000000796</v>
      </c>
      <c r="AI6">
        <f>'Max Biofuel Blends'!AI$11</f>
        <v>1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-0.15999999999999659</v>
      </c>
      <c r="G7">
        <f>'Max Biofuel Blends'!G$11</f>
        <v>-0.12000000000000455</v>
      </c>
      <c r="H7">
        <f>'Max Biofuel Blends'!H$11</f>
        <v>-7.9999999999998295E-2</v>
      </c>
      <c r="I7">
        <f>'Max Biofuel Blends'!I$11</f>
        <v>-3.9999999999992042E-2</v>
      </c>
      <c r="J7">
        <f>'Max Biofuel Blends'!J$11</f>
        <v>0</v>
      </c>
      <c r="K7">
        <f>'Max Biofuel Blends'!K$11</f>
        <v>4.0000000000006253E-2</v>
      </c>
      <c r="L7">
        <f>'Max Biofuel Blends'!L$11</f>
        <v>7.9999999999998295E-2</v>
      </c>
      <c r="M7">
        <f>'Max Biofuel Blends'!M$11</f>
        <v>0.12000000000000455</v>
      </c>
      <c r="N7">
        <f>'Max Biofuel Blends'!N$11</f>
        <v>0.15999999999999659</v>
      </c>
      <c r="O7">
        <f>'Max Biofuel Blends'!O$11</f>
        <v>0.20000000000000284</v>
      </c>
      <c r="P7">
        <f>'Max Biofuel Blends'!P$11</f>
        <v>0.24000000000000909</v>
      </c>
      <c r="Q7">
        <f>'Max Biofuel Blends'!Q$11</f>
        <v>0.28000000000000114</v>
      </c>
      <c r="R7">
        <f>'Max Biofuel Blends'!R$11</f>
        <v>0.32000000000000739</v>
      </c>
      <c r="S7">
        <f>'Max Biofuel Blends'!S$11</f>
        <v>0.35999999999999943</v>
      </c>
      <c r="T7">
        <f>'Max Biofuel Blends'!T$11</f>
        <v>0.40000000000000568</v>
      </c>
      <c r="U7">
        <f>'Max Biofuel Blends'!U$11</f>
        <v>0.43999999999999773</v>
      </c>
      <c r="V7">
        <f>'Max Biofuel Blends'!V$11</f>
        <v>0.48000000000000398</v>
      </c>
      <c r="W7">
        <f>'Max Biofuel Blends'!W$11</f>
        <v>0.51999999999999602</v>
      </c>
      <c r="X7">
        <f>'Max Biofuel Blends'!X$11</f>
        <v>0.56000000000000227</v>
      </c>
      <c r="Y7">
        <f>'Max Biofuel Blends'!Y$11</f>
        <v>0.60000000000000853</v>
      </c>
      <c r="Z7">
        <f>'Max Biofuel Blends'!Z$11</f>
        <v>0.64000000000000057</v>
      </c>
      <c r="AA7">
        <f>'Max Biofuel Blends'!AA$11</f>
        <v>0.68000000000000682</v>
      </c>
      <c r="AB7">
        <f>'Max Biofuel Blends'!AB$11</f>
        <v>0.71999999999999886</v>
      </c>
      <c r="AC7">
        <f>'Max Biofuel Blends'!AC$11</f>
        <v>0.76000000000000512</v>
      </c>
      <c r="AD7">
        <f>'Max Biofuel Blends'!AD$11</f>
        <v>0.79999999999999716</v>
      </c>
      <c r="AE7">
        <f>'Max Biofuel Blends'!AE$11</f>
        <v>0.84000000000000341</v>
      </c>
      <c r="AF7">
        <f>'Max Biofuel Blends'!AF$11</f>
        <v>0.87999999999999545</v>
      </c>
      <c r="AG7">
        <f>'Max Biofuel Blends'!AG$11</f>
        <v>0.92000000000000171</v>
      </c>
      <c r="AH7">
        <f>'Max Biofuel Blends'!AH$11</f>
        <v>0.96000000000000796</v>
      </c>
      <c r="AI7">
        <f>'Max Biofuel Blends'!AI$11</f>
        <v>1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-0.15999999999999659</v>
      </c>
      <c r="G6">
        <f>'Max Biofuel Blends'!G$11</f>
        <v>-0.12000000000000455</v>
      </c>
      <c r="H6">
        <f>'Max Biofuel Blends'!H$11</f>
        <v>-7.9999999999998295E-2</v>
      </c>
      <c r="I6">
        <f>'Max Biofuel Blends'!I$11</f>
        <v>-3.9999999999992042E-2</v>
      </c>
      <c r="J6">
        <f>'Max Biofuel Blends'!J$11</f>
        <v>0</v>
      </c>
      <c r="K6">
        <f>'Max Biofuel Blends'!K$11</f>
        <v>4.0000000000006253E-2</v>
      </c>
      <c r="L6">
        <f>'Max Biofuel Blends'!L$11</f>
        <v>7.9999999999998295E-2</v>
      </c>
      <c r="M6">
        <f>'Max Biofuel Blends'!M$11</f>
        <v>0.12000000000000455</v>
      </c>
      <c r="N6">
        <f>'Max Biofuel Blends'!N$11</f>
        <v>0.15999999999999659</v>
      </c>
      <c r="O6">
        <f>'Max Biofuel Blends'!O$11</f>
        <v>0.20000000000000284</v>
      </c>
      <c r="P6">
        <f>'Max Biofuel Blends'!P$11</f>
        <v>0.24000000000000909</v>
      </c>
      <c r="Q6">
        <f>'Max Biofuel Blends'!Q$11</f>
        <v>0.28000000000000114</v>
      </c>
      <c r="R6">
        <f>'Max Biofuel Blends'!R$11</f>
        <v>0.32000000000000739</v>
      </c>
      <c r="S6">
        <f>'Max Biofuel Blends'!S$11</f>
        <v>0.35999999999999943</v>
      </c>
      <c r="T6">
        <f>'Max Biofuel Blends'!T$11</f>
        <v>0.40000000000000568</v>
      </c>
      <c r="U6">
        <f>'Max Biofuel Blends'!U$11</f>
        <v>0.43999999999999773</v>
      </c>
      <c r="V6">
        <f>'Max Biofuel Blends'!V$11</f>
        <v>0.48000000000000398</v>
      </c>
      <c r="W6">
        <f>'Max Biofuel Blends'!W$11</f>
        <v>0.51999999999999602</v>
      </c>
      <c r="X6">
        <f>'Max Biofuel Blends'!X$11</f>
        <v>0.56000000000000227</v>
      </c>
      <c r="Y6">
        <f>'Max Biofuel Blends'!Y$11</f>
        <v>0.60000000000000853</v>
      </c>
      <c r="Z6">
        <f>'Max Biofuel Blends'!Z$11</f>
        <v>0.64000000000000057</v>
      </c>
      <c r="AA6">
        <f>'Max Biofuel Blends'!AA$11</f>
        <v>0.68000000000000682</v>
      </c>
      <c r="AB6">
        <f>'Max Biofuel Blends'!AB$11</f>
        <v>0.71999999999999886</v>
      </c>
      <c r="AC6">
        <f>'Max Biofuel Blends'!AC$11</f>
        <v>0.76000000000000512</v>
      </c>
      <c r="AD6">
        <f>'Max Biofuel Blends'!AD$11</f>
        <v>0.79999999999999716</v>
      </c>
      <c r="AE6">
        <f>'Max Biofuel Blends'!AE$11</f>
        <v>0.84000000000000341</v>
      </c>
      <c r="AF6">
        <f>'Max Biofuel Blends'!AF$11</f>
        <v>0.87999999999999545</v>
      </c>
      <c r="AG6">
        <f>'Max Biofuel Blends'!AG$11</f>
        <v>0.92000000000000171</v>
      </c>
      <c r="AH6">
        <f>'Max Biofuel Blends'!AH$11</f>
        <v>0.96000000000000796</v>
      </c>
      <c r="AI6">
        <f>'Max Biofuel Blends'!AI$11</f>
        <v>1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-0.15999999999999659</v>
      </c>
      <c r="G7">
        <f>'Max Biofuel Blends'!G$11</f>
        <v>-0.12000000000000455</v>
      </c>
      <c r="H7">
        <f>'Max Biofuel Blends'!H$11</f>
        <v>-7.9999999999998295E-2</v>
      </c>
      <c r="I7">
        <f>'Max Biofuel Blends'!I$11</f>
        <v>-3.9999999999992042E-2</v>
      </c>
      <c r="J7">
        <f>'Max Biofuel Blends'!J$11</f>
        <v>0</v>
      </c>
      <c r="K7">
        <f>'Max Biofuel Blends'!K$11</f>
        <v>4.0000000000006253E-2</v>
      </c>
      <c r="L7">
        <f>'Max Biofuel Blends'!L$11</f>
        <v>7.9999999999998295E-2</v>
      </c>
      <c r="M7">
        <f>'Max Biofuel Blends'!M$11</f>
        <v>0.12000000000000455</v>
      </c>
      <c r="N7">
        <f>'Max Biofuel Blends'!N$11</f>
        <v>0.15999999999999659</v>
      </c>
      <c r="O7">
        <f>'Max Biofuel Blends'!O$11</f>
        <v>0.20000000000000284</v>
      </c>
      <c r="P7">
        <f>'Max Biofuel Blends'!P$11</f>
        <v>0.24000000000000909</v>
      </c>
      <c r="Q7">
        <f>'Max Biofuel Blends'!Q$11</f>
        <v>0.28000000000000114</v>
      </c>
      <c r="R7">
        <f>'Max Biofuel Blends'!R$11</f>
        <v>0.32000000000000739</v>
      </c>
      <c r="S7">
        <f>'Max Biofuel Blends'!S$11</f>
        <v>0.35999999999999943</v>
      </c>
      <c r="T7">
        <f>'Max Biofuel Blends'!T$11</f>
        <v>0.40000000000000568</v>
      </c>
      <c r="U7">
        <f>'Max Biofuel Blends'!U$11</f>
        <v>0.43999999999999773</v>
      </c>
      <c r="V7">
        <f>'Max Biofuel Blends'!V$11</f>
        <v>0.48000000000000398</v>
      </c>
      <c r="W7">
        <f>'Max Biofuel Blends'!W$11</f>
        <v>0.51999999999999602</v>
      </c>
      <c r="X7">
        <f>'Max Biofuel Blends'!X$11</f>
        <v>0.56000000000000227</v>
      </c>
      <c r="Y7">
        <f>'Max Biofuel Blends'!Y$11</f>
        <v>0.60000000000000853</v>
      </c>
      <c r="Z7">
        <f>'Max Biofuel Blends'!Z$11</f>
        <v>0.64000000000000057</v>
      </c>
      <c r="AA7">
        <f>'Max Biofuel Blends'!AA$11</f>
        <v>0.68000000000000682</v>
      </c>
      <c r="AB7">
        <f>'Max Biofuel Blends'!AB$11</f>
        <v>0.71999999999999886</v>
      </c>
      <c r="AC7">
        <f>'Max Biofuel Blends'!AC$11</f>
        <v>0.76000000000000512</v>
      </c>
      <c r="AD7">
        <f>'Max Biofuel Blends'!AD$11</f>
        <v>0.79999999999999716</v>
      </c>
      <c r="AE7">
        <f>'Max Biofuel Blends'!AE$11</f>
        <v>0.84000000000000341</v>
      </c>
      <c r="AF7">
        <f>'Max Biofuel Blends'!AF$11</f>
        <v>0.87999999999999545</v>
      </c>
      <c r="AG7">
        <f>'Max Biofuel Blends'!AG$11</f>
        <v>0.92000000000000171</v>
      </c>
      <c r="AH7">
        <f>'Max Biofuel Blends'!AH$11</f>
        <v>0.96000000000000796</v>
      </c>
      <c r="AI7">
        <f>'Max Biofuel Blends'!AI$11</f>
        <v>1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I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5" ht="32" x14ac:dyDescent="0.2">
      <c r="A1" s="9" t="s">
        <v>75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J11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">
      <c r="A6" t="s">
        <v>6</v>
      </c>
      <c r="B6" s="4">
        <f t="shared" ref="B6:AJ6" si="0">max_biogas</f>
        <v>0.25</v>
      </c>
      <c r="C6" s="4">
        <f t="shared" si="0"/>
        <v>0.25</v>
      </c>
      <c r="D6" s="4">
        <f t="shared" si="0"/>
        <v>0.25</v>
      </c>
      <c r="E6" s="4">
        <f t="shared" si="0"/>
        <v>0.25</v>
      </c>
      <c r="F6" s="4">
        <f t="shared" si="0"/>
        <v>0.25</v>
      </c>
      <c r="G6" s="4">
        <f t="shared" si="0"/>
        <v>0.25</v>
      </c>
      <c r="H6" s="4">
        <f t="shared" si="0"/>
        <v>0.25</v>
      </c>
      <c r="I6" s="4">
        <f t="shared" si="0"/>
        <v>0.25</v>
      </c>
      <c r="J6" s="4">
        <f t="shared" si="0"/>
        <v>0.25</v>
      </c>
      <c r="K6" s="4">
        <f t="shared" si="0"/>
        <v>0.25</v>
      </c>
      <c r="L6" s="4">
        <f t="shared" si="0"/>
        <v>0.25</v>
      </c>
      <c r="M6" s="4">
        <f t="shared" si="0"/>
        <v>0.25</v>
      </c>
      <c r="N6" s="4">
        <f t="shared" si="0"/>
        <v>0.25</v>
      </c>
      <c r="O6" s="4">
        <f t="shared" si="0"/>
        <v>0.25</v>
      </c>
      <c r="P6" s="4">
        <f t="shared" si="0"/>
        <v>0.25</v>
      </c>
      <c r="Q6" s="4">
        <f t="shared" si="0"/>
        <v>0.25</v>
      </c>
      <c r="R6" s="4">
        <f t="shared" si="0"/>
        <v>0.25</v>
      </c>
      <c r="S6" s="4">
        <f t="shared" si="0"/>
        <v>0.25</v>
      </c>
      <c r="T6" s="4">
        <f t="shared" si="0"/>
        <v>0.25</v>
      </c>
      <c r="U6" s="4">
        <f t="shared" si="0"/>
        <v>0.25</v>
      </c>
      <c r="V6" s="4">
        <f t="shared" si="0"/>
        <v>0.25</v>
      </c>
      <c r="W6" s="4">
        <f t="shared" si="0"/>
        <v>0.25</v>
      </c>
      <c r="X6" s="4">
        <f t="shared" si="0"/>
        <v>0.25</v>
      </c>
      <c r="Y6" s="4">
        <f t="shared" si="0"/>
        <v>0.25</v>
      </c>
      <c r="Z6" s="4">
        <f t="shared" si="0"/>
        <v>0.25</v>
      </c>
      <c r="AA6" s="4">
        <f t="shared" si="0"/>
        <v>0.25</v>
      </c>
      <c r="AB6" s="4">
        <f t="shared" si="0"/>
        <v>0.25</v>
      </c>
      <c r="AC6" s="4">
        <f t="shared" si="0"/>
        <v>0.25</v>
      </c>
      <c r="AD6" s="4">
        <f t="shared" si="0"/>
        <v>0.25</v>
      </c>
      <c r="AE6" s="4">
        <f t="shared" si="0"/>
        <v>0.25</v>
      </c>
      <c r="AF6" s="4">
        <f t="shared" si="0"/>
        <v>0.25</v>
      </c>
      <c r="AG6" s="4">
        <f t="shared" si="0"/>
        <v>0.25</v>
      </c>
      <c r="AH6" s="4">
        <f t="shared" si="0"/>
        <v>0.25</v>
      </c>
      <c r="AI6" s="4">
        <f t="shared" si="0"/>
        <v>0.25</v>
      </c>
      <c r="AJ6" s="4">
        <f t="shared" si="0"/>
        <v>0.25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J11"/>
  <sheetViews>
    <sheetView workbookViewId="0"/>
  </sheetViews>
  <sheetFormatPr baseColWidth="10" defaultColWidth="8.83203125" defaultRowHeight="15" x14ac:dyDescent="0.2"/>
  <cols>
    <col min="1" max="1" width="22.5" customWidth="1"/>
  </cols>
  <sheetData>
    <row r="1" spans="1:36" ht="32" x14ac:dyDescent="0.2">
      <c r="A1" s="9" t="s">
        <v>74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Microsoft Office User</cp:lastModifiedBy>
  <dcterms:created xsi:type="dcterms:W3CDTF">2017-06-23T20:50:52Z</dcterms:created>
  <dcterms:modified xsi:type="dcterms:W3CDTF">2021-08-04T01:01:42Z</dcterms:modified>
</cp:coreProperties>
</file>