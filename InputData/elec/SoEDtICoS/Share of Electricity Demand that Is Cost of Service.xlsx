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NM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3273</v>
      </c>
      <c r="C4" t="inlineStr">
        <is>
          <t>Central New Mexico El Coop, Inc</t>
        </is>
      </c>
      <c r="D4" t="inlineStr">
        <is>
          <t>A</t>
        </is>
      </c>
      <c r="E4" t="inlineStr">
        <is>
          <t>Bundled</t>
        </is>
      </c>
      <c r="F4" t="inlineStr">
        <is>
          <t>O</t>
        </is>
      </c>
      <c r="G4" t="inlineStr">
        <is>
          <t>NM</t>
        </is>
      </c>
      <c r="H4" t="inlineStr">
        <is>
          <t>Cooperative</t>
        </is>
      </c>
      <c r="I4" t="inlineStr">
        <is>
          <t>PNM</t>
        </is>
      </c>
      <c r="J4" t="n">
        <v>23048</v>
      </c>
      <c r="K4" t="n">
        <v>134301</v>
      </c>
      <c r="L4" t="n">
        <v>19126</v>
      </c>
      <c r="M4" t="n">
        <v>11664</v>
      </c>
      <c r="N4" t="n">
        <v>51915</v>
      </c>
      <c r="O4" t="n">
        <v>1647</v>
      </c>
      <c r="P4" t="n">
        <v>6203</v>
      </c>
      <c r="Q4" t="n">
        <v>78907</v>
      </c>
      <c r="R4" t="n">
        <v>249</v>
      </c>
      <c r="S4" t="inlineStr">
        <is>
          <t>.</t>
        </is>
      </c>
      <c r="T4" t="inlineStr">
        <is>
          <t>.</t>
        </is>
      </c>
      <c r="U4" t="inlineStr">
        <is>
          <t>.</t>
        </is>
      </c>
      <c r="V4" t="n">
        <v>40915</v>
      </c>
      <c r="W4" t="n">
        <v>265123</v>
      </c>
      <c r="X4" t="n">
        <v>21022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3287</v>
      </c>
      <c r="C5" t="inlineStr">
        <is>
          <t>Central Valley Elec Coop, Inc</t>
        </is>
      </c>
      <c r="D5" t="inlineStr">
        <is>
          <t>A</t>
        </is>
      </c>
      <c r="E5" t="inlineStr">
        <is>
          <t>Bundled</t>
        </is>
      </c>
      <c r="F5" t="inlineStr">
        <is>
          <t>O</t>
        </is>
      </c>
      <c r="G5" t="inlineStr">
        <is>
          <t>NM</t>
        </is>
      </c>
      <c r="H5" t="inlineStr">
        <is>
          <t>Cooperative</t>
        </is>
      </c>
      <c r="I5" t="inlineStr">
        <is>
          <t>SWPP</t>
        </is>
      </c>
      <c r="J5" t="n">
        <v>7730.9</v>
      </c>
      <c r="K5" t="n">
        <v>86800</v>
      </c>
      <c r="L5" t="n">
        <v>6150</v>
      </c>
      <c r="M5" t="n">
        <v>5713.9</v>
      </c>
      <c r="N5" t="n">
        <v>42791</v>
      </c>
      <c r="O5" t="n">
        <v>4680</v>
      </c>
      <c r="P5" t="n">
        <v>56364.1</v>
      </c>
      <c r="Q5" t="n">
        <v>782215</v>
      </c>
      <c r="R5" t="n">
        <v>4395</v>
      </c>
      <c r="S5" t="inlineStr">
        <is>
          <t>.</t>
        </is>
      </c>
      <c r="T5" t="inlineStr">
        <is>
          <t>.</t>
        </is>
      </c>
      <c r="U5" t="inlineStr">
        <is>
          <t>.</t>
        </is>
      </c>
      <c r="V5" t="n">
        <v>69808.89999999999</v>
      </c>
      <c r="W5" t="n">
        <v>911806</v>
      </c>
      <c r="X5" t="n">
        <v>15225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4265</v>
      </c>
      <c r="C6" t="inlineStr">
        <is>
          <t>Continental Divide El Coop Inc</t>
        </is>
      </c>
      <c r="D6" t="inlineStr">
        <is>
          <t>A</t>
        </is>
      </c>
      <c r="E6" t="inlineStr">
        <is>
          <t>Bundled</t>
        </is>
      </c>
      <c r="F6" t="inlineStr">
        <is>
          <t>O</t>
        </is>
      </c>
      <c r="G6" t="inlineStr">
        <is>
          <t>NM</t>
        </is>
      </c>
      <c r="H6" t="inlineStr">
        <is>
          <t>Cooperative</t>
        </is>
      </c>
      <c r="I6" t="inlineStr">
        <is>
          <t>PNM</t>
        </is>
      </c>
      <c r="J6" t="n">
        <v>23992</v>
      </c>
      <c r="K6" t="n">
        <v>149779</v>
      </c>
      <c r="L6" t="n">
        <v>20415</v>
      </c>
      <c r="M6" t="n">
        <v>15734</v>
      </c>
      <c r="N6" t="n">
        <v>118417</v>
      </c>
      <c r="O6" t="n">
        <v>2962</v>
      </c>
      <c r="P6" t="n">
        <v>19670</v>
      </c>
      <c r="Q6" t="n">
        <v>300073</v>
      </c>
      <c r="R6" t="n">
        <v>5</v>
      </c>
      <c r="S6" t="inlineStr">
        <is>
          <t>.</t>
        </is>
      </c>
      <c r="T6" t="inlineStr">
        <is>
          <t>.</t>
        </is>
      </c>
      <c r="U6" t="inlineStr">
        <is>
          <t>.</t>
        </is>
      </c>
      <c r="V6" t="n">
        <v>59396</v>
      </c>
      <c r="W6" t="n">
        <v>568269</v>
      </c>
      <c r="X6" t="n">
        <v>23382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5701</v>
      </c>
      <c r="C7" t="inlineStr">
        <is>
          <t>El Paso Electric Co</t>
        </is>
      </c>
      <c r="D7" t="inlineStr">
        <is>
          <t>A</t>
        </is>
      </c>
      <c r="E7" t="inlineStr">
        <is>
          <t>Bundled</t>
        </is>
      </c>
      <c r="F7" t="inlineStr">
        <is>
          <t>O</t>
        </is>
      </c>
      <c r="G7" t="inlineStr">
        <is>
          <t>NM</t>
        </is>
      </c>
      <c r="H7" t="inlineStr">
        <is>
          <t>Investor Owned</t>
        </is>
      </c>
      <c r="I7" t="inlineStr">
        <is>
          <t>EPE</t>
        </is>
      </c>
      <c r="J7" t="n">
        <v>85468</v>
      </c>
      <c r="K7" t="n">
        <v>841142</v>
      </c>
      <c r="L7" t="n">
        <v>94760</v>
      </c>
      <c r="M7" t="n">
        <v>75662</v>
      </c>
      <c r="N7" t="n">
        <v>900520</v>
      </c>
      <c r="O7" t="n">
        <v>12614</v>
      </c>
      <c r="P7" t="n">
        <v>4654</v>
      </c>
      <c r="Q7" t="n">
        <v>80423</v>
      </c>
      <c r="R7" t="n">
        <v>10</v>
      </c>
      <c r="S7" t="n">
        <v>0</v>
      </c>
      <c r="T7" t="n">
        <v>0</v>
      </c>
      <c r="U7" t="n">
        <v>0</v>
      </c>
      <c r="V7" t="n">
        <v>165784</v>
      </c>
      <c r="W7" t="n">
        <v>1822085</v>
      </c>
      <c r="X7" t="n">
        <v>107384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6198</v>
      </c>
      <c r="C8" t="inlineStr">
        <is>
          <t>Farmers Electric Coop, Inc - (NM)</t>
        </is>
      </c>
      <c r="D8" t="inlineStr">
        <is>
          <t>A</t>
        </is>
      </c>
      <c r="E8" t="inlineStr">
        <is>
          <t>Bundled</t>
        </is>
      </c>
      <c r="F8" t="inlineStr">
        <is>
          <t>O</t>
        </is>
      </c>
      <c r="G8" t="inlineStr">
        <is>
          <t>NM</t>
        </is>
      </c>
      <c r="H8" t="inlineStr">
        <is>
          <t>Cooperative</t>
        </is>
      </c>
      <c r="I8" t="inlineStr">
        <is>
          <t>SWPP</t>
        </is>
      </c>
      <c r="J8" t="n">
        <v>13199.7</v>
      </c>
      <c r="K8" t="n">
        <v>102596</v>
      </c>
      <c r="L8" t="n">
        <v>10258</v>
      </c>
      <c r="M8" t="n">
        <v>12438.4</v>
      </c>
      <c r="N8" t="n">
        <v>102977</v>
      </c>
      <c r="O8" t="n">
        <v>1882</v>
      </c>
      <c r="P8" t="n">
        <v>16148.2</v>
      </c>
      <c r="Q8" t="n">
        <v>176577</v>
      </c>
      <c r="R8" t="n">
        <v>1532</v>
      </c>
      <c r="S8" t="inlineStr">
        <is>
          <t>.</t>
        </is>
      </c>
      <c r="T8" t="inlineStr">
        <is>
          <t>.</t>
        </is>
      </c>
      <c r="U8" t="inlineStr">
        <is>
          <t>.</t>
        </is>
      </c>
      <c r="V8" t="n">
        <v>41786.3</v>
      </c>
      <c r="W8" t="n">
        <v>382150</v>
      </c>
      <c r="X8" t="n">
        <v>13672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6204</v>
      </c>
      <c r="C9" t="inlineStr">
        <is>
          <t>City of Farmington - (NM)</t>
        </is>
      </c>
      <c r="D9" t="inlineStr">
        <is>
          <t>A</t>
        </is>
      </c>
      <c r="E9" t="inlineStr">
        <is>
          <t>Bundled</t>
        </is>
      </c>
      <c r="F9" t="inlineStr">
        <is>
          <t>O</t>
        </is>
      </c>
      <c r="G9" t="inlineStr">
        <is>
          <t>NM</t>
        </is>
      </c>
      <c r="H9" t="inlineStr">
        <is>
          <t>Municipal</t>
        </is>
      </c>
      <c r="I9" t="inlineStr">
        <is>
          <t>WACM</t>
        </is>
      </c>
      <c r="J9" t="n">
        <v>35708</v>
      </c>
      <c r="K9" t="n">
        <v>281427</v>
      </c>
      <c r="L9" t="n">
        <v>35990</v>
      </c>
      <c r="M9" t="n">
        <v>41129</v>
      </c>
      <c r="N9" t="n">
        <v>372913</v>
      </c>
      <c r="O9" t="n">
        <v>9110</v>
      </c>
      <c r="P9" t="n">
        <v>17908</v>
      </c>
      <c r="Q9" t="n">
        <v>260889</v>
      </c>
      <c r="R9" t="n">
        <v>7</v>
      </c>
      <c r="S9" t="n">
        <v>0</v>
      </c>
      <c r="T9" t="n">
        <v>0</v>
      </c>
      <c r="U9" t="n">
        <v>0</v>
      </c>
      <c r="V9" t="n">
        <v>94745</v>
      </c>
      <c r="W9" t="n">
        <v>915229</v>
      </c>
      <c r="X9" t="n">
        <v>45107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9699</v>
      </c>
      <c r="C10" t="inlineStr">
        <is>
          <t>Jemez Mountains Elec Coop, Inc</t>
        </is>
      </c>
      <c r="D10" t="inlineStr">
        <is>
          <t>A</t>
        </is>
      </c>
      <c r="E10" t="inlineStr">
        <is>
          <t>Bundled</t>
        </is>
      </c>
      <c r="F10" t="inlineStr">
        <is>
          <t>O</t>
        </is>
      </c>
      <c r="G10" t="inlineStr">
        <is>
          <t>NM</t>
        </is>
      </c>
      <c r="H10" t="inlineStr">
        <is>
          <t>Cooperative</t>
        </is>
      </c>
      <c r="I10" t="inlineStr">
        <is>
          <t>WALC</t>
        </is>
      </c>
      <c r="J10" t="n">
        <v>30086.8</v>
      </c>
      <c r="K10" t="n">
        <v>195881</v>
      </c>
      <c r="L10" t="n">
        <v>28093</v>
      </c>
      <c r="M10" t="n">
        <v>21059.8</v>
      </c>
      <c r="N10" t="n">
        <v>149381</v>
      </c>
      <c r="O10" t="n">
        <v>3574</v>
      </c>
      <c r="P10" t="n">
        <v>2544.1</v>
      </c>
      <c r="Q10" t="n">
        <v>21075</v>
      </c>
      <c r="R10" t="n">
        <v>9</v>
      </c>
      <c r="S10" t="inlineStr">
        <is>
          <t>.</t>
        </is>
      </c>
      <c r="T10" t="inlineStr">
        <is>
          <t>.</t>
        </is>
      </c>
      <c r="U10" t="inlineStr">
        <is>
          <t>.</t>
        </is>
      </c>
      <c r="V10" t="n">
        <v>53690.7</v>
      </c>
      <c r="W10" t="n">
        <v>366337</v>
      </c>
      <c r="X10" t="n">
        <v>31676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10378</v>
      </c>
      <c r="C11" t="inlineStr">
        <is>
          <t>Kit Carson Electric Coop, Inc</t>
        </is>
      </c>
      <c r="D11" t="inlineStr">
        <is>
          <t>A</t>
        </is>
      </c>
      <c r="E11" t="inlineStr">
        <is>
          <t>Bundled</t>
        </is>
      </c>
      <c r="F11" t="inlineStr">
        <is>
          <t>O</t>
        </is>
      </c>
      <c r="G11" t="inlineStr">
        <is>
          <t>NM</t>
        </is>
      </c>
      <c r="H11" t="inlineStr">
        <is>
          <t>Cooperative</t>
        </is>
      </c>
      <c r="I11" t="inlineStr">
        <is>
          <t>PNM</t>
        </is>
      </c>
      <c r="J11" t="n">
        <v>28030.7</v>
      </c>
      <c r="K11" t="n">
        <v>154183</v>
      </c>
      <c r="L11" t="n">
        <v>26097</v>
      </c>
      <c r="M11" t="n">
        <v>17617</v>
      </c>
      <c r="N11" t="n">
        <v>112231</v>
      </c>
      <c r="O11" t="n">
        <v>4700</v>
      </c>
      <c r="P11" t="n">
        <v>2216.7</v>
      </c>
      <c r="Q11" t="n">
        <v>18551</v>
      </c>
      <c r="R11" t="n">
        <v>10</v>
      </c>
      <c r="S11" t="inlineStr">
        <is>
          <t>.</t>
        </is>
      </c>
      <c r="T11" t="inlineStr">
        <is>
          <t>.</t>
        </is>
      </c>
      <c r="U11" t="inlineStr">
        <is>
          <t>.</t>
        </is>
      </c>
      <c r="V11" t="n">
        <v>47864.4</v>
      </c>
      <c r="W11" t="n">
        <v>284965</v>
      </c>
      <c r="X11" t="n">
        <v>30807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10817</v>
      </c>
      <c r="C12" t="inlineStr">
        <is>
          <t>Lea County Electric Coop, Inc - (NM)</t>
        </is>
      </c>
      <c r="D12" t="inlineStr">
        <is>
          <t>A</t>
        </is>
      </c>
      <c r="E12" t="inlineStr">
        <is>
          <t>Bundled</t>
        </is>
      </c>
      <c r="F12" t="inlineStr">
        <is>
          <t>O</t>
        </is>
      </c>
      <c r="G12" t="inlineStr">
        <is>
          <t>NM</t>
        </is>
      </c>
      <c r="H12" t="inlineStr">
        <is>
          <t>Cooperative</t>
        </is>
      </c>
      <c r="I12" t="inlineStr">
        <is>
          <t>SWPP</t>
        </is>
      </c>
      <c r="J12" t="n">
        <v>9864</v>
      </c>
      <c r="K12" t="n">
        <v>97978</v>
      </c>
      <c r="L12" t="n">
        <v>7217</v>
      </c>
      <c r="M12" t="n">
        <v>27648</v>
      </c>
      <c r="N12" t="n">
        <v>338925</v>
      </c>
      <c r="O12" t="n">
        <v>3943</v>
      </c>
      <c r="P12" t="n">
        <v>20645</v>
      </c>
      <c r="Q12" t="n">
        <v>311348</v>
      </c>
      <c r="R12" t="n">
        <v>11</v>
      </c>
      <c r="S12" t="inlineStr">
        <is>
          <t>.</t>
        </is>
      </c>
      <c r="T12" t="inlineStr">
        <is>
          <t>.</t>
        </is>
      </c>
      <c r="U12" t="inlineStr">
        <is>
          <t>.</t>
        </is>
      </c>
      <c r="V12" t="n">
        <v>58157</v>
      </c>
      <c r="W12" t="n">
        <v>748251</v>
      </c>
      <c r="X12" t="n">
        <v>11171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11204</v>
      </c>
      <c r="C13" t="inlineStr">
        <is>
          <t>Los Alamos County</t>
        </is>
      </c>
      <c r="D13" t="inlineStr">
        <is>
          <t>A</t>
        </is>
      </c>
      <c r="E13" t="inlineStr">
        <is>
          <t>Bundled</t>
        </is>
      </c>
      <c r="F13" t="inlineStr">
        <is>
          <t>O</t>
        </is>
      </c>
      <c r="G13" t="inlineStr">
        <is>
          <t>NM</t>
        </is>
      </c>
      <c r="H13" t="inlineStr">
        <is>
          <t>Municipal</t>
        </is>
      </c>
      <c r="I13" t="inlineStr">
        <is>
          <t>PNM</t>
        </is>
      </c>
      <c r="J13" t="n">
        <v>8687.9</v>
      </c>
      <c r="K13" t="n">
        <v>61406</v>
      </c>
      <c r="L13" t="n">
        <v>7742</v>
      </c>
      <c r="M13" t="n">
        <v>7570.8</v>
      </c>
      <c r="N13" t="n">
        <v>56271</v>
      </c>
      <c r="O13" t="n">
        <v>838</v>
      </c>
      <c r="P13" t="n">
        <v>31036.8</v>
      </c>
      <c r="Q13" t="n">
        <v>368103</v>
      </c>
      <c r="R13" t="n">
        <v>1</v>
      </c>
      <c r="S13" t="n">
        <v>0</v>
      </c>
      <c r="T13" t="n">
        <v>0</v>
      </c>
      <c r="U13" t="n">
        <v>0</v>
      </c>
      <c r="V13" t="n">
        <v>47295.5</v>
      </c>
      <c r="W13" t="n">
        <v>485780</v>
      </c>
      <c r="X13" t="n">
        <v>8581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13314</v>
      </c>
      <c r="C14" t="inlineStr">
        <is>
          <t>Navajo Tribal Utility Authority</t>
        </is>
      </c>
      <c r="D14" t="inlineStr">
        <is>
          <t>A</t>
        </is>
      </c>
      <c r="E14" t="inlineStr">
        <is>
          <t>Bundled</t>
        </is>
      </c>
      <c r="F14" t="inlineStr">
        <is>
          <t>O</t>
        </is>
      </c>
      <c r="G14" t="inlineStr">
        <is>
          <t>NM</t>
        </is>
      </c>
      <c r="H14" t="inlineStr">
        <is>
          <t>State</t>
        </is>
      </c>
      <c r="I14" t="inlineStr">
        <is>
          <t>PACE</t>
        </is>
      </c>
      <c r="J14" t="n">
        <v>10016</v>
      </c>
      <c r="K14" t="n">
        <v>60590</v>
      </c>
      <c r="L14" t="n">
        <v>9834</v>
      </c>
      <c r="M14" t="n">
        <v>10772</v>
      </c>
      <c r="N14" t="n">
        <v>62451</v>
      </c>
      <c r="O14" t="n">
        <v>940</v>
      </c>
      <c r="P14" t="n">
        <v>475</v>
      </c>
      <c r="Q14" t="n">
        <v>1992</v>
      </c>
      <c r="R14" t="n">
        <v>140</v>
      </c>
      <c r="S14" t="n">
        <v>0</v>
      </c>
      <c r="T14" t="n">
        <v>0</v>
      </c>
      <c r="U14" t="n">
        <v>0</v>
      </c>
      <c r="V14" t="n">
        <v>21263</v>
      </c>
      <c r="W14" t="n">
        <v>125033</v>
      </c>
      <c r="X14" t="n">
        <v>10914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13318</v>
      </c>
      <c r="C15" t="inlineStr">
        <is>
          <t>Navopache Electric Coop, Inc</t>
        </is>
      </c>
      <c r="D15" t="inlineStr">
        <is>
          <t>A</t>
        </is>
      </c>
      <c r="E15" t="inlineStr">
        <is>
          <t>Bundled</t>
        </is>
      </c>
      <c r="F15" t="inlineStr">
        <is>
          <t>O</t>
        </is>
      </c>
      <c r="G15" t="inlineStr">
        <is>
          <t>NM</t>
        </is>
      </c>
      <c r="H15" t="inlineStr">
        <is>
          <t>Cooperative</t>
        </is>
      </c>
      <c r="I15" t="inlineStr">
        <is>
          <t>TEPC</t>
        </is>
      </c>
      <c r="J15" t="n">
        <v>1211</v>
      </c>
      <c r="K15" t="n">
        <v>8107</v>
      </c>
      <c r="L15" t="n">
        <v>1493</v>
      </c>
      <c r="M15" t="n">
        <v>281</v>
      </c>
      <c r="N15" t="n">
        <v>2861</v>
      </c>
      <c r="O15" t="n">
        <v>203</v>
      </c>
      <c r="P15" t="n">
        <v>63</v>
      </c>
      <c r="Q15" t="n">
        <v>640</v>
      </c>
      <c r="R15" t="n">
        <v>11</v>
      </c>
      <c r="S15" t="inlineStr">
        <is>
          <t>.</t>
        </is>
      </c>
      <c r="T15" t="inlineStr">
        <is>
          <t>.</t>
        </is>
      </c>
      <c r="U15" t="inlineStr">
        <is>
          <t>.</t>
        </is>
      </c>
      <c r="V15" t="n">
        <v>1555</v>
      </c>
      <c r="W15" t="n">
        <v>11608</v>
      </c>
      <c r="X15" t="n">
        <v>1707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14224</v>
      </c>
      <c r="C16" t="inlineStr">
        <is>
          <t>Otero County Electric Coop Inc</t>
        </is>
      </c>
      <c r="D16" t="inlineStr">
        <is>
          <t>A</t>
        </is>
      </c>
      <c r="E16" t="inlineStr">
        <is>
          <t>Bundled</t>
        </is>
      </c>
      <c r="F16" t="inlineStr">
        <is>
          <t>O</t>
        </is>
      </c>
      <c r="G16" t="inlineStr">
        <is>
          <t>NM</t>
        </is>
      </c>
      <c r="H16" t="inlineStr">
        <is>
          <t>Cooperative</t>
        </is>
      </c>
      <c r="I16" t="inlineStr">
        <is>
          <t>PNM</t>
        </is>
      </c>
      <c r="J16" t="n">
        <v>20000</v>
      </c>
      <c r="K16" t="n">
        <v>113297</v>
      </c>
      <c r="L16" t="n">
        <v>16448</v>
      </c>
      <c r="M16" t="n">
        <v>13854</v>
      </c>
      <c r="N16" t="n">
        <v>87939</v>
      </c>
      <c r="O16" t="n">
        <v>4134</v>
      </c>
      <c r="P16" t="inlineStr">
        <is>
          <t>.</t>
        </is>
      </c>
      <c r="Q16" t="inlineStr">
        <is>
          <t>.</t>
        </is>
      </c>
      <c r="R16" t="inlineStr">
        <is>
          <t>.</t>
        </is>
      </c>
      <c r="S16" t="inlineStr">
        <is>
          <t>.</t>
        </is>
      </c>
      <c r="T16" t="inlineStr">
        <is>
          <t>.</t>
        </is>
      </c>
      <c r="U16" t="inlineStr">
        <is>
          <t>.</t>
        </is>
      </c>
      <c r="V16" t="n">
        <v>33854</v>
      </c>
      <c r="W16" t="n">
        <v>201236</v>
      </c>
      <c r="X16" t="n">
        <v>20582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15473</v>
      </c>
      <c r="C17" t="inlineStr">
        <is>
          <t>Public Service Co of NM</t>
        </is>
      </c>
      <c r="D17" t="inlineStr">
        <is>
          <t>A</t>
        </is>
      </c>
      <c r="E17" t="inlineStr">
        <is>
          <t>Bundled</t>
        </is>
      </c>
      <c r="F17" t="inlineStr">
        <is>
          <t>O</t>
        </is>
      </c>
      <c r="G17" t="inlineStr">
        <is>
          <t>NM</t>
        </is>
      </c>
      <c r="H17" t="inlineStr">
        <is>
          <t>Investor Owned</t>
        </is>
      </c>
      <c r="I17" t="inlineStr">
        <is>
          <t>PNM</t>
        </is>
      </c>
      <c r="J17" t="n">
        <v>528978.3</v>
      </c>
      <c r="K17" t="n">
        <v>3397273</v>
      </c>
      <c r="L17" t="n">
        <v>492945</v>
      </c>
      <c r="M17" t="n">
        <v>473827</v>
      </c>
      <c r="N17" t="n">
        <v>3869779</v>
      </c>
      <c r="O17" t="n">
        <v>59510</v>
      </c>
      <c r="P17" t="n">
        <v>146685.6</v>
      </c>
      <c r="Q17" t="n">
        <v>2607603</v>
      </c>
      <c r="R17" t="n">
        <v>183</v>
      </c>
      <c r="S17" t="inlineStr">
        <is>
          <t>.</t>
        </is>
      </c>
      <c r="T17" t="inlineStr">
        <is>
          <t>.</t>
        </is>
      </c>
      <c r="U17" t="inlineStr">
        <is>
          <t>.</t>
        </is>
      </c>
      <c r="V17" t="n">
        <v>1149490.9</v>
      </c>
      <c r="W17" t="n">
        <v>9874655</v>
      </c>
      <c r="X17" t="n">
        <v>552638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16057</v>
      </c>
      <c r="C18" t="inlineStr">
        <is>
          <t>Rio Grande Electric Coop, Inc</t>
        </is>
      </c>
      <c r="D18" t="inlineStr">
        <is>
          <t>A</t>
        </is>
      </c>
      <c r="E18" t="inlineStr">
        <is>
          <t>Bundled</t>
        </is>
      </c>
      <c r="F18" t="inlineStr">
        <is>
          <t>O</t>
        </is>
      </c>
      <c r="G18" t="inlineStr">
        <is>
          <t>NM</t>
        </is>
      </c>
      <c r="H18" t="inlineStr">
        <is>
          <t>Cooperative</t>
        </is>
      </c>
      <c r="I18" t="inlineStr">
        <is>
          <t>EPE</t>
        </is>
      </c>
      <c r="J18" t="n">
        <v>326.6</v>
      </c>
      <c r="K18" t="n">
        <v>1785</v>
      </c>
      <c r="L18" t="n">
        <v>232</v>
      </c>
      <c r="M18" t="n">
        <v>91.8</v>
      </c>
      <c r="N18" t="n">
        <v>488</v>
      </c>
      <c r="O18" t="n">
        <v>68</v>
      </c>
      <c r="P18" t="n">
        <v>60</v>
      </c>
      <c r="Q18" t="n">
        <v>419</v>
      </c>
      <c r="R18" t="n">
        <v>16</v>
      </c>
      <c r="S18" t="n">
        <v>0</v>
      </c>
      <c r="T18" t="n">
        <v>0</v>
      </c>
      <c r="U18" t="n">
        <v>0</v>
      </c>
      <c r="V18" t="n">
        <v>478.4</v>
      </c>
      <c r="W18" t="n">
        <v>2692</v>
      </c>
      <c r="X18" t="n">
        <v>316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17715</v>
      </c>
      <c r="C19" t="inlineStr">
        <is>
          <t>Southwestern Electric Coop Inc - (NM)</t>
        </is>
      </c>
      <c r="D19" t="inlineStr">
        <is>
          <t>A</t>
        </is>
      </c>
      <c r="E19" t="inlineStr">
        <is>
          <t>Bundled</t>
        </is>
      </c>
      <c r="F19" t="inlineStr">
        <is>
          <t>O</t>
        </is>
      </c>
      <c r="G19" t="inlineStr">
        <is>
          <t>NM</t>
        </is>
      </c>
      <c r="H19" t="inlineStr">
        <is>
          <t>Cooperative</t>
        </is>
      </c>
      <c r="I19" t="inlineStr">
        <is>
          <t>PNM</t>
        </is>
      </c>
      <c r="J19" t="n">
        <v>2283.1</v>
      </c>
      <c r="K19" t="n">
        <v>9478</v>
      </c>
      <c r="L19" t="n">
        <v>1434</v>
      </c>
      <c r="M19" t="n">
        <v>1587.9</v>
      </c>
      <c r="N19" t="n">
        <v>9534</v>
      </c>
      <c r="O19" t="n">
        <v>325</v>
      </c>
      <c r="P19" t="n">
        <v>21005.2</v>
      </c>
      <c r="Q19" t="n">
        <v>267928</v>
      </c>
      <c r="R19" t="n">
        <v>381</v>
      </c>
      <c r="S19" t="inlineStr">
        <is>
          <t>.</t>
        </is>
      </c>
      <c r="T19" t="inlineStr">
        <is>
          <t>.</t>
        </is>
      </c>
      <c r="U19" t="inlineStr">
        <is>
          <t>.</t>
        </is>
      </c>
      <c r="V19" t="n">
        <v>24876.2</v>
      </c>
      <c r="W19" t="n">
        <v>286940</v>
      </c>
      <c r="X19" t="n">
        <v>2140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17718</v>
      </c>
      <c r="C20" t="inlineStr">
        <is>
          <t>Southwestern Public Service Co</t>
        </is>
      </c>
      <c r="D20" t="inlineStr">
        <is>
          <t>A</t>
        </is>
      </c>
      <c r="E20" t="inlineStr">
        <is>
          <t>Bundled</t>
        </is>
      </c>
      <c r="F20" t="inlineStr">
        <is>
          <t>O</t>
        </is>
      </c>
      <c r="G20" t="inlineStr">
        <is>
          <t>NM</t>
        </is>
      </c>
      <c r="H20" t="inlineStr">
        <is>
          <t>Investor Owned</t>
        </is>
      </c>
      <c r="I20" t="inlineStr">
        <is>
          <t>SWPP</t>
        </is>
      </c>
      <c r="J20" t="n">
        <v>143947.6</v>
      </c>
      <c r="K20" t="n">
        <v>1201772</v>
      </c>
      <c r="L20" t="n">
        <v>100540</v>
      </c>
      <c r="M20" t="n">
        <v>216575.3</v>
      </c>
      <c r="N20" t="n">
        <v>2748781</v>
      </c>
      <c r="O20" t="n">
        <v>26934</v>
      </c>
      <c r="P20" t="n">
        <v>342374</v>
      </c>
      <c r="Q20" t="n">
        <v>7656710</v>
      </c>
      <c r="R20" t="n">
        <v>198</v>
      </c>
      <c r="S20" t="n">
        <v>0</v>
      </c>
      <c r="T20" t="n">
        <v>0</v>
      </c>
      <c r="U20" t="n">
        <v>0</v>
      </c>
      <c r="V20" t="n">
        <v>702896.9</v>
      </c>
      <c r="W20" t="n">
        <v>11607263</v>
      </c>
      <c r="X20" t="n">
        <v>127672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17826</v>
      </c>
      <c r="C21" t="inlineStr">
        <is>
          <t>Springer Electric Coop, Inc</t>
        </is>
      </c>
      <c r="D21" t="inlineStr">
        <is>
          <t>A</t>
        </is>
      </c>
      <c r="E21" t="inlineStr">
        <is>
          <t>Bundled</t>
        </is>
      </c>
      <c r="F21" t="inlineStr">
        <is>
          <t>O</t>
        </is>
      </c>
      <c r="G21" t="inlineStr">
        <is>
          <t>NM</t>
        </is>
      </c>
      <c r="H21" t="inlineStr">
        <is>
          <t>Cooperative</t>
        </is>
      </c>
      <c r="I21" t="inlineStr">
        <is>
          <t>PNM</t>
        </is>
      </c>
      <c r="J21" t="n">
        <v>2854</v>
      </c>
      <c r="K21" t="n">
        <v>15017</v>
      </c>
      <c r="L21" t="n">
        <v>2453</v>
      </c>
      <c r="M21" t="n">
        <v>3143</v>
      </c>
      <c r="N21" t="n">
        <v>20908</v>
      </c>
      <c r="O21" t="n">
        <v>626</v>
      </c>
      <c r="P21" t="n">
        <v>11994</v>
      </c>
      <c r="Q21" t="n">
        <v>163717</v>
      </c>
      <c r="R21" t="n">
        <v>5</v>
      </c>
      <c r="S21" t="inlineStr">
        <is>
          <t>.</t>
        </is>
      </c>
      <c r="T21" t="inlineStr">
        <is>
          <t>.</t>
        </is>
      </c>
      <c r="U21" t="inlineStr">
        <is>
          <t>.</t>
        </is>
      </c>
      <c r="V21" t="n">
        <v>17991</v>
      </c>
      <c r="W21" t="n">
        <v>199642</v>
      </c>
      <c r="X21" t="n">
        <v>3084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19160</v>
      </c>
      <c r="C22" t="inlineStr">
        <is>
          <t>Tri-County Electric Coop, Inc (OK)</t>
        </is>
      </c>
      <c r="D22" t="inlineStr">
        <is>
          <t>A</t>
        </is>
      </c>
      <c r="E22" t="inlineStr">
        <is>
          <t>Bundled</t>
        </is>
      </c>
      <c r="F22" t="inlineStr">
        <is>
          <t>O</t>
        </is>
      </c>
      <c r="G22" t="inlineStr">
        <is>
          <t>NM</t>
        </is>
      </c>
      <c r="H22" t="inlineStr">
        <is>
          <t>Cooperative</t>
        </is>
      </c>
      <c r="I22" t="inlineStr">
        <is>
          <t>SWPP</t>
        </is>
      </c>
      <c r="J22" t="n">
        <v>1.9</v>
      </c>
      <c r="K22" t="n">
        <v>5</v>
      </c>
      <c r="L22" t="n">
        <v>3</v>
      </c>
      <c r="M22" t="n">
        <v>2.1</v>
      </c>
      <c r="N22" t="n">
        <v>8</v>
      </c>
      <c r="O22" t="n">
        <v>3</v>
      </c>
      <c r="P22" t="inlineStr">
        <is>
          <t>.</t>
        </is>
      </c>
      <c r="Q22" t="inlineStr">
        <is>
          <t>.</t>
        </is>
      </c>
      <c r="R22" t="inlineStr">
        <is>
          <t>.</t>
        </is>
      </c>
      <c r="S22" t="inlineStr">
        <is>
          <t>.</t>
        </is>
      </c>
      <c r="T22" t="inlineStr">
        <is>
          <t>.</t>
        </is>
      </c>
      <c r="U22" t="inlineStr">
        <is>
          <t>.</t>
        </is>
      </c>
      <c r="V22" t="n">
        <v>4</v>
      </c>
      <c r="W22" t="n">
        <v>13</v>
      </c>
      <c r="X22" t="n">
        <v>6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22690</v>
      </c>
      <c r="C23" t="inlineStr">
        <is>
          <t>Roosevelt County Elec Coop Inc</t>
        </is>
      </c>
      <c r="D23" t="inlineStr">
        <is>
          <t>A</t>
        </is>
      </c>
      <c r="E23" t="inlineStr">
        <is>
          <t>Bundled</t>
        </is>
      </c>
      <c r="F23" t="inlineStr">
        <is>
          <t>O</t>
        </is>
      </c>
      <c r="G23" t="inlineStr">
        <is>
          <t>NM</t>
        </is>
      </c>
      <c r="H23" t="inlineStr">
        <is>
          <t>Cooperative</t>
        </is>
      </c>
      <c r="I23" t="inlineStr">
        <is>
          <t>SWPP</t>
        </is>
      </c>
      <c r="J23" t="n">
        <v>5916</v>
      </c>
      <c r="K23" t="n">
        <v>49024</v>
      </c>
      <c r="L23" t="n">
        <v>3918</v>
      </c>
      <c r="M23" t="n">
        <v>1223</v>
      </c>
      <c r="N23" t="n">
        <v>7515</v>
      </c>
      <c r="O23" t="n">
        <v>616</v>
      </c>
      <c r="P23" t="n">
        <v>11146</v>
      </c>
      <c r="Q23" t="n">
        <v>91058</v>
      </c>
      <c r="R23" t="n">
        <v>1545</v>
      </c>
      <c r="S23" t="n">
        <v>0</v>
      </c>
      <c r="T23" t="n">
        <v>0</v>
      </c>
      <c r="U23" t="n">
        <v>0</v>
      </c>
      <c r="V23" t="n">
        <v>18285</v>
      </c>
      <c r="W23" t="n">
        <v>147597</v>
      </c>
      <c r="X23" t="n">
        <v>6079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27000</v>
      </c>
      <c r="C24" t="inlineStr">
        <is>
          <t>WAPA-- Western Area Power Administration</t>
        </is>
      </c>
      <c r="D24" t="inlineStr">
        <is>
          <t>A</t>
        </is>
      </c>
      <c r="E24" t="inlineStr">
        <is>
          <t>Bundled</t>
        </is>
      </c>
      <c r="F24" t="inlineStr">
        <is>
          <t>O</t>
        </is>
      </c>
      <c r="G24" t="inlineStr">
        <is>
          <t>NM</t>
        </is>
      </c>
      <c r="H24" t="inlineStr">
        <is>
          <t>Federal</t>
        </is>
      </c>
      <c r="I24" t="inlineStr">
        <is>
          <t>WALC</t>
        </is>
      </c>
      <c r="J24" t="n">
        <v>0</v>
      </c>
      <c r="K24" t="n">
        <v>0</v>
      </c>
      <c r="L24" t="n">
        <v>0</v>
      </c>
      <c r="M24" t="n">
        <v>2642.3</v>
      </c>
      <c r="N24" t="n">
        <v>77095</v>
      </c>
      <c r="O24" t="n">
        <v>3</v>
      </c>
      <c r="P24" t="n">
        <v>1832.9</v>
      </c>
      <c r="Q24" t="n">
        <v>70263</v>
      </c>
      <c r="R24" t="n">
        <v>1</v>
      </c>
      <c r="S24" t="n">
        <v>0</v>
      </c>
      <c r="T24" t="n">
        <v>0</v>
      </c>
      <c r="U24" t="n">
        <v>0</v>
      </c>
      <c r="V24" t="n">
        <v>4475.2</v>
      </c>
      <c r="W24" t="n">
        <v>147358</v>
      </c>
      <c r="X24" t="n">
        <v>4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57313</v>
      </c>
      <c r="C25" t="inlineStr">
        <is>
          <t>Tesla Inc.</t>
        </is>
      </c>
      <c r="D25" t="inlineStr">
        <is>
          <t>A</t>
        </is>
      </c>
      <c r="E25" t="inlineStr">
        <is>
          <t>Bundled</t>
        </is>
      </c>
      <c r="F25" t="inlineStr">
        <is>
          <t>O</t>
        </is>
      </c>
      <c r="G25" t="inlineStr">
        <is>
          <t>NM</t>
        </is>
      </c>
      <c r="H25" t="inlineStr">
        <is>
          <t>Behind the Meter</t>
        </is>
      </c>
      <c r="I25" t="inlineStr">
        <is>
          <t>EPE</t>
        </is>
      </c>
      <c r="J25" t="n">
        <v>0.7</v>
      </c>
      <c r="K25" t="n">
        <v>26</v>
      </c>
      <c r="L25" t="n">
        <v>3</v>
      </c>
      <c r="M25" t="n">
        <v>50.3</v>
      </c>
      <c r="N25" t="n">
        <v>1846</v>
      </c>
      <c r="O25" t="n">
        <v>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51</v>
      </c>
      <c r="W25" t="n">
        <v>1872</v>
      </c>
      <c r="X25" t="n">
        <v>6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57313</v>
      </c>
      <c r="C26" t="inlineStr">
        <is>
          <t>Tesla Inc.</t>
        </is>
      </c>
      <c r="D26" t="inlineStr">
        <is>
          <t>A</t>
        </is>
      </c>
      <c r="E26" t="inlineStr">
        <is>
          <t>Bundled</t>
        </is>
      </c>
      <c r="F26" t="inlineStr">
        <is>
          <t>O</t>
        </is>
      </c>
      <c r="G26" t="inlineStr">
        <is>
          <t>NM</t>
        </is>
      </c>
      <c r="H26" t="inlineStr">
        <is>
          <t>Behind the Meter</t>
        </is>
      </c>
      <c r="I26" t="inlineStr">
        <is>
          <t>PNM</t>
        </is>
      </c>
      <c r="J26" t="n">
        <v>421</v>
      </c>
      <c r="K26" t="n">
        <v>2639</v>
      </c>
      <c r="L26" t="n">
        <v>347</v>
      </c>
      <c r="M26" t="n">
        <v>894.8</v>
      </c>
      <c r="N26" t="n">
        <v>8613</v>
      </c>
      <c r="O26" t="n">
        <v>770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1315.8</v>
      </c>
      <c r="W26" t="n">
        <v>11252</v>
      </c>
      <c r="X26" t="n">
        <v>1117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59579</v>
      </c>
      <c r="C27" t="inlineStr">
        <is>
          <t>Sunnova</t>
        </is>
      </c>
      <c r="D27" t="inlineStr">
        <is>
          <t>A</t>
        </is>
      </c>
      <c r="E27" t="inlineStr">
        <is>
          <t>Bundled</t>
        </is>
      </c>
      <c r="F27" t="inlineStr">
        <is>
          <t>O</t>
        </is>
      </c>
      <c r="G27" t="inlineStr">
        <is>
          <t>NM</t>
        </is>
      </c>
      <c r="H27" t="inlineStr">
        <is>
          <t>Behind the Meter</t>
        </is>
      </c>
      <c r="I27" t="inlineStr">
        <is>
          <t>EPE</t>
        </is>
      </c>
      <c r="J27" t="n">
        <v>36.2</v>
      </c>
      <c r="K27" t="n">
        <v>180</v>
      </c>
      <c r="L27" t="n">
        <v>20</v>
      </c>
      <c r="M27" t="inlineStr">
        <is>
          <t>.</t>
        </is>
      </c>
      <c r="N27" t="inlineStr">
        <is>
          <t>.</t>
        </is>
      </c>
      <c r="O27" t="inlineStr">
        <is>
          <t>.</t>
        </is>
      </c>
      <c r="P27" t="inlineStr">
        <is>
          <t>.</t>
        </is>
      </c>
      <c r="Q27" t="inlineStr">
        <is>
          <t>.</t>
        </is>
      </c>
      <c r="R27" t="inlineStr">
        <is>
          <t>.</t>
        </is>
      </c>
      <c r="S27" t="inlineStr">
        <is>
          <t>.</t>
        </is>
      </c>
      <c r="T27" t="inlineStr">
        <is>
          <t>.</t>
        </is>
      </c>
      <c r="U27" t="inlineStr">
        <is>
          <t>.</t>
        </is>
      </c>
      <c r="V27" t="n">
        <v>36.2</v>
      </c>
      <c r="W27" t="n">
        <v>180</v>
      </c>
      <c r="X27" t="n">
        <v>20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  <row r="28">
      <c r="A28" t="n">
        <v>2024</v>
      </c>
      <c r="B28" t="n">
        <v>59579</v>
      </c>
      <c r="C28" t="inlineStr">
        <is>
          <t>Sunnova</t>
        </is>
      </c>
      <c r="D28" t="inlineStr">
        <is>
          <t>A</t>
        </is>
      </c>
      <c r="E28" t="inlineStr">
        <is>
          <t>Bundled</t>
        </is>
      </c>
      <c r="F28" t="inlineStr">
        <is>
          <t>O</t>
        </is>
      </c>
      <c r="G28" t="inlineStr">
        <is>
          <t>NM</t>
        </is>
      </c>
      <c r="H28" t="inlineStr">
        <is>
          <t>Behind the Meter</t>
        </is>
      </c>
      <c r="I28" t="inlineStr">
        <is>
          <t>ERCO</t>
        </is>
      </c>
      <c r="J28" t="n">
        <v>0</v>
      </c>
      <c r="K28" t="n">
        <v>0</v>
      </c>
      <c r="L28" t="n">
        <v>0</v>
      </c>
      <c r="M28" t="inlineStr">
        <is>
          <t>.</t>
        </is>
      </c>
      <c r="N28" t="inlineStr">
        <is>
          <t>.</t>
        </is>
      </c>
      <c r="O28" t="inlineStr">
        <is>
          <t>.</t>
        </is>
      </c>
      <c r="P28" t="inlineStr">
        <is>
          <t>.</t>
        </is>
      </c>
      <c r="Q28" t="inlineStr">
        <is>
          <t>.</t>
        </is>
      </c>
      <c r="R28" t="inlineStr">
        <is>
          <t>.</t>
        </is>
      </c>
      <c r="S28" t="inlineStr">
        <is>
          <t>.</t>
        </is>
      </c>
      <c r="T28" t="inlineStr">
        <is>
          <t>.</t>
        </is>
      </c>
      <c r="U28" t="inlineStr">
        <is>
          <t>.</t>
        </is>
      </c>
      <c r="V28" t="n">
        <v>0</v>
      </c>
      <c r="W28" t="n">
        <v>0</v>
      </c>
      <c r="X28" t="n">
        <v>0</v>
      </c>
      <c r="Y28">
        <f>IF(ISNUMBER($W28),$W28,0)</f>
        <v/>
      </c>
      <c r="Z28">
        <f>IF(ISNUMBER(SEARCH("Adjustment",$C28)),"excluded",IF($H28="Behind the Meter","excluded",IF(NOT(OR($E28="Bundled",$E28="Energy")),"excluded",IF(OR($H28="Retail Power Marketer",$H28="Community Choice Aggregator",$E28="Energy"),"procurement",IF(OR($H28="Municipal",$H28="Cooperative",$H28="Federal",$H28="State",$H28="Political Subdivision"),"cost_service",IF($H28="Investor Owned",IF(AND(COUNTIF(Parameters!$A$4:$A$33,$G28)&gt;0,COUNTIF(Parameters!$B$4:$B$33,$B28)=0),"procurement","cost_service"),"unclassified"))))))</f>
        <v/>
      </c>
    </row>
    <row r="29">
      <c r="A29" t="n">
        <v>2024</v>
      </c>
      <c r="B29" t="n">
        <v>59579</v>
      </c>
      <c r="C29" t="inlineStr">
        <is>
          <t>Sunnova</t>
        </is>
      </c>
      <c r="D29" t="inlineStr">
        <is>
          <t>A</t>
        </is>
      </c>
      <c r="E29" t="inlineStr">
        <is>
          <t>Bundled</t>
        </is>
      </c>
      <c r="F29" t="inlineStr">
        <is>
          <t>O</t>
        </is>
      </c>
      <c r="G29" t="inlineStr">
        <is>
          <t>NM</t>
        </is>
      </c>
      <c r="H29" t="inlineStr">
        <is>
          <t>Behind the Meter</t>
        </is>
      </c>
      <c r="I29" t="inlineStr">
        <is>
          <t>PNM</t>
        </is>
      </c>
      <c r="J29" t="n">
        <v>1485</v>
      </c>
      <c r="K29" t="n">
        <v>7399</v>
      </c>
      <c r="L29" t="n">
        <v>834</v>
      </c>
      <c r="M29" t="inlineStr">
        <is>
          <t>.</t>
        </is>
      </c>
      <c r="N29" t="inlineStr">
        <is>
          <t>.</t>
        </is>
      </c>
      <c r="O29" t="inlineStr">
        <is>
          <t>.</t>
        </is>
      </c>
      <c r="P29" t="inlineStr">
        <is>
          <t>.</t>
        </is>
      </c>
      <c r="Q29" t="inlineStr">
        <is>
          <t>.</t>
        </is>
      </c>
      <c r="R29" t="inlineStr">
        <is>
          <t>.</t>
        </is>
      </c>
      <c r="S29" t="inlineStr">
        <is>
          <t>.</t>
        </is>
      </c>
      <c r="T29" t="inlineStr">
        <is>
          <t>.</t>
        </is>
      </c>
      <c r="U29" t="inlineStr">
        <is>
          <t>.</t>
        </is>
      </c>
      <c r="V29" t="n">
        <v>1485</v>
      </c>
      <c r="W29" t="n">
        <v>7399</v>
      </c>
      <c r="X29" t="n">
        <v>834</v>
      </c>
      <c r="Y29">
        <f>IF(ISNUMBER($W29),$W29,0)</f>
        <v/>
      </c>
      <c r="Z29">
        <f>IF(ISNUMBER(SEARCH("Adjustment",$C29)),"excluded",IF($H29="Behind the Meter","excluded",IF(NOT(OR($E29="Bundled",$E29="Energy")),"excluded",IF(OR($H29="Retail Power Marketer",$H29="Community Choice Aggregator",$E29="Energy"),"procurement",IF(OR($H29="Municipal",$H29="Cooperative",$H29="Federal",$H29="State",$H29="Political Subdivision"),"cost_service",IF($H29="Investor Owned",IF(AND(COUNTIF(Parameters!$A$4:$A$33,$G29)&gt;0,COUNTIF(Parameters!$B$4:$B$33,$B29)=0),"procurement","cost_service"),"unclassified"))))))</f>
        <v/>
      </c>
    </row>
    <row r="30">
      <c r="A30" t="n">
        <v>2024</v>
      </c>
      <c r="B30" t="n">
        <v>59579</v>
      </c>
      <c r="C30" t="inlineStr">
        <is>
          <t>Sunnova</t>
        </is>
      </c>
      <c r="D30" t="inlineStr">
        <is>
          <t>A</t>
        </is>
      </c>
      <c r="E30" t="inlineStr">
        <is>
          <t>Bundled</t>
        </is>
      </c>
      <c r="F30" t="inlineStr">
        <is>
          <t>O</t>
        </is>
      </c>
      <c r="G30" t="inlineStr">
        <is>
          <t>NM</t>
        </is>
      </c>
      <c r="H30" t="inlineStr">
        <is>
          <t>Behind the Meter</t>
        </is>
      </c>
      <c r="I30" t="inlineStr">
        <is>
          <t>SWPP</t>
        </is>
      </c>
      <c r="J30" t="n">
        <v>20.7</v>
      </c>
      <c r="K30" t="n">
        <v>103</v>
      </c>
      <c r="L30" t="n">
        <v>12</v>
      </c>
      <c r="M30" t="inlineStr">
        <is>
          <t>.</t>
        </is>
      </c>
      <c r="N30" t="inlineStr">
        <is>
          <t>.</t>
        </is>
      </c>
      <c r="O30" t="inlineStr">
        <is>
          <t>.</t>
        </is>
      </c>
      <c r="P30" t="inlineStr">
        <is>
          <t>.</t>
        </is>
      </c>
      <c r="Q30" t="inlineStr">
        <is>
          <t>.</t>
        </is>
      </c>
      <c r="R30" t="inlineStr">
        <is>
          <t>.</t>
        </is>
      </c>
      <c r="S30" t="inlineStr">
        <is>
          <t>.</t>
        </is>
      </c>
      <c r="T30" t="inlineStr">
        <is>
          <t>.</t>
        </is>
      </c>
      <c r="U30" t="inlineStr">
        <is>
          <t>.</t>
        </is>
      </c>
      <c r="V30" t="n">
        <v>20.7</v>
      </c>
      <c r="W30" t="n">
        <v>103</v>
      </c>
      <c r="X30" t="n">
        <v>12</v>
      </c>
      <c r="Y30">
        <f>IF(ISNUMBER($W30),$W30,0)</f>
        <v/>
      </c>
      <c r="Z30">
        <f>IF(ISNUMBER(SEARCH("Adjustment",$C30)),"excluded",IF($H30="Behind the Meter","excluded",IF(NOT(OR($E30="Bundled",$E30="Energy")),"excluded",IF(OR($H30="Retail Power Marketer",$H30="Community Choice Aggregator",$E30="Energy"),"procurement",IF(OR($H30="Municipal",$H30="Cooperative",$H30="Federal",$H30="State",$H30="Political Subdivision"),"cost_service",IF($H30="Investor Owned",IF(AND(COUNTIF(Parameters!$A$4:$A$33,$G30)&gt;0,COUNTIF(Parameters!$B$4:$B$33,$B30)=0),"procurement","cost_service"),"unclassified"))))))</f>
        <v/>
      </c>
    </row>
    <row r="31">
      <c r="A31" t="n">
        <v>2024</v>
      </c>
      <c r="B31" t="n">
        <v>59622</v>
      </c>
      <c r="C31" t="inlineStr">
        <is>
          <t>Ahana Renewables, LLC</t>
        </is>
      </c>
      <c r="D31" t="inlineStr">
        <is>
          <t>A</t>
        </is>
      </c>
      <c r="E31" t="inlineStr">
        <is>
          <t>Bundled</t>
        </is>
      </c>
      <c r="F31" t="inlineStr">
        <is>
          <t>O</t>
        </is>
      </c>
      <c r="G31" t="inlineStr">
        <is>
          <t>NM</t>
        </is>
      </c>
      <c r="H31" t="inlineStr">
        <is>
          <t>Behind the Meter</t>
        </is>
      </c>
      <c r="I31" t="inlineStr">
        <is>
          <t>PNM</t>
        </is>
      </c>
      <c r="J31" t="n">
        <v>0</v>
      </c>
      <c r="K31" t="n">
        <v>0</v>
      </c>
      <c r="L31" t="n">
        <v>0</v>
      </c>
      <c r="M31" t="n">
        <v>85.7</v>
      </c>
      <c r="N31" t="n">
        <v>1012</v>
      </c>
      <c r="O31" t="n">
        <v>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85.7</v>
      </c>
      <c r="W31" t="n">
        <v>1012</v>
      </c>
      <c r="X31" t="n">
        <v>2</v>
      </c>
      <c r="Y31">
        <f>IF(ISNUMBER($W31),$W31,0)</f>
        <v/>
      </c>
      <c r="Z31">
        <f>IF(ISNUMBER(SEARCH("Adjustment",$C31)),"excluded",IF($H31="Behind the Meter","excluded",IF(NOT(OR($E31="Bundled",$E31="Energy")),"excluded",IF(OR($H31="Retail Power Marketer",$H31="Community Choice Aggregator",$E31="Energy"),"procurement",IF(OR($H31="Municipal",$H31="Cooperative",$H31="Federal",$H31="State",$H31="Political Subdivision"),"cost_service",IF($H31="Investor Owned",IF(AND(COUNTIF(Parameters!$A$4:$A$33,$G31)&gt;0,COUNTIF(Parameters!$B$4:$B$33,$B31)=0),"procurement","cost_service"),"unclassified"))))))</f>
        <v/>
      </c>
    </row>
    <row r="32">
      <c r="A32" t="n">
        <v>2024</v>
      </c>
      <c r="B32" t="n">
        <v>59647</v>
      </c>
      <c r="C32" t="inlineStr">
        <is>
          <t>Sunrun Inc.</t>
        </is>
      </c>
      <c r="D32" t="inlineStr">
        <is>
          <t>A</t>
        </is>
      </c>
      <c r="E32" t="inlineStr">
        <is>
          <t>Bundled</t>
        </is>
      </c>
      <c r="F32" t="inlineStr">
        <is>
          <t>O</t>
        </is>
      </c>
      <c r="G32" t="inlineStr">
        <is>
          <t>NM</t>
        </is>
      </c>
      <c r="H32" t="inlineStr">
        <is>
          <t>Behind the Meter</t>
        </is>
      </c>
      <c r="I32" t="inlineStr">
        <is>
          <t>PNM</t>
        </is>
      </c>
      <c r="J32" t="n">
        <v>4126</v>
      </c>
      <c r="K32" t="n">
        <v>30355</v>
      </c>
      <c r="L32" t="n">
        <v>3320</v>
      </c>
      <c r="M32" t="inlineStr">
        <is>
          <t>.</t>
        </is>
      </c>
      <c r="N32" t="inlineStr">
        <is>
          <t>.</t>
        </is>
      </c>
      <c r="O32" t="inlineStr">
        <is>
          <t>.</t>
        </is>
      </c>
      <c r="P32" t="inlineStr">
        <is>
          <t>.</t>
        </is>
      </c>
      <c r="Q32" t="inlineStr">
        <is>
          <t>.</t>
        </is>
      </c>
      <c r="R32" t="inlineStr">
        <is>
          <t>.</t>
        </is>
      </c>
      <c r="S32" t="inlineStr">
        <is>
          <t>.</t>
        </is>
      </c>
      <c r="T32" t="inlineStr">
        <is>
          <t>.</t>
        </is>
      </c>
      <c r="U32" t="inlineStr">
        <is>
          <t>.</t>
        </is>
      </c>
      <c r="V32" t="n">
        <v>4126</v>
      </c>
      <c r="W32" t="n">
        <v>30355</v>
      </c>
      <c r="X32" t="n">
        <v>3320</v>
      </c>
      <c r="Y32">
        <f>IF(ISNUMBER($W32),$W32,0)</f>
        <v/>
      </c>
      <c r="Z32">
        <f>IF(ISNUMBER(SEARCH("Adjustment",$C32)),"excluded",IF($H32="Behind the Meter","excluded",IF(NOT(OR($E32="Bundled",$E32="Energy")),"excluded",IF(OR($H32="Retail Power Marketer",$H32="Community Choice Aggregator",$E32="Energy"),"procurement",IF(OR($H32="Municipal",$H32="Cooperative",$H32="Federal",$H32="State",$H32="Political Subdivision"),"cost_service",IF($H32="Investor Owned",IF(AND(COUNTIF(Parameters!$A$4:$A$33,$G32)&gt;0,COUNTIF(Parameters!$B$4:$B$33,$B32)=0),"procurement","cost_service"),"unclassified"))))))</f>
        <v/>
      </c>
    </row>
    <row r="33">
      <c r="A33" t="n">
        <v>2024</v>
      </c>
      <c r="B33" t="n">
        <v>66026</v>
      </c>
      <c r="C33" t="inlineStr">
        <is>
          <t>Palmetto Solar, LLC</t>
        </is>
      </c>
      <c r="D33" t="inlineStr">
        <is>
          <t>A</t>
        </is>
      </c>
      <c r="E33" t="inlineStr">
        <is>
          <t>Bundled</t>
        </is>
      </c>
      <c r="F33" t="inlineStr">
        <is>
          <t>O</t>
        </is>
      </c>
      <c r="G33" t="inlineStr">
        <is>
          <t>NM</t>
        </is>
      </c>
      <c r="H33" t="inlineStr">
        <is>
          <t>Behind the Meter</t>
        </is>
      </c>
      <c r="I33" t="inlineStr">
        <is>
          <t>PNM</t>
        </is>
      </c>
      <c r="J33" t="n">
        <v>126.2</v>
      </c>
      <c r="K33" t="n">
        <v>1209</v>
      </c>
      <c r="L33" t="n">
        <v>10</v>
      </c>
      <c r="M33" t="inlineStr">
        <is>
          <t>.</t>
        </is>
      </c>
      <c r="N33" t="inlineStr">
        <is>
          <t>.</t>
        </is>
      </c>
      <c r="O33" t="inlineStr">
        <is>
          <t>.</t>
        </is>
      </c>
      <c r="P33" t="inlineStr">
        <is>
          <t>.</t>
        </is>
      </c>
      <c r="Q33" t="inlineStr">
        <is>
          <t>.</t>
        </is>
      </c>
      <c r="R33" t="inlineStr">
        <is>
          <t>.</t>
        </is>
      </c>
      <c r="S33" t="inlineStr">
        <is>
          <t>.</t>
        </is>
      </c>
      <c r="T33" t="inlineStr">
        <is>
          <t>.</t>
        </is>
      </c>
      <c r="U33" t="inlineStr">
        <is>
          <t>.</t>
        </is>
      </c>
      <c r="V33" t="n">
        <v>126.2</v>
      </c>
      <c r="W33" t="n">
        <v>1209</v>
      </c>
      <c r="X33" t="n">
        <v>10</v>
      </c>
      <c r="Y33">
        <f>IF(ISNUMBER($W33),$W33,0)</f>
        <v/>
      </c>
      <c r="Z33">
        <f>IF(ISNUMBER(SEARCH("Adjustment",$C33)),"excluded",IF($H33="Behind the Meter","excluded",IF(NOT(OR($E33="Bundled",$E33="Energy")),"excluded",IF(OR($H33="Retail Power Marketer",$H33="Community Choice Aggregator",$E33="Energy"),"procurement",IF(OR($H33="Municipal",$H33="Cooperative",$H33="Federal",$H33="State",$H33="Political Subdivision"),"cost_service",IF($H33="Investor Owned",IF(AND(COUNTIF(Parameters!$A$4:$A$33,$G33)&gt;0,COUNTIF(Parameters!$B$4:$B$33,$B33)=0),"procurement","cost_service"),"unclassified"))))))</f>
        <v/>
      </c>
    </row>
    <row r="34">
      <c r="A34" t="n">
        <v>2024</v>
      </c>
      <c r="B34" t="n">
        <v>99999</v>
      </c>
      <c r="C34" t="inlineStr">
        <is>
          <t>Adjustment 2024</t>
        </is>
      </c>
      <c r="D34" t="inlineStr">
        <is>
          <t>A</t>
        </is>
      </c>
      <c r="E34" t="inlineStr">
        <is>
          <t>Bundled</t>
        </is>
      </c>
      <c r="F34" t="inlineStr">
        <is>
          <t>I</t>
        </is>
      </c>
      <c r="G34" t="inlineStr">
        <is>
          <t>NM</t>
        </is>
      </c>
      <c r="H34" t="inlineStr"/>
      <c r="I34" t="inlineStr">
        <is>
          <t>EPE</t>
        </is>
      </c>
      <c r="J34" t="n">
        <v>0</v>
      </c>
      <c r="K34" t="n">
        <v>0</v>
      </c>
      <c r="L34" t="n">
        <v>-23</v>
      </c>
      <c r="M34" t="n">
        <v>0</v>
      </c>
      <c r="N34" t="n">
        <v>0</v>
      </c>
      <c r="O34" t="n">
        <v>-3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-26</v>
      </c>
      <c r="Y34">
        <f>IF(ISNUMBER($W34),$W34,0)</f>
        <v/>
      </c>
      <c r="Z34">
        <f>IF(ISNUMBER(SEARCH("Adjustment",$C34)),"excluded",IF($H34="Behind the Meter","excluded",IF(NOT(OR($E34="Bundled",$E34="Energy")),"excluded",IF(OR($H34="Retail Power Marketer",$H34="Community Choice Aggregator",$E34="Energy"),"procurement",IF(OR($H34="Municipal",$H34="Cooperative",$H34="Federal",$H34="State",$H34="Political Subdivision"),"cost_service",IF($H34="Investor Owned",IF(AND(COUNTIF(Parameters!$A$4:$A$33,$G34)&gt;0,COUNTIF(Parameters!$B$4:$B$33,$B34)=0),"procurement","cost_service"),"unclassified"))))))</f>
        <v/>
      </c>
    </row>
    <row r="35">
      <c r="A35" t="n">
        <v>2024</v>
      </c>
      <c r="B35" t="n">
        <v>99999</v>
      </c>
      <c r="C35" t="inlineStr">
        <is>
          <t>Adjustment 2024</t>
        </is>
      </c>
      <c r="D35" t="inlineStr">
        <is>
          <t>A</t>
        </is>
      </c>
      <c r="E35" t="inlineStr">
        <is>
          <t>Bundled</t>
        </is>
      </c>
      <c r="F35" t="inlineStr">
        <is>
          <t>I</t>
        </is>
      </c>
      <c r="G35" t="inlineStr">
        <is>
          <t>NM</t>
        </is>
      </c>
      <c r="H35" t="inlineStr"/>
      <c r="I35" t="inlineStr">
        <is>
          <t>PSCO</t>
        </is>
      </c>
      <c r="J35" t="n">
        <v>3392.6</v>
      </c>
      <c r="K35" t="n">
        <v>19317</v>
      </c>
      <c r="L35" t="n">
        <v>3649</v>
      </c>
      <c r="M35" t="n">
        <v>1344.1</v>
      </c>
      <c r="N35" t="n">
        <v>9355</v>
      </c>
      <c r="O35" t="n">
        <v>569</v>
      </c>
      <c r="P35" t="n">
        <v>1286.1</v>
      </c>
      <c r="Q35" t="n">
        <v>10021</v>
      </c>
      <c r="R35" t="n">
        <v>30</v>
      </c>
      <c r="S35" t="n">
        <v>0</v>
      </c>
      <c r="T35" t="n">
        <v>0</v>
      </c>
      <c r="U35" t="n">
        <v>0</v>
      </c>
      <c r="V35" t="n">
        <v>6022.8</v>
      </c>
      <c r="W35" t="n">
        <v>38693</v>
      </c>
      <c r="X35" t="n">
        <v>4248</v>
      </c>
      <c r="Y35">
        <f>IF(ISNUMBER($W35),$W35,0)</f>
        <v/>
      </c>
      <c r="Z35">
        <f>IF(ISNUMBER(SEARCH("Adjustment",$C35)),"excluded",IF($H35="Behind the Meter","excluded",IF(NOT(OR($E35="Bundled",$E35="Energy")),"excluded",IF(OR($H35="Retail Power Marketer",$H35="Community Choice Aggregator",$E35="Energy"),"procurement",IF(OR($H35="Municipal",$H35="Cooperative",$H35="Federal",$H35="State",$H35="Political Subdivision"),"cost_service",IF($H35="Investor Owned",IF(AND(COUNTIF(Parameters!$A$4:$A$33,$G35)&gt;0,COUNTIF(Parameters!$B$4:$B$33,$B35)=0),"procurement","cost_service"),"unclassified"))))))</f>
        <v/>
      </c>
    </row>
    <row r="36">
      <c r="A36" t="n">
        <v>2024</v>
      </c>
      <c r="B36" t="n">
        <v>99999</v>
      </c>
      <c r="C36" t="inlineStr">
        <is>
          <t>Adjustment 2024</t>
        </is>
      </c>
      <c r="D36" t="inlineStr">
        <is>
          <t>A</t>
        </is>
      </c>
      <c r="E36" t="inlineStr">
        <is>
          <t>Bundled</t>
        </is>
      </c>
      <c r="F36" t="inlineStr">
        <is>
          <t>I</t>
        </is>
      </c>
      <c r="G36" t="inlineStr">
        <is>
          <t>NM</t>
        </is>
      </c>
      <c r="H36" t="inlineStr"/>
      <c r="I36" t="inlineStr">
        <is>
          <t>PNM</t>
        </is>
      </c>
      <c r="J36" t="n">
        <v>49492.2</v>
      </c>
      <c r="K36" t="n">
        <v>305989</v>
      </c>
      <c r="L36" t="n">
        <v>39879</v>
      </c>
      <c r="M36" t="n">
        <v>45123.1</v>
      </c>
      <c r="N36" t="n">
        <v>413573</v>
      </c>
      <c r="O36" t="n">
        <v>6907</v>
      </c>
      <c r="P36" t="n">
        <v>10828.7</v>
      </c>
      <c r="Q36" t="n">
        <v>86280</v>
      </c>
      <c r="R36" t="n">
        <v>446</v>
      </c>
      <c r="S36" t="n">
        <v>0</v>
      </c>
      <c r="T36" t="n">
        <v>0</v>
      </c>
      <c r="U36" t="n">
        <v>0</v>
      </c>
      <c r="V36" t="n">
        <v>105444</v>
      </c>
      <c r="W36" t="n">
        <v>805842</v>
      </c>
      <c r="X36" t="n">
        <v>47232</v>
      </c>
      <c r="Y36">
        <f>IF(ISNUMBER($W36),$W36,0)</f>
        <v/>
      </c>
      <c r="Z36">
        <f>IF(ISNUMBER(SEARCH("Adjustment",$C36)),"excluded",IF($H36="Behind the Meter","excluded",IF(NOT(OR($E36="Bundled",$E36="Energy")),"excluded",IF(OR($H36="Retail Power Marketer",$H36="Community Choice Aggregator",$E36="Energy"),"procurement",IF(OR($H36="Municipal",$H36="Cooperative",$H36="Federal",$H36="State",$H36="Political Subdivision"),"cost_service",IF($H36="Investor Owned",IF(AND(COUNTIF(Parameters!$A$4:$A$33,$G36)&gt;0,COUNTIF(Parameters!$B$4:$B$33,$B36)=0),"procurement","cost_service"),"unclassified"))))))</f>
        <v/>
      </c>
    </row>
    <row r="37">
      <c r="A37" t="n">
        <v>2024</v>
      </c>
      <c r="B37" t="n">
        <v>99999</v>
      </c>
      <c r="C37" t="inlineStr">
        <is>
          <t>Adjustment 2024</t>
        </is>
      </c>
      <c r="D37" t="inlineStr">
        <is>
          <t>A</t>
        </is>
      </c>
      <c r="E37" t="inlineStr">
        <is>
          <t>Bundled</t>
        </is>
      </c>
      <c r="F37" t="inlineStr">
        <is>
          <t>I</t>
        </is>
      </c>
      <c r="G37" t="inlineStr">
        <is>
          <t>NM</t>
        </is>
      </c>
      <c r="H37" t="inlineStr"/>
      <c r="I37" t="inlineStr">
        <is>
          <t>WALC</t>
        </is>
      </c>
      <c r="J37" t="n">
        <v>368.5</v>
      </c>
      <c r="K37" t="n">
        <v>2615</v>
      </c>
      <c r="L37" t="n">
        <v>236</v>
      </c>
      <c r="M37" t="n">
        <v>41.8</v>
      </c>
      <c r="N37" t="n">
        <v>309</v>
      </c>
      <c r="O37" t="n">
        <v>32</v>
      </c>
      <c r="P37" t="n">
        <v>175.8</v>
      </c>
      <c r="Q37" t="n">
        <v>1153</v>
      </c>
      <c r="R37" t="n">
        <v>71</v>
      </c>
      <c r="S37" t="n">
        <v>0</v>
      </c>
      <c r="T37" t="n">
        <v>0</v>
      </c>
      <c r="U37" t="n">
        <v>0</v>
      </c>
      <c r="V37" t="n">
        <v>586.1</v>
      </c>
      <c r="W37" t="n">
        <v>4077</v>
      </c>
      <c r="X37" t="n">
        <v>339</v>
      </c>
      <c r="Y37">
        <f>IF(ISNUMBER($W37),$W37,0)</f>
        <v/>
      </c>
      <c r="Z37">
        <f>IF(ISNUMBER(SEARCH("Adjustment",$C37)),"excluded",IF($H37="Behind the Meter","excluded",IF(NOT(OR($E37="Bundled",$E37="Energy")),"excluded",IF(OR($H37="Retail Power Marketer",$H37="Community Choice Aggregator",$E37="Energy"),"procurement",IF(OR($H37="Municipal",$H37="Cooperative",$H37="Federal",$H37="State",$H37="Political Subdivision"),"cost_service",IF($H37="Investor Owned",IF(AND(COUNTIF(Parameters!$A$4:$A$33,$G37)&gt;0,COUNTIF(Parameters!$B$4:$B$33,$B37)=0),"procurement","cost_service"),"unclassified"))))))</f>
        <v/>
      </c>
    </row>
    <row r="38">
      <c r="A38" t="n">
        <v>2024</v>
      </c>
      <c r="B38" t="n">
        <v>99999</v>
      </c>
      <c r="C38" t="inlineStr">
        <is>
          <t>Adjustment 2024</t>
        </is>
      </c>
      <c r="D38" t="inlineStr">
        <is>
          <t>A</t>
        </is>
      </c>
      <c r="E38" t="inlineStr">
        <is>
          <t>Bundled</t>
        </is>
      </c>
      <c r="F38" t="inlineStr">
        <is>
          <t>I</t>
        </is>
      </c>
      <c r="G38" t="inlineStr">
        <is>
          <t>NM</t>
        </is>
      </c>
      <c r="H38" t="inlineStr"/>
      <c r="I38" t="inlineStr">
        <is>
          <t>WACM</t>
        </is>
      </c>
      <c r="J38" t="n">
        <v>2463.1</v>
      </c>
      <c r="K38" t="n">
        <v>15947</v>
      </c>
      <c r="L38" t="n">
        <v>2675</v>
      </c>
      <c r="M38" t="n">
        <v>3360.9</v>
      </c>
      <c r="N38" t="n">
        <v>24381</v>
      </c>
      <c r="O38" t="n">
        <v>512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5824</v>
      </c>
      <c r="W38" t="n">
        <v>40328</v>
      </c>
      <c r="X38" t="n">
        <v>3187</v>
      </c>
      <c r="Y38">
        <f>IF(ISNUMBER($W38),$W38,0)</f>
        <v/>
      </c>
      <c r="Z38">
        <f>IF(ISNUMBER(SEARCH("Adjustment",$C38)),"excluded",IF($H38="Behind the Meter","excluded",IF(NOT(OR($E38="Bundled",$E38="Energy")),"excluded",IF(OR($H38="Retail Power Marketer",$H38="Community Choice Aggregator",$E38="Energy"),"procurement",IF(OR($H38="Municipal",$H38="Cooperative",$H38="Federal",$H38="State",$H38="Political Subdivision"),"cost_service",IF($H38="Investor Owned",IF(AND(COUNTIF(Parameters!$A$4:$A$33,$G38)&gt;0,COUNTIF(Parameters!$B$4:$B$33,$B38)=0),"procurement","cost_service"),"unclassified"))))))</f>
        <v/>
      </c>
    </row>
    <row r="39">
      <c r="A39" t="n">
        <v>2024</v>
      </c>
      <c r="B39" t="n">
        <v>99999</v>
      </c>
      <c r="C39" t="inlineStr">
        <is>
          <t>Adjustment 2024</t>
        </is>
      </c>
      <c r="D39" t="inlineStr">
        <is>
          <t>A</t>
        </is>
      </c>
      <c r="E39" t="inlineStr">
        <is>
          <t>Bundled</t>
        </is>
      </c>
      <c r="F39" t="inlineStr">
        <is>
          <t>I</t>
        </is>
      </c>
      <c r="G39" t="inlineStr">
        <is>
          <t>NM</t>
        </is>
      </c>
      <c r="H39" t="inlineStr"/>
      <c r="I39" t="inlineStr">
        <is>
          <t>SWPP</t>
        </is>
      </c>
      <c r="J39" t="n">
        <v>0</v>
      </c>
      <c r="K39" t="n">
        <v>0</v>
      </c>
      <c r="L39" t="n">
        <v>-12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-12</v>
      </c>
      <c r="Y39">
        <f>IF(ISNUMBER($W39),$W39,0)</f>
        <v/>
      </c>
      <c r="Z39">
        <f>IF(ISNUMBER(SEARCH("Adjustment",$C39)),"excluded",IF($H39="Behind the Meter","excluded",IF(NOT(OR($E39="Bundled",$E39="Energy")),"excluded",IF(OR($H39="Retail Power Marketer",$H39="Community Choice Aggregator",$E39="Energy"),"procurement",IF(OR($H39="Municipal",$H39="Cooperative",$H39="Federal",$H39="State",$H39="Political Subdivision"),"cost_service",IF($H39="Investor Owned",IF(AND(COUNTIF(Parameters!$A$4:$A$33,$G39)&gt;0,COUNTIF(Parameters!$B$4:$B$33,$B39)=0),"procurement","cost_service"),"unclassified"))))))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NM</t>
        </is>
      </c>
      <c r="B2">
        <f>SUMIFS('EIA-861 Sales 2024'!$Y$4:$Y$39,'EIA-861 Sales 2024'!$Z$4:$Z$39,"cost_service")</f>
        <v/>
      </c>
      <c r="C2">
        <f>SUMIFS('EIA-861 Sales 2024'!$Y$4:$Y$39,'EIA-861 Sales 2024'!$Z$4:$Z$39,"procurement")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2026-06-02T20:15:31Z</dcterms:created>
  <dcterms:modified xmlns:dcterms="http://purl.org/dc/terms/" xmlns:xsi="http://www.w3.org/2001/XMLSchema-instance" xsi:type="dcterms:W3CDTF">2026-06-02T20:15:31Z</dcterms:modified>
</cp:coreProperties>
</file>