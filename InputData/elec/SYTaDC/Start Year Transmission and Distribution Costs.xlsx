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lec\SYTaDC\"/>
    </mc:Choice>
  </mc:AlternateContent>
  <xr:revisionPtr revIDLastSave="0" documentId="8_{F79A90B8-E833-4BA0-A0E9-92E67051B5E8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<sst xmlns="http://schemas.openxmlformats.org/spreadsheetml/2006/main" count="264" uniqueCount="144">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</sst>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78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NM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New Mexico</v>
      </c>
    </row>
    <row r="44" spans="1:42" x14ac:dyDescent="0.25">
      <c r="A44" t="s">
        <v>143</v>
      </c>
      <c r="B44" s="15">
        <f>SUMIFS('HIFLD Outputs'!$F$2:$F$49,'HIFLD Outputs'!$B$2:$B$49,'Data National'!$A$43)*B34</f>
        <v>2814818.7409275714</v>
      </c>
      <c r="C44" s="15">
        <f>SUMIFS('HIFLD Outputs'!$F$2:$F$49,'HIFLD Outputs'!$B$2:$B$49,'Data National'!$A$43)*C34</f>
        <v>2816957.6609434737</v>
      </c>
      <c r="D44" s="15">
        <f>SUMIFS('HIFLD Outputs'!$F$2:$F$49,'HIFLD Outputs'!$B$2:$B$49,'Data National'!$A$43)*D34</f>
        <v>2819096.5809593764</v>
      </c>
      <c r="E44" s="15">
        <f>SUMIFS('HIFLD Outputs'!$F$2:$F$49,'HIFLD Outputs'!$B$2:$B$49,'Data National'!$A$43)*E34</f>
        <v>2821235.5009752787</v>
      </c>
      <c r="F44" s="15">
        <f>SUMIFS('HIFLD Outputs'!$F$2:$F$49,'HIFLD Outputs'!$B$2:$B$49,'Data National'!$A$43)*F34</f>
        <v>2823374.4209911814</v>
      </c>
      <c r="G44" s="15">
        <f>SUMIFS('HIFLD Outputs'!$F$2:$F$49,'HIFLD Outputs'!$B$2:$B$49,'Data National'!$A$43)*G34</f>
        <v>2825513.3410070837</v>
      </c>
      <c r="H44" s="15">
        <f>SUMIFS('HIFLD Outputs'!$F$2:$F$49,'HIFLD Outputs'!$B$2:$B$49,'Data National'!$A$43)*H34</f>
        <v>2827652.2610229864</v>
      </c>
      <c r="I44" s="15">
        <f>SUMIFS('HIFLD Outputs'!$F$2:$F$49,'HIFLD Outputs'!$B$2:$B$49,'Data National'!$A$43)*I34</f>
        <v>2829791.1810388886</v>
      </c>
      <c r="J44" s="15">
        <f>SUMIFS('HIFLD Outputs'!$F$2:$F$49,'HIFLD Outputs'!$B$2:$B$49,'Data National'!$A$43)*J34</f>
        <v>2831930.1010547909</v>
      </c>
      <c r="K44" s="15">
        <f>SUMIFS('HIFLD Outputs'!$F$2:$F$49,'HIFLD Outputs'!$B$2:$B$49,'Data National'!$A$43)*K34</f>
        <v>2834069.0210706936</v>
      </c>
      <c r="L44" s="15">
        <f>SUMIFS('HIFLD Outputs'!$F$2:$F$49,'HIFLD Outputs'!$B$2:$B$49,'Data National'!$A$43)*L34</f>
        <v>2836207.9410865959</v>
      </c>
      <c r="M44" s="15">
        <f>SUMIFS('HIFLD Outputs'!$F$2:$F$49,'HIFLD Outputs'!$B$2:$B$49,'Data National'!$A$43)*M34</f>
        <v>2838346.8611024986</v>
      </c>
      <c r="N44" s="15">
        <f>SUMIFS('HIFLD Outputs'!$F$2:$F$49,'HIFLD Outputs'!$B$2:$B$49,'Data National'!$A$43)*N34</f>
        <v>2840485.7811184009</v>
      </c>
      <c r="O44" s="15">
        <f>SUMIFS('HIFLD Outputs'!$F$2:$F$49,'HIFLD Outputs'!$B$2:$B$49,'Data National'!$A$43)*O34</f>
        <v>2842624.7011343036</v>
      </c>
      <c r="P44" s="15">
        <f>SUMIFS('HIFLD Outputs'!$F$2:$F$49,'HIFLD Outputs'!$B$2:$B$49,'Data National'!$A$43)*P34</f>
        <v>2844763.6211502058</v>
      </c>
      <c r="Q44" s="15">
        <f>SUMIFS('HIFLD Outputs'!$F$2:$F$49,'HIFLD Outputs'!$B$2:$B$49,'Data National'!$A$43)*Q34</f>
        <v>2846902.5411661081</v>
      </c>
      <c r="R44" s="15">
        <f>SUMIFS('HIFLD Outputs'!$F$2:$F$49,'HIFLD Outputs'!$B$2:$B$49,'Data National'!$A$43)*R34</f>
        <v>2849041.4611820108</v>
      </c>
      <c r="S44" s="15">
        <f>SUMIFS('HIFLD Outputs'!$F$2:$F$49,'HIFLD Outputs'!$B$2:$B$49,'Data National'!$A$43)*S34</f>
        <v>2851180.3811979131</v>
      </c>
      <c r="T44" s="15">
        <f>SUMIFS('HIFLD Outputs'!$F$2:$F$49,'HIFLD Outputs'!$B$2:$B$49,'Data National'!$A$43)*T34</f>
        <v>2853319.3012138158</v>
      </c>
      <c r="U44" s="15">
        <f>SUMIFS('HIFLD Outputs'!$F$2:$F$49,'HIFLD Outputs'!$B$2:$B$49,'Data National'!$A$43)*U34</f>
        <v>2855458.2212297181</v>
      </c>
      <c r="V44" s="15">
        <f>SUMIFS('HIFLD Outputs'!$F$2:$F$49,'HIFLD Outputs'!$B$2:$B$49,'Data National'!$A$43)*V34</f>
        <v>2857597.1412456208</v>
      </c>
      <c r="W44" s="15">
        <f>SUMIFS('HIFLD Outputs'!$F$2:$F$49,'HIFLD Outputs'!$B$2:$B$49,'Data National'!$A$43)*W34</f>
        <v>2859736.061261523</v>
      </c>
      <c r="X44" s="15">
        <f>SUMIFS('HIFLD Outputs'!$F$2:$F$49,'HIFLD Outputs'!$B$2:$B$49,'Data National'!$A$43)*X34</f>
        <v>2861874.9812774253</v>
      </c>
      <c r="Y44" s="15">
        <f>SUMIFS('HIFLD Outputs'!$F$2:$F$49,'HIFLD Outputs'!$B$2:$B$49,'Data National'!$A$43)*Y34</f>
        <v>2864013.901293328</v>
      </c>
      <c r="Z44" s="15">
        <f>SUMIFS('HIFLD Outputs'!$F$2:$F$49,'HIFLD Outputs'!$B$2:$B$49,'Data National'!$A$43)*Z34</f>
        <v>2866152.8213092303</v>
      </c>
      <c r="AA44" s="15">
        <f>SUMIFS('HIFLD Outputs'!$F$2:$F$49,'HIFLD Outputs'!$B$2:$B$49,'Data National'!$A$43)*AA34</f>
        <v>2868291.741325133</v>
      </c>
      <c r="AB44" s="15">
        <f>SUMIFS('HIFLD Outputs'!$F$2:$F$49,'HIFLD Outputs'!$B$2:$B$49,'Data National'!$A$43)*AB34</f>
        <v>2870430.6613410353</v>
      </c>
      <c r="AC44" s="15">
        <f>SUMIFS('HIFLD Outputs'!$F$2:$F$49,'HIFLD Outputs'!$B$2:$B$49,'Data National'!$A$43)*AC34</f>
        <v>2872569.581356938</v>
      </c>
      <c r="AD44" s="15">
        <f>SUMIFS('HIFLD Outputs'!$F$2:$F$49,'HIFLD Outputs'!$B$2:$B$49,'Data National'!$A$43)*AD34</f>
        <v>2874708.5013728403</v>
      </c>
      <c r="AE44" s="15">
        <f>SUMIFS('HIFLD Outputs'!$F$2:$F$49,'HIFLD Outputs'!$B$2:$B$49,'Data National'!$A$43)*AE34</f>
        <v>2876847.421388743</v>
      </c>
      <c r="AF44" s="15">
        <f>SUMIFS('HIFLD Outputs'!$F$2:$F$49,'HIFLD Outputs'!$B$2:$B$49,'Data National'!$A$43)*AF34</f>
        <v>2878986.3414046452</v>
      </c>
      <c r="AG44" s="15">
        <f>SUMIFS('HIFLD Outputs'!$F$2:$F$49,'HIFLD Outputs'!$B$2:$B$49,'Data National'!$A$43)*AG34</f>
        <v>2881125.2614205475</v>
      </c>
      <c r="AH44" s="15">
        <f>SUMIFS('HIFLD Outputs'!$F$2:$F$49,'HIFLD Outputs'!$B$2:$B$49,'Data National'!$A$43)*AH34</f>
        <v>2883264.1814364502</v>
      </c>
      <c r="AI44" s="15">
        <f>SUMIFS('HIFLD Outputs'!$F$2:$F$49,'HIFLD Outputs'!$B$2:$B$49,'Data National'!$A$43)*AI34</f>
        <v>2885403.1014523525</v>
      </c>
      <c r="AJ44" s="15">
        <f>SUMIFS('HIFLD Outputs'!$F$2:$F$49,'HIFLD Outputs'!$B$2:$B$49,'Data National'!$A$43)*AJ34</f>
        <v>2887542.0214682552</v>
      </c>
      <c r="AK44" s="15">
        <f>SUMIFS('HIFLD Outputs'!$F$2:$F$49,'HIFLD Outputs'!$B$2:$B$49,'Data National'!$A$43)*AK34</f>
        <v>2889680.9414841575</v>
      </c>
      <c r="AL44" s="15">
        <f>SUMIFS('HIFLD Outputs'!$F$2:$F$49,'HIFLD Outputs'!$B$2:$B$49,'Data National'!$A$43)*AL34</f>
        <v>2891819.8615000602</v>
      </c>
      <c r="AM44" s="15">
        <f>SUMIFS('HIFLD Outputs'!$F$2:$F$49,'HIFLD Outputs'!$B$2:$B$49,'Data National'!$A$43)*AM34</f>
        <v>2893958.7815159624</v>
      </c>
      <c r="AN44" s="15">
        <f>SUMIFS('HIFLD Outputs'!$F$2:$F$49,'HIFLD Outputs'!$B$2:$B$49,'Data National'!$A$43)*AN34</f>
        <v>2896097.7015318647</v>
      </c>
      <c r="AO44" s="15">
        <f>SUMIFS('HIFLD Outputs'!$F$2:$F$49,'HIFLD Outputs'!$B$2:$B$49,'Data National'!$A$43)*AO34</f>
        <v>2898236.6215477674</v>
      </c>
      <c r="AP44" s="15">
        <f>SUMIFS('HIFLD Outputs'!$F$2:$F$49,'HIFLD Outputs'!$B$2:$B$49,'Data National'!$A$43)*AP34</f>
        <v>2900375.5415636697</v>
      </c>
    </row>
    <row r="45" spans="1:42" x14ac:dyDescent="0.25">
      <c r="A45" s="16" t="s">
        <v>15</v>
      </c>
      <c r="B45" s="17">
        <f>B37*SUMIFS('HIFLD Outputs'!$F$2:$F$49,'HIFLD Outputs'!$B$2:$B$49,$A$43)</f>
        <v>226235001.2489545</v>
      </c>
    </row>
    <row r="46" spans="1:42" x14ac:dyDescent="0.25">
      <c r="A46" s="16" t="s">
        <v>14</v>
      </c>
      <c r="B46" s="17">
        <f>B38*SUMIFS('HIFLD Outputs'!$F$2:$F$49,'HIFLD Outputs'!$B$2:$B$49,$A$43)</f>
        <v>355706839.31311518</v>
      </c>
    </row>
    <row r="47" spans="1:42" x14ac:dyDescent="0.25">
      <c r="A47" s="16" t="s">
        <v>16</v>
      </c>
      <c r="B47" s="17">
        <f>B39*SUMIFS('HIFLD Outputs'!$F$2:$F$49,'HIFLD Outputs'!$B$2:$B$49,$A$43)</f>
        <v>320272441.52713436</v>
      </c>
    </row>
    <row r="48" spans="1:42" x14ac:dyDescent="0.25">
      <c r="A48" s="16" t="s">
        <v>17</v>
      </c>
      <c r="B48" s="17">
        <f>B40*SUMIFS('HIFLD Outputs'!$F$2:$F$49,'HIFLD Outputs'!$B$2:$B$49,$A$43)</f>
        <v>427938496.33838379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226235001.2489545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355706839.31311518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320272441.52713436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427938496.33838379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2026-06-12T20:49:54Z</dcterms:modified>
</cp:coreProperties>
</file>