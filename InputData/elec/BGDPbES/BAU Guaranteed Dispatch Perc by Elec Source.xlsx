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data-forecast\outputs\BGDPbES\"/>
    </mc:Choice>
  </mc:AlternateContent>
  <xr:revisionPtr revIDLastSave="0" documentId="8_{523DDD6D-649E-4B65-A634-F792557CCE9D}"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Defaults" sheetId="3" r:id="rId3"/>
    <sheet name="Tuned" sheetId="4" r:id="rId4"/>
    <sheet name="Fleet" sheetId="5" r:id="rId5"/>
    <sheet name="BGDPbES"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3" i="6" l="1"/>
  <c r="AD13" i="6"/>
  <c r="AC13" i="6"/>
  <c r="AB13" i="6"/>
  <c r="AA13" i="6"/>
  <c r="Z13" i="6"/>
  <c r="Y13" i="6"/>
  <c r="X13" i="6"/>
  <c r="W13" i="6"/>
  <c r="V13" i="6"/>
  <c r="U13" i="6"/>
  <c r="T13" i="6"/>
  <c r="S13" i="6"/>
  <c r="R13" i="6"/>
  <c r="Q13" i="6"/>
  <c r="P13" i="6"/>
  <c r="O13" i="6"/>
  <c r="N13" i="6"/>
  <c r="M13" i="6"/>
  <c r="L13" i="6"/>
  <c r="K13" i="6"/>
  <c r="J13" i="6"/>
  <c r="I13" i="6"/>
  <c r="H13" i="6"/>
  <c r="G13" i="6"/>
  <c r="E13" i="6"/>
  <c r="D13" i="6"/>
  <c r="C13" i="6"/>
  <c r="B13" i="6"/>
  <c r="Y114" i="5"/>
  <c r="X114" i="5"/>
  <c r="W114" i="5"/>
  <c r="V114" i="5"/>
  <c r="U114" i="5"/>
  <c r="T114" i="5"/>
  <c r="S114" i="5"/>
  <c r="R114" i="5"/>
  <c r="Q114" i="5"/>
  <c r="P114" i="5"/>
  <c r="O114" i="5"/>
  <c r="N114" i="5"/>
  <c r="M114" i="5"/>
  <c r="L114" i="5"/>
  <c r="K114" i="5"/>
  <c r="J114" i="5"/>
  <c r="I114" i="5"/>
  <c r="H114" i="5"/>
  <c r="G114" i="5"/>
  <c r="F114" i="5"/>
  <c r="E114" i="5"/>
  <c r="D114" i="5"/>
  <c r="C114" i="5"/>
  <c r="B114" i="5"/>
  <c r="B2" i="1"/>
  <c r="B24" i="6" s="1"/>
  <c r="X24" i="6" s="1"/>
  <c r="B138" i="5" l="1"/>
  <c r="C138" i="5" s="1"/>
  <c r="B136" i="5"/>
  <c r="C136" i="5" s="1"/>
  <c r="B137" i="5"/>
  <c r="C137" i="5" s="1"/>
  <c r="B139" i="5"/>
  <c r="C139" i="5" s="1"/>
  <c r="B9" i="6"/>
  <c r="AC9" i="6" s="1"/>
  <c r="B15" i="6"/>
  <c r="H15" i="6" s="1"/>
  <c r="S24" i="6"/>
  <c r="B135" i="5"/>
  <c r="C135" i="5" s="1"/>
  <c r="B124" i="5"/>
  <c r="C124" i="5" s="1"/>
  <c r="B11" i="6"/>
  <c r="B23" i="6"/>
  <c r="B20" i="6"/>
  <c r="B134" i="5"/>
  <c r="C134" i="5" s="1"/>
  <c r="B123" i="5"/>
  <c r="C123" i="5" s="1"/>
  <c r="F13" i="6"/>
  <c r="B8" i="6"/>
  <c r="F8" i="6" s="1"/>
  <c r="B19" i="6"/>
  <c r="B17" i="6"/>
  <c r="B133" i="5"/>
  <c r="C133" i="5" s="1"/>
  <c r="B122" i="5"/>
  <c r="C122" i="5" s="1"/>
  <c r="B120" i="5"/>
  <c r="C120" i="5" s="1"/>
  <c r="F4" i="6" s="1"/>
  <c r="B141" i="5"/>
  <c r="C141" i="5" s="1"/>
  <c r="B5" i="6"/>
  <c r="B10" i="6"/>
  <c r="B130" i="5"/>
  <c r="C130" i="5" s="1"/>
  <c r="F14" i="6" s="1"/>
  <c r="B140" i="5"/>
  <c r="C140" i="5" s="1"/>
  <c r="B25" i="6"/>
  <c r="B132" i="5"/>
  <c r="C132" i="5" s="1"/>
  <c r="B121" i="5"/>
  <c r="C121" i="5" s="1"/>
  <c r="B22" i="6"/>
  <c r="B131" i="5"/>
  <c r="C131" i="5" s="1"/>
  <c r="B119" i="5"/>
  <c r="C119" i="5" s="1"/>
  <c r="F3" i="6" s="1"/>
  <c r="B118" i="5"/>
  <c r="C118" i="5" s="1"/>
  <c r="F2" i="6" s="1"/>
  <c r="B7" i="6"/>
  <c r="B16" i="6"/>
  <c r="B129" i="5"/>
  <c r="C129" i="5" s="1"/>
  <c r="B12" i="6"/>
  <c r="B125" i="5"/>
  <c r="C125" i="5" s="1"/>
  <c r="B6" i="6"/>
  <c r="T6" i="6" s="1"/>
  <c r="B127" i="5"/>
  <c r="C127" i="5" s="1"/>
  <c r="R24" i="6"/>
  <c r="V24" i="6"/>
  <c r="Q24" i="6"/>
  <c r="C24" i="6"/>
  <c r="P24" i="6"/>
  <c r="O24" i="6"/>
  <c r="N24" i="6"/>
  <c r="AD24" i="6"/>
  <c r="M24" i="6"/>
  <c r="L24" i="6"/>
  <c r="I24" i="6"/>
  <c r="H24" i="6"/>
  <c r="G24" i="6"/>
  <c r="F24" i="6"/>
  <c r="K24" i="6"/>
  <c r="AE24" i="6"/>
  <c r="AC24" i="6"/>
  <c r="AB24" i="6"/>
  <c r="Y24" i="6"/>
  <c r="J24" i="6"/>
  <c r="AA24" i="6"/>
  <c r="E24" i="6"/>
  <c r="Z24" i="6"/>
  <c r="D24" i="6"/>
  <c r="T24" i="6"/>
  <c r="U24" i="6"/>
  <c r="B18" i="6"/>
  <c r="W24" i="6"/>
  <c r="B126" i="5"/>
  <c r="C126" i="5" s="1"/>
  <c r="B128" i="5"/>
  <c r="C128" i="5" s="1"/>
  <c r="B21" i="6"/>
  <c r="AB9" i="6" l="1"/>
  <c r="AD9" i="6"/>
  <c r="F6" i="6"/>
  <c r="T9" i="6"/>
  <c r="L9" i="6"/>
  <c r="Z9" i="6"/>
  <c r="X9" i="6"/>
  <c r="K6" i="6"/>
  <c r="X15" i="6"/>
  <c r="C9" i="6"/>
  <c r="N15" i="6"/>
  <c r="G15" i="6"/>
  <c r="H9" i="6"/>
  <c r="N9" i="6"/>
  <c r="U9" i="6"/>
  <c r="AE9" i="6"/>
  <c r="I9" i="6"/>
  <c r="D15" i="6"/>
  <c r="K9" i="6"/>
  <c r="M9" i="6"/>
  <c r="AC15" i="6"/>
  <c r="N6" i="6"/>
  <c r="E15" i="6"/>
  <c r="J9" i="6"/>
  <c r="Y9" i="6"/>
  <c r="V9" i="6"/>
  <c r="O9" i="6"/>
  <c r="F15" i="6"/>
  <c r="F9" i="6"/>
  <c r="P9" i="6"/>
  <c r="W6" i="6"/>
  <c r="W9" i="6"/>
  <c r="J15" i="6"/>
  <c r="Q9" i="6"/>
  <c r="E9" i="6"/>
  <c r="K15" i="6"/>
  <c r="R9" i="6"/>
  <c r="AD15" i="6"/>
  <c r="D9" i="6"/>
  <c r="L15" i="6"/>
  <c r="S9" i="6"/>
  <c r="Z15" i="6"/>
  <c r="AE15" i="6"/>
  <c r="M15" i="6"/>
  <c r="AA9" i="6"/>
  <c r="O15" i="6"/>
  <c r="P15" i="6"/>
  <c r="S15" i="6"/>
  <c r="C15" i="6"/>
  <c r="T15" i="6"/>
  <c r="M6" i="6"/>
  <c r="D6" i="6"/>
  <c r="J6" i="6"/>
  <c r="P6" i="6"/>
  <c r="H6" i="6"/>
  <c r="Q15" i="6"/>
  <c r="R6" i="6"/>
  <c r="AE6" i="6"/>
  <c r="R15" i="6"/>
  <c r="I6" i="6"/>
  <c r="Y15" i="6"/>
  <c r="AB15" i="6"/>
  <c r="V15" i="6"/>
  <c r="AA15" i="6"/>
  <c r="U6" i="6"/>
  <c r="I15" i="6"/>
  <c r="V6" i="6"/>
  <c r="W15" i="6"/>
  <c r="G9" i="6"/>
  <c r="U15" i="6"/>
  <c r="O16" i="6"/>
  <c r="N16" i="6"/>
  <c r="M16" i="6"/>
  <c r="L16" i="6"/>
  <c r="K16" i="6"/>
  <c r="J16" i="6"/>
  <c r="AE16" i="6"/>
  <c r="I16" i="6"/>
  <c r="AC16" i="6"/>
  <c r="G16" i="6"/>
  <c r="F16" i="6"/>
  <c r="AA16" i="6"/>
  <c r="D16" i="6"/>
  <c r="AD16" i="6"/>
  <c r="H16" i="6"/>
  <c r="AB16" i="6"/>
  <c r="E16" i="6"/>
  <c r="Z16" i="6"/>
  <c r="W16" i="6"/>
  <c r="Y16" i="6"/>
  <c r="C16" i="6"/>
  <c r="X16" i="6"/>
  <c r="R16" i="6"/>
  <c r="Q16" i="6"/>
  <c r="V16" i="6"/>
  <c r="P16" i="6"/>
  <c r="U16" i="6"/>
  <c r="T16" i="6"/>
  <c r="S16" i="6"/>
  <c r="AD5" i="6"/>
  <c r="H5" i="6"/>
  <c r="AC5" i="6"/>
  <c r="G5" i="6"/>
  <c r="AB5" i="6"/>
  <c r="F5" i="6"/>
  <c r="AA5" i="6"/>
  <c r="E5" i="6"/>
  <c r="Z5" i="6"/>
  <c r="D5" i="6"/>
  <c r="T5" i="6"/>
  <c r="Y5" i="6"/>
  <c r="C5" i="6"/>
  <c r="U5" i="6"/>
  <c r="X5" i="6"/>
  <c r="V5" i="6"/>
  <c r="S5" i="6"/>
  <c r="W5" i="6"/>
  <c r="Q5" i="6"/>
  <c r="P5" i="6"/>
  <c r="R5" i="6"/>
  <c r="L5" i="6"/>
  <c r="K5" i="6"/>
  <c r="I5" i="6"/>
  <c r="N5" i="6"/>
  <c r="M5" i="6"/>
  <c r="J5" i="6"/>
  <c r="AE5" i="6"/>
  <c r="O5" i="6"/>
  <c r="Q6" i="6"/>
  <c r="U18" i="6"/>
  <c r="T18" i="6"/>
  <c r="S18" i="6"/>
  <c r="R18" i="6"/>
  <c r="Q18" i="6"/>
  <c r="P18" i="6"/>
  <c r="O18" i="6"/>
  <c r="M18" i="6"/>
  <c r="AC18" i="6"/>
  <c r="G18" i="6"/>
  <c r="N18" i="6"/>
  <c r="L18" i="6"/>
  <c r="K18" i="6"/>
  <c r="J18" i="6"/>
  <c r="AE18" i="6"/>
  <c r="I18" i="6"/>
  <c r="AD18" i="6"/>
  <c r="H18" i="6"/>
  <c r="Y18" i="6"/>
  <c r="V18" i="6"/>
  <c r="E18" i="6"/>
  <c r="X18" i="6"/>
  <c r="W18" i="6"/>
  <c r="C18" i="6"/>
  <c r="F18" i="6"/>
  <c r="D18" i="6"/>
  <c r="AB18" i="6"/>
  <c r="AA18" i="6"/>
  <c r="Z18" i="6"/>
  <c r="C6" i="6"/>
  <c r="AC17" i="6"/>
  <c r="G17" i="6"/>
  <c r="AB17" i="6"/>
  <c r="F17" i="6"/>
  <c r="AA17" i="6"/>
  <c r="E17" i="6"/>
  <c r="Z17" i="6"/>
  <c r="D17" i="6"/>
  <c r="Y17" i="6"/>
  <c r="C17" i="6"/>
  <c r="X17" i="6"/>
  <c r="U17" i="6"/>
  <c r="T17" i="6"/>
  <c r="W17" i="6"/>
  <c r="R17" i="6"/>
  <c r="O17" i="6"/>
  <c r="V17" i="6"/>
  <c r="S17" i="6"/>
  <c r="Q17" i="6"/>
  <c r="P17" i="6"/>
  <c r="AD17" i="6"/>
  <c r="N17" i="6"/>
  <c r="L17" i="6"/>
  <c r="M17" i="6"/>
  <c r="J17" i="6"/>
  <c r="I17" i="6"/>
  <c r="H17" i="6"/>
  <c r="K17" i="6"/>
  <c r="AE17" i="6"/>
  <c r="AB8" i="6"/>
  <c r="AA8" i="6"/>
  <c r="E8" i="6"/>
  <c r="Z8" i="6"/>
  <c r="D8" i="6"/>
  <c r="Y8" i="6"/>
  <c r="C8" i="6"/>
  <c r="X8" i="6"/>
  <c r="R8" i="6"/>
  <c r="W8" i="6"/>
  <c r="S8" i="6"/>
  <c r="V8" i="6"/>
  <c r="N8" i="6"/>
  <c r="U8" i="6"/>
  <c r="T8" i="6"/>
  <c r="Q8" i="6"/>
  <c r="P8" i="6"/>
  <c r="O8" i="6"/>
  <c r="AC8" i="6"/>
  <c r="M8" i="6"/>
  <c r="L8" i="6"/>
  <c r="K8" i="6"/>
  <c r="J8" i="6"/>
  <c r="I8" i="6"/>
  <c r="H8" i="6"/>
  <c r="G8" i="6"/>
  <c r="AE8" i="6"/>
  <c r="AD8" i="6"/>
  <c r="O6" i="6"/>
  <c r="AA20" i="6"/>
  <c r="E20" i="6"/>
  <c r="Z20" i="6"/>
  <c r="D20" i="6"/>
  <c r="Y20" i="6"/>
  <c r="C20" i="6"/>
  <c r="X20" i="6"/>
  <c r="W20" i="6"/>
  <c r="V20" i="6"/>
  <c r="S20" i="6"/>
  <c r="U20" i="6"/>
  <c r="M20" i="6"/>
  <c r="T20" i="6"/>
  <c r="R20" i="6"/>
  <c r="Q20" i="6"/>
  <c r="P20" i="6"/>
  <c r="O20" i="6"/>
  <c r="N20" i="6"/>
  <c r="AC20" i="6"/>
  <c r="L20" i="6"/>
  <c r="J20" i="6"/>
  <c r="I20" i="6"/>
  <c r="F20" i="6"/>
  <c r="AE20" i="6"/>
  <c r="H20" i="6"/>
  <c r="AD20" i="6"/>
  <c r="G20" i="6"/>
  <c r="AB20" i="6"/>
  <c r="K20" i="6"/>
  <c r="S21" i="6"/>
  <c r="R21" i="6"/>
  <c r="Q21" i="6"/>
  <c r="P21" i="6"/>
  <c r="AE21" i="6"/>
  <c r="AA21" i="6"/>
  <c r="O21" i="6"/>
  <c r="N21" i="6"/>
  <c r="M21" i="6"/>
  <c r="K21" i="6"/>
  <c r="AD21" i="6"/>
  <c r="L21" i="6"/>
  <c r="J21" i="6"/>
  <c r="I21" i="6"/>
  <c r="H21" i="6"/>
  <c r="AC21" i="6"/>
  <c r="G21" i="6"/>
  <c r="AB21" i="6"/>
  <c r="F21" i="6"/>
  <c r="E21" i="6"/>
  <c r="Z21" i="6"/>
  <c r="W21" i="6"/>
  <c r="V21" i="6"/>
  <c r="U21" i="6"/>
  <c r="Y21" i="6"/>
  <c r="X21" i="6"/>
  <c r="T21" i="6"/>
  <c r="D21" i="6"/>
  <c r="C21" i="6"/>
  <c r="K22" i="6"/>
  <c r="J22" i="6"/>
  <c r="AE22" i="6"/>
  <c r="I22" i="6"/>
  <c r="AD22" i="6"/>
  <c r="H22" i="6"/>
  <c r="AC22" i="6"/>
  <c r="G22" i="6"/>
  <c r="AB22" i="6"/>
  <c r="F22" i="6"/>
  <c r="AA22" i="6"/>
  <c r="E22" i="6"/>
  <c r="Y22" i="6"/>
  <c r="C22" i="6"/>
  <c r="S22" i="6"/>
  <c r="Z22" i="6"/>
  <c r="D22" i="6"/>
  <c r="X22" i="6"/>
  <c r="W22" i="6"/>
  <c r="V22" i="6"/>
  <c r="U22" i="6"/>
  <c r="T22" i="6"/>
  <c r="R22" i="6"/>
  <c r="P22" i="6"/>
  <c r="M22" i="6"/>
  <c r="O22" i="6"/>
  <c r="L22" i="6"/>
  <c r="Q22" i="6"/>
  <c r="N22" i="6"/>
  <c r="AE25" i="6"/>
  <c r="I25" i="6"/>
  <c r="AD25" i="6"/>
  <c r="H25" i="6"/>
  <c r="AC25" i="6"/>
  <c r="G25" i="6"/>
  <c r="AB25" i="6"/>
  <c r="F25" i="6"/>
  <c r="AA25" i="6"/>
  <c r="E25" i="6"/>
  <c r="Z25" i="6"/>
  <c r="D25" i="6"/>
  <c r="Q25" i="6"/>
  <c r="Y25" i="6"/>
  <c r="C25" i="6"/>
  <c r="X25" i="6"/>
  <c r="W25" i="6"/>
  <c r="V25" i="6"/>
  <c r="U25" i="6"/>
  <c r="T25" i="6"/>
  <c r="S25" i="6"/>
  <c r="R25" i="6"/>
  <c r="P25" i="6"/>
  <c r="M25" i="6"/>
  <c r="K25" i="6"/>
  <c r="O25" i="6"/>
  <c r="N25" i="6"/>
  <c r="L25" i="6"/>
  <c r="J25" i="6"/>
  <c r="Y23" i="6"/>
  <c r="C23" i="6"/>
  <c r="X23" i="6"/>
  <c r="W23" i="6"/>
  <c r="V23" i="6"/>
  <c r="U23" i="6"/>
  <c r="T23" i="6"/>
  <c r="S23" i="6"/>
  <c r="Q23" i="6"/>
  <c r="P23" i="6"/>
  <c r="R23" i="6"/>
  <c r="O23" i="6"/>
  <c r="N23" i="6"/>
  <c r="K23" i="6"/>
  <c r="M23" i="6"/>
  <c r="L23" i="6"/>
  <c r="I23" i="6"/>
  <c r="H23" i="6"/>
  <c r="F23" i="6"/>
  <c r="AE23" i="6"/>
  <c r="AD23" i="6"/>
  <c r="AB23" i="6"/>
  <c r="G23" i="6"/>
  <c r="AC23" i="6"/>
  <c r="E23" i="6"/>
  <c r="D23" i="6"/>
  <c r="AA23" i="6"/>
  <c r="Z23" i="6"/>
  <c r="J23" i="6"/>
  <c r="E6" i="6"/>
  <c r="R12" i="6"/>
  <c r="Q12" i="6"/>
  <c r="P12" i="6"/>
  <c r="O12" i="6"/>
  <c r="N12" i="6"/>
  <c r="H12" i="6"/>
  <c r="M12" i="6"/>
  <c r="L12" i="6"/>
  <c r="AE12" i="6"/>
  <c r="AD12" i="6"/>
  <c r="AC12" i="6"/>
  <c r="D12" i="6"/>
  <c r="K12" i="6"/>
  <c r="J12" i="6"/>
  <c r="I12" i="6"/>
  <c r="G12" i="6"/>
  <c r="Z12" i="6"/>
  <c r="AB12" i="6"/>
  <c r="F12" i="6"/>
  <c r="AA12" i="6"/>
  <c r="E12" i="6"/>
  <c r="X12" i="6"/>
  <c r="V12" i="6"/>
  <c r="T12" i="6"/>
  <c r="S12" i="6"/>
  <c r="C12" i="6"/>
  <c r="Y12" i="6"/>
  <c r="W12" i="6"/>
  <c r="U12" i="6"/>
  <c r="L6" i="6"/>
  <c r="N7" i="6"/>
  <c r="M7" i="6"/>
  <c r="L7" i="6"/>
  <c r="K7" i="6"/>
  <c r="J7" i="6"/>
  <c r="C7" i="6"/>
  <c r="AE7" i="6"/>
  <c r="I7" i="6"/>
  <c r="AD7" i="6"/>
  <c r="H7" i="6"/>
  <c r="AB7" i="6"/>
  <c r="E7" i="6"/>
  <c r="Z7" i="6"/>
  <c r="Y7" i="6"/>
  <c r="AC7" i="6"/>
  <c r="G7" i="6"/>
  <c r="AA7" i="6"/>
  <c r="D7" i="6"/>
  <c r="V7" i="6"/>
  <c r="X7" i="6"/>
  <c r="W7" i="6"/>
  <c r="U7" i="6"/>
  <c r="T7" i="6"/>
  <c r="R7" i="6"/>
  <c r="Q7" i="6"/>
  <c r="P7" i="6"/>
  <c r="O7" i="6"/>
  <c r="S7" i="6"/>
  <c r="F7" i="6"/>
  <c r="M19" i="6"/>
  <c r="L19" i="6"/>
  <c r="K19" i="6"/>
  <c r="J19" i="6"/>
  <c r="AE19" i="6"/>
  <c r="I19" i="6"/>
  <c r="AD19" i="6"/>
  <c r="H19" i="6"/>
  <c r="AC19" i="6"/>
  <c r="G19" i="6"/>
  <c r="AA19" i="6"/>
  <c r="E19" i="6"/>
  <c r="D19" i="6"/>
  <c r="C19" i="6"/>
  <c r="X19" i="6"/>
  <c r="AB19" i="6"/>
  <c r="F19" i="6"/>
  <c r="Z19" i="6"/>
  <c r="Y19" i="6"/>
  <c r="U19" i="6"/>
  <c r="W19" i="6"/>
  <c r="V19" i="6"/>
  <c r="T19" i="6"/>
  <c r="S19" i="6"/>
  <c r="Q19" i="6"/>
  <c r="P19" i="6"/>
  <c r="N19" i="6"/>
  <c r="O19" i="6"/>
  <c r="R19" i="6"/>
  <c r="AC6" i="6"/>
  <c r="Z6" i="6"/>
  <c r="AB6" i="6"/>
  <c r="AD6" i="6"/>
  <c r="AA6" i="6"/>
  <c r="Y6" i="6"/>
  <c r="X6" i="6"/>
  <c r="S6" i="6"/>
  <c r="G6" i="6"/>
  <c r="L10" i="6"/>
  <c r="K10" i="6"/>
  <c r="J10" i="6"/>
  <c r="AE10" i="6"/>
  <c r="I10" i="6"/>
  <c r="AD10" i="6"/>
  <c r="H10" i="6"/>
  <c r="AC10" i="6"/>
  <c r="G10" i="6"/>
  <c r="AB10" i="6"/>
  <c r="F10" i="6"/>
  <c r="Z10" i="6"/>
  <c r="Y10" i="6"/>
  <c r="X10" i="6"/>
  <c r="T10" i="6"/>
  <c r="AA10" i="6"/>
  <c r="E10" i="6"/>
  <c r="D10" i="6"/>
  <c r="C10" i="6"/>
  <c r="W10" i="6"/>
  <c r="V10" i="6"/>
  <c r="U10" i="6"/>
  <c r="S10" i="6"/>
  <c r="R10" i="6"/>
  <c r="Q10" i="6"/>
  <c r="P10" i="6"/>
  <c r="O10" i="6"/>
  <c r="N10" i="6"/>
  <c r="M10" i="6"/>
  <c r="Z11" i="6"/>
  <c r="D11" i="6"/>
  <c r="Y11" i="6"/>
  <c r="C11" i="6"/>
  <c r="X11" i="6"/>
  <c r="W11" i="6"/>
  <c r="V11" i="6"/>
  <c r="U11" i="6"/>
  <c r="Q11" i="6"/>
  <c r="T11" i="6"/>
  <c r="R11" i="6"/>
  <c r="P11" i="6"/>
  <c r="O11" i="6"/>
  <c r="S11" i="6"/>
  <c r="L11" i="6"/>
  <c r="N11" i="6"/>
  <c r="M11" i="6"/>
  <c r="E11" i="6"/>
  <c r="AC11" i="6"/>
  <c r="AD11" i="6"/>
  <c r="K11" i="6"/>
  <c r="AE11" i="6"/>
  <c r="J11" i="6"/>
  <c r="AB11" i="6"/>
  <c r="AA11" i="6"/>
  <c r="I11" i="6"/>
  <c r="H11" i="6"/>
  <c r="G11" i="6"/>
  <c r="F11" i="6"/>
</calcChain>
</file>

<file path=xl/sharedStrings.xml><?xml version="1.0" encoding="utf-8"?>
<sst xmlns="http://schemas.openxmlformats.org/spreadsheetml/2006/main" count="859" uniqueCount="430">
  <si>
    <t>BGDPbES BAU Guaranteed Dispatch Percentage by Electricity Source</t>
  </si>
  <si>
    <t>New York</t>
  </si>
  <si>
    <t>2026-09-02</t>
  </si>
  <si>
    <t>Alabama</t>
  </si>
  <si>
    <t>AL</t>
  </si>
  <si>
    <t>Active state: cell B1 (full state name). B2 resolves the abbreviation used by the calc tabs.</t>
  </si>
  <si>
    <t>Arizona</t>
  </si>
  <si>
    <t>AZ</t>
  </si>
  <si>
    <t>Arkansas</t>
  </si>
  <si>
    <t>AR</t>
  </si>
  <si>
    <t>Purpose:</t>
  </si>
  <si>
    <t>Guarantee a portion of coal dispatch. EPS under-dispatches coal ~-27% nationally vs EIA-923 2025 (gas +3.4%) because annual-average least-cost dispatch cannot represent the non-price factors that kept the real coal fleet at ~50% CF (seasonal gas price spikes hidden by the annual average, utility self-scheduling, coal supply contracts, minimum-run and pipeline constraints). The BFPaT electricity-sector fuel prices were audited 2026-07-22 and are correct (EIA EPA 7.17/7.20 2024 anchors x CPI-U 2012$ deflator, STEO Jun-2026 2025 step of gas x1.41 / coal x0.98), so the calibration lever is guaranteed dispatch, not prices.</t>
  </si>
  <si>
    <t>California</t>
  </si>
  <si>
    <t>CA</t>
  </si>
  <si>
    <t>Mechanism:</t>
  </si>
  <si>
    <t>Guaranteed dispatch = capacity x expected hourly CF x BGDPbES, per hour (proportionally scaled back only if hourly demand is exceeded); the remaining capacity still bids into RPS and least-cost dispatch, up to the full expected CF. Because HYECFCA anchors start-year expected CFs to 2025 observed CFs, BGDPbES[coal]=X floors start-year coal generation at X x (2025 observed generation) while leaving (1-X) to economics.</t>
  </si>
  <si>
    <t>Colorado</t>
  </si>
  <si>
    <t>CO</t>
  </si>
  <si>
    <t>Layout (2026-08-21):</t>
  </si>
  <si>
    <t>Every output value flows from exactly two tabs. `Defaults` holds ONE value per tech -- the value used for every state with no calibrated override (builder constants, with a note per tech). `Tuned` holds the long-format state|tech calibrated overrides: the per-state coal/gas guarantees from the tuning-results CSV (qc/bgd_tune_results_merged_2026-08-14.csv), the peaker exceptions (MT/ND/VA/WA/WV), and the hydro exceptions (SD 0.75, WA 0.0). The output formula is IFERROR(Tuned lookup, Defaults lookup), plus the Keys pin table (2025-only), the hydro cap, and the VT hydro ramp. The former Current_BGDPbES tab (deployed CSVs compiled verbatim) was REMOVED: it made every rebuild re-import whatever was deployed, so hand decisions could be silently overwritten. Tuning passes cannot overwrite Defaults-driven rows -- the probe/tune scripts patch only their named coal/gas/peaker row in the run tree (and restore it), and the results CSVs carry only the five g_* columns.</t>
  </si>
  <si>
    <t>Connecticut</t>
  </si>
  <si>
    <t>CT</t>
  </si>
  <si>
    <t>Zeroed techs (2026-08-21):</t>
  </si>
  <si>
    <t>Six never-built techs are ZERO in every year and every state (Olivia): hard coal w CCS, natural gas combined cycle w CCS, biomass w CCS, lignite w CCS, small modular reactor, hydrogen combined cycle. Their previous values (0.15/0.15/1.0/1.0/0.0/1.0) were inherited verbatim from the eps-us national template, never a state calibration, and a nonzero guarantee on a tech EPS may BUILD in a policy scenario forces that new capacity to run near must-run from its first year, ahead of least-cost dispatch. Hydrogen combustion turbine is deliberately NOT zeroed and keeps its 1.0.</t>
  </si>
  <si>
    <t>Delaware</t>
  </si>
  <si>
    <t>DE</t>
  </si>
  <si>
    <t>Values:</t>
  </si>
  <si>
    <t>The four coal/gas rows (hard coal, lignite, NG steam turbine, NGCC) are 2025-ONLY (Olivia 2026-08-17): zero in every year except 2025, where each state takes its pin-table value if pinned, else its Tuned value, else the Defaults value (0 = no floor). After the calibrated start year the model determines its own coal/gas mix. The tuned values are the Phase C pass (2026-08-14, coal/gas balance on climate-0813: EQUAL relative error on coal and gas given the demand level, price gate &lt;=5%), with earlier passes carried forward for untouched states. Hydro keeps the flat 0.90 convention; NG peaker keeps its flat per-state values (structural convention, not calibration).</t>
  </si>
  <si>
    <t>Florida</t>
  </si>
  <si>
    <t>FL</t>
  </si>
  <si>
    <t>VT hydro ramp:</t>
  </si>
  <si>
    <t>VT hydro = the Keys-tab F:G ramp block (Keys hydro_ramp_state, calibrated 2026-08-11): 0 through 2025, 0.3/0.5/0.7/0.85 over 2026-29, 0.9 from 2030. VT hydro dispatch otherwise collapses post-2025 in BAU and ClimateAmbition (must-take builds saturate the fixed requirement and wholesale falls to ~$0-9/MWh, below any defensible HOC); the ramp floors it at ~1.0 TWh BAU / &gt;=0.78 TWh ClimateAmbition while leaving 2025 dispatch and prices byte-identical to the current calibration. A flat guarantee was tested and rejected (reorders 2025: guaranteed dispatch runs ahead of the RPS pass, g=0.7 pushed wind -22% vs observed); so was HOC 35 (zero dispatch effect, 2025 wholesale -15%). Evidence: docs/findings/vt-hydro-guarantee-ramp-2026-08-11.md.</t>
  </si>
  <si>
    <t>Georgia</t>
  </si>
  <si>
    <t>GA</t>
  </si>
  <si>
    <t>Hydro guarantee cap (2026-08-13):</t>
  </si>
  <si>
    <t>Olivia set a standing MAX of 0.90 on BGDPbES[hydro] -- no state should reach 1.0, because a near-must-run hydro fleet is removed from marginal price formation. ID was the only state above the cap (1.0) and is now 0.90. That value was LOAD-BEARING, not decorative: removing it alone moved ID hydro +1.94% -&gt; -7.18% vs EIA-923 2025, so it was PAIRED with HOC 80 -&gt; 35, which recovers it to +1.30% (price gate PASS). SD is deliberately LEFT at 0.75 -- raising it to 0.90 pinned SD hydro at +10.45% (= 0.90 x SD potential 4.633, above its EIA benchmark), and 0.75 already satisfies the cap. GENERAL LESSON: the guarantee denominator is the state hydro POTENTIAL, not the EIA benchmark, so "EPS/EIA &gt; guarantee" does NOT prove a guarantee is non-binding -- test by running it. WA (0.0) and VT (ramp) keep their documented exceptions. Evidence: docs/findings/start-year-dispatch-calibration-2026-08-13.md.</t>
  </si>
  <si>
    <t>Idaho</t>
  </si>
  <si>
    <t>ID</t>
  </si>
  <si>
    <t>2025 pin table (2026-08-17):</t>
  </si>
  <si>
    <t>Twelve state|tech guarantees are overridden in 2025 ONLY (Keys I:J pin table + pin_year; the output-tab year formula applies them). Two Olivia decisions merged: (1) WA hard coal 0.947 / NGCC 0.795 — the US_ClimateAmbition scenario shifts ~6 TWh of WA start-year dispatch from gas into hydro at the same $40 HOC, and 2025 is history, so observed dispatch is pinned; from 2026 policy hydro flexes freely (75.9 TWh in 2026, inside WA's 60.7-91.8 TWh 2010-24 range). (2) The option-B coal/gas retune ("equal % error on coal and gas, given the demand level"): MT/AZ/IL/IA/SC/WY hard-coal, KS/CO/MN NGCC, ND peaker (ND has no NGCC fleet — its NGCC floor was measured inert). Spreads closed to &lt;=1.6pp everywhere except WY (4.0pp, price-gate-limited). Pins, not flat floors, because the 2025 response is identical while flat floors carry measured late-year price costs (WY ~29%, MN ~21% industry 2050). Evidence: qc/bgd_tune_results_optionb*_2026-08-17.csv, docs/findings/wa-2025-guarantee-pin-2026-08-17.md.</t>
  </si>
  <si>
    <t>Illinois</t>
  </si>
  <si>
    <t>IL</t>
  </si>
  <si>
    <t>Hydro 2025 pins (2026-08-24):</t>
  </si>
  <si>
    <t>Twelve hydro crowd-out states get a 2025-ONLY hydro pin (Keys I:J) at g = EIA-923-2025 target / expected output, paired with HOC 62 (NV 45; NV needs no pin -- its 0.9 floor already equals its target). Mechanism: the 2025-only coal/gas guarantees expire in 2026 and hydro at a low HOC under-prices carbon-loaded/forecast-priced fossil, jumping to its availability on flat capacity (AL +121%, AZ +174%, NV +205% vs target over 2026-29 on climate-0824). The pin holds 2025 exact (probes: -0.0% in 11 states, SD -0.5%) with no wind/solar displacement (SD mildest exception, -4%), and the raised HOC returns 2026+ dispatch to economics: hydro lands on its 0.9 out-year floor (-1% to -17% vs target) and fossil recovers (CA gas 2026: 49 -&gt; 76 TWh). Pins may exceed the 0.90 cap in the pin year ONLY (Olivia direction 2026-08-24). OR joined the pinned set by Olivia decision same day (pin 0.9707 = target/expected 29.564, + HOC 62): the fix makes all four OR generation series realistic (hydro flat ~27-28 TWh, gas glides per HB 2021, wind/solar build more) with 2025-26 retail unchanged; 2028-29 retail +7-13% is the accepted cost, and 2030-50 residential lands INSIDE the waiver-corrected price band (the old baseline was registered 19-36% low there; industrial likely overshoots its band). WA is the one hydro-dominant state with NO pin: guaranteed hydro displaces its must-take wind (tested -41%), so it runs the HOC-55 compromise instead. Campaign evidence: ~32 BAU probe runs 2026-08-24, docs/findings/bau-fossil-dispatch-cliffs-2026-08-24.md.</t>
  </si>
  <si>
    <t>Indiana</t>
  </si>
  <si>
    <t>IN</t>
  </si>
  <si>
    <t>Expected impact:</t>
  </si>
  <si>
    <t>At 0.90 with the current -2.8% demand anchor: national coal rises from ~531 to a &gt;=657 TWh floor (-10% vs 923ER instead of -27%); displaced generation comes mostly out of gas (~+3.4% -&gt; ~-4%). After the November SEDS 2025 demand re-anchor restores ~119 TWh of demand, least-cost refills gas toward actuals.</t>
  </si>
  <si>
    <t>Iowa</t>
  </si>
  <si>
    <t>IA</t>
  </si>
  <si>
    <t>CAVEAT - policy runs:</t>
  </si>
  <si>
    <t>BGDPbES applies in ALL scenarios, not just BAU. A coal floor mutes price-driven coal redispatch (e.g. carbon tax) until capacity actually retires: policy can still retire coal (guaranteed MWh fall with capacity) but cannot dispatch surviving coal below the floor. Same trade-off already accepted for nuclear (1.0), hydro (0.9), peakers (1.0) and documented for HYECFCA. Staff decision on the fraction (0 restores pure least-cost).</t>
  </si>
  <si>
    <t>Kansas</t>
  </si>
  <si>
    <t>KS</t>
  </si>
  <si>
    <t>Caveats - data:</t>
  </si>
  <si>
    <t>Floor quality inherits HYECFCA/SYSHECF quality: 2025 observed coal CFs include 2025-specific outages and the thin-demand year. States where coal is already economic in EPS (MO, KY, WY: coal beats gas on fuel cost) are unaffected in practice -- least-cost already dispatches above the floor there. Verify against primary sources (EIA-923/860, EPA 7.17/7.20) before adopting; draft for staff review.</t>
  </si>
  <si>
    <t>Kentucky</t>
  </si>
  <si>
    <t>KY</t>
  </si>
  <si>
    <t>Rebuild:</t>
  </si>
  <si>
    <t>python outputs/BGDPbES/_build_bgdpbes_workbook.py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</si>
  <si>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</si>
  <si>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</si>
  <si>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</si>
  <si>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</si>
  <si>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</si>
  <si>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</si>
  <si>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</si>
  <si>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</si>
  <si>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</si>
  <si>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</si>
  <si>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</si>
  <si>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</si>
  <si>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</si>
  <si>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</si>
  <si>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</si>
  <si>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</si>
  <si>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</si>
  <si>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</si>
  <si>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</si>
  <si>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</si>
  <si>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</si>
  <si>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</si>
  <si>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</si>
  <si>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</si>
  <si>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</si>
  <si>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</si>
  <si>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</si>
  <si>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</si>
  <si>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</si>
  <si>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</si>
  <si>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</si>
  <si>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</si>
  <si>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</si>
  <si>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</si>
  <si>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</si>
  <si>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</si>
  <si>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</si>
  <si>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</si>
  <si>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</si>
  <si>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</si>
  <si>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</si>
  <si>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</si>
  <si>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</si>
  <si>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</si>
  <si>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</si>
  <si>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</si>
  <si>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</si>
  <si>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</si>
  <si>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</si>
  <si>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</si>
  <si>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</si>
  <si>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</si>
  <si>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</si>
  <si>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</si>
  <si>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</si>
  <si>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</si>
  <si>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</si>
  <si>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</si>
  <si>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</si>
  <si>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</si>
  <si>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</si>
  <si>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</si>
  <si>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</si>
  <si>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</si>
  <si>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</si>
  <si>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category</t>
  </si>
  <si>
    <t>key</t>
  </si>
  <si>
    <t>value</t>
  </si>
  <si>
    <t>description</t>
  </si>
  <si>
    <t>ramp_year</t>
  </si>
  <si>
    <t>hydro_ramp_value</t>
  </si>
  <si>
    <t>pin_key (state|tech)</t>
  </si>
  <si>
    <t>pin_value</t>
  </si>
  <si>
    <t>gate</t>
  </si>
  <si>
    <t>hydro_ramp_state</t>
  </si>
  <si>
    <t>State whose hydro guarantee is YEAR-VARYING (calibrated 2026-08-11): VT hydro dispatch collapses post-2025 in BAU and ClimateAmbition (must-take builds saturate the requirement; wholesale ~$0-9/MWh by 2030, so no HOC can carry it). The ramp in the year block to the right floors hydro from 2026 on while leaving the calibrated 2025 start year untouched -- a flat guarantee was tested and reorders 2025 dispatch (g=0.7 pushed wind -22% vs observed: guaranteed dispatch runs ahead of the RPS pass). Evidence: docs/findings/vt-hydro-guarantee-ramp-2026-08-11.md.</t>
  </si>
  <si>
    <t>AL|hydro</t>
  </si>
  <si>
    <t>hydro_guarantee_cap</t>
  </si>
  <si>
    <t>Standing MAX on BGDPbES[hydro] (Olivia, 2026-08-13): no state reaches 1.0, because near-must-run hydro is removed from marginal price formation and accurate prices rank above accurate hydro. Applied as MIN(value, this cap) in the Output hydro row. Bound ID only (was 1.0 -&gt; 0.90, PAIRED with HOC 80 -&gt; 35 because the 1.0 was load-bearing: removing it alone moved ID hydro +1.94% -&gt; -7.18% vs EIA-923 2025). SD stays 0.75 (already under the cap, Tuned-tab row). NOTE the guarantee denominator is state hydro POTENTIAL, not the EIA benchmark, so a ratio test cannot prove a guarantee non-binding -- run it. Evidence: docs/findings/start-year-dispatch-calibration-2026-08-13.md</t>
  </si>
  <si>
    <t>AR|hydro</t>
  </si>
  <si>
    <t>pin_year</t>
  </si>
  <si>
    <t>The single year the I:J pin table applies to (the calibration start year). Coal/gas pins: WA policy-scenario hydro/gas fix + the option-B coal/gas retune (Olivia decisions 2026-08-17); 2025 dispatch response is identical to a flat floor, and pins avoid the measured late-year price costs (WY flat ~29%, MN flat ~21% industry 2050). HYDRO pins added 2026-08-24 (Olivia: guarantee hydro in the start year, calibrate HOC on 2026-29): 13 crowd-out states pinned at target/expected (1.0 everywhere except SD 0.9917 and OR 0.9707), paired with HOC 62 (NV 45, no pin needed). Hydro pins are UNCAPPED in the pin year by the same direction; the 0.90 cap governs all other years. Evidence: qc/bgd_tune_results_optionb*_2026-08-17.csv, docs/findings/wa-2025-guarantee-pin-2026-08-17.md, and docs/findings/bau-fossil-dispatch-cliffs-2026-08-24.md.</t>
  </si>
  <si>
    <t>AZ|hydro</t>
  </si>
  <si>
    <t>CA|hydro</t>
  </si>
  <si>
    <t>CO|hydro</t>
  </si>
  <si>
    <t>GA|hydro</t>
  </si>
  <si>
    <t>KY|hydro</t>
  </si>
  <si>
    <t>LA|solar PV</t>
  </si>
  <si>
    <t>MA|solar PV</t>
  </si>
  <si>
    <t>MN|hydro</t>
  </si>
  <si>
    <t>MT|onshore wind</t>
  </si>
  <si>
    <t>NC|hydro</t>
  </si>
  <si>
    <t>NV|solar PV</t>
  </si>
  <si>
    <t>OK|hydro</t>
  </si>
  <si>
    <t>OK|onshore wind</t>
  </si>
  <si>
    <t>OR|hydro</t>
  </si>
  <si>
    <t>SD|hydro</t>
  </si>
  <si>
    <t>VT|solar PV</t>
  </si>
  <si>
    <t>WI|hydro</t>
  </si>
  <si>
    <t>WV|onshore wind</t>
  </si>
  <si>
    <t>tech</t>
  </si>
  <si>
    <t>default_value</t>
  </si>
  <si>
    <t>note</t>
  </si>
  <si>
    <t>hard coal</t>
  </si>
  <si>
    <t>Coal/gas guarantees are 2025-only calibration (Olivia 2026-08-17): all years except 2025 are structurally 0, and an untuned/unpinned state has no 2025 floor either. Per-state 2025 values on Tuned/pins.</t>
  </si>
  <si>
    <t>natural gas steam turbine</t>
  </si>
  <si>
    <t>Same 2025-only rule as hard coal; per-state 2025 values on the Tuned tab.</t>
  </si>
  <si>
    <t>natural gas combined cycle</t>
  </si>
  <si>
    <t>Same 2025-only rule as hard coal; per-state 2025 values on the Tuned tab and the pin table.</t>
  </si>
  <si>
    <t>nuclear</t>
  </si>
  <si>
    <t>Structural must-run convention inherited from eps-us.</t>
  </si>
  <si>
    <t>hydro</t>
  </si>
  <si>
    <t>Long-standing 0.90 convention, enforced as a MAX by the Keys hydro_guarantee_cap (Olivia 2026-08-13). Exceptions: SD 0.75 and WA 0.0 on the Tuned tab; VT year-varying ramp in the Keys F:G block; 12 crowd-out states carry an UNCAPPED 2025-only pin (Keys I:J, 2026-08-24) so the start year matches EIA-923 while HOC governs 2026+.</t>
  </si>
  <si>
    <t>onshore wind</t>
  </si>
  <si>
    <t>VRE dispatches through the RPS/least-cost passes; no guarantee.</t>
  </si>
  <si>
    <t>solar PV</t>
  </si>
  <si>
    <t>solar thermal</t>
  </si>
  <si>
    <t>biomass</t>
  </si>
  <si>
    <t>Must-run convention inherited from eps-us.</t>
  </si>
  <si>
    <t>geothermal</t>
  </si>
  <si>
    <t>petroleum</t>
  </si>
  <si>
    <t>Fallback only: every state carries a computed per-state value on the Tuned tab, applied in ALL years (the documented exception to the 2025-only rule, Olivia 2026-08-26). The old eps-us must-run 1.0 would dispatch oil at natural-gas-peaker rates now that SYSHECF mirrors the peaker (+105% vs EIA-923 2025 nationally).</t>
  </si>
  <si>
    <t>natural gas peaker</t>
  </si>
  <si>
    <t>Structural convention alongside nuclear/hydro, not calibration. Exceptions (MT/ND/VA/WA/WV) on the Tuned tab; ND also has a 2025 pin.</t>
  </si>
  <si>
    <t>lignite</t>
  </si>
  <si>
    <t>Same 2025-only rule as hard coal; per-state 2025 values on Tuned.</t>
  </si>
  <si>
    <t>offshore wind</t>
  </si>
  <si>
    <t>crude oil</t>
  </si>
  <si>
    <t>heavy or residual fuel oil</t>
  </si>
  <si>
    <t>Inherited from eps-us.</t>
  </si>
  <si>
    <t>municipal solid waste</t>
  </si>
  <si>
    <t>hard coal w CCS</t>
  </si>
  <si>
    <t>ZEROED 2026-08-21 (Olivia): fleet does not exist in the 2025 start year; previous value (0.15) was the eps-us national template, not a state calibration. Zero lets least-cost dispatch decide if this tech is ever built in a policy scenario instead of forcing near-must-run operation.</t>
  </si>
  <si>
    <t>natural gas combined cycle w CCS</t>
  </si>
  <si>
    <t>biomass w CCS</t>
  </si>
  <si>
    <t>ZEROED 2026-08-21 (Olivia): fleet does not exist in the 2025 start year; previous value (1) was the eps-us national template, not a state calibration. Zero lets least-cost dispatch decide if this tech is ever built in a policy scenario instead of forcing near-must-run operation.</t>
  </si>
  <si>
    <t>lignite w CCS</t>
  </si>
  <si>
    <t>small modular reactor</t>
  </si>
  <si>
    <t>ZEROED 2026-08-21 (Olivia): fleet does not exist in the 2025 start year; previous value (0) was the eps-us national template, not a state calibration. Zero lets least-cost dispatch decide if this tech is ever built in a policy scenario instead of forcing near-must-run operation.</t>
  </si>
  <si>
    <t>hydrogen combustion turbine</t>
  </si>
  <si>
    <t>Inherited from eps-us; deliberately KEPT at 1.0 when the six w-CCS/SMR/H2-CC rows were zeroed 2026-08-21.</t>
  </si>
  <si>
    <t>hydrogen combined cycle</t>
  </si>
  <si>
    <t>state</t>
  </si>
  <si>
    <t>tuned_value</t>
  </si>
  <si>
    <t>key (state|tech)</t>
  </si>
  <si>
    <t>AL|natural gas combined cycle</t>
  </si>
  <si>
    <t>2026-09-02 cross-state dispatch retune rounds 7-8 (same directive and method as the round-1-6 states): NGCC floor 0.148665 -&gt; 0.3062 closes the last tunable opposite-sign split -- coal -0.7% / gas -1.3% / hydro and solar 0.0%. Round CSVs: qc/calibration/dispatch_retune_0902_round{7,8}.csv.</t>
  </si>
  <si>
    <t>AL|petroleum</t>
  </si>
  <si>
    <t>ALL YEARS (2025-only rule exception, Olivia 2026-08-26): oil-fired gen 2025 7.5 GWh / (cap 42.6 MW x CF 0.0411 x 8760) = 0.4912</t>
  </si>
  <si>
    <t>AR|natural gas combined cycle</t>
  </si>
  <si>
    <t>2026-08-31 post-MCF retune (docs/findings/dispatch-recalibration-post-mcf-2026-08-31.md): floors re-solved from zero after the firm-credit MCF derate (0.9 thermal / 0.95 NGCC) invalidated the 08-28 values. One lever per state (NGCC or hard coal), balance-point target, secant; AR/FL/MS hand-interpolated on coal_err=gas_err (0.7/0.5/0.854). Source: qc/calibration/bgdpbes_0831_round3.csv + the finding doc final-floor table. RESTORED 2026-09-01 after the 08:36 InputData sync wiped the run trees (docs/findings/bau-0901-floor-revert-2026-09-01.md); VT excluded throughout (bad distributed-solar inputs).</t>
  </si>
  <si>
    <t>AR|petroleum</t>
  </si>
  <si>
    <t>ALL YEARS (2025-only rule exception, Olivia 2026-08-26): oil-fired gen 2025 43.9 GWh / (cap 9.0 MW x CF 0.1014 x 8760) = 5.4865 -- CLIPPED at 1.0; 43.9 GWh of this burns at units whose capacity BHRaSYC books under another row, so it is unreachable</t>
  </si>
  <si>
    <t>AZ|hard coal</t>
  </si>
  <si>
    <t>AZ|petroleum</t>
  </si>
  <si>
    <t>ALL YEARS (2025-only rule exception, Olivia 2026-08-26): oil-fired gen 2025 40.8 GWh / (cap 84.7 MW x CF 0.0880 x 8760) = 0.6250</t>
  </si>
  <si>
    <t>CA|petroleum</t>
  </si>
  <si>
    <t>ALL YEARS (2025-only rule exception, Olivia 2026-08-26): oil-fired gen 2025 31.1 GWh / (cap 224.0 MW x CF 0.0491 x 8760) = 0.3235</t>
  </si>
  <si>
    <t>CO|natural gas combined cycle</t>
  </si>
  <si>
    <t>CO|petroleum</t>
  </si>
  <si>
    <t>ALL YEARS (2025-only rule exception, Olivia 2026-08-26): oil-fired gen 2025 13.5 GWh / (cap 148.1 MW x CF 0.1198 x 8760) = 0.0870</t>
  </si>
  <si>
    <t>CT|natural gas combined cycle</t>
  </si>
  <si>
    <t>CT|petroleum</t>
  </si>
  <si>
    <t>ALL YEARS (2025-only rule exception, Olivia 2026-08-26): oil-fired gen 2025 240.2 GWh / (cap 2197.2 MW x CF 0.0346 x 8760) = 0.3608</t>
  </si>
  <si>
    <t>DE|petroleum</t>
  </si>
  <si>
    <t>ALL YEARS (2025-only rule exception, Olivia 2026-08-26): oil-fired gen 2025 71.4 GWh / (cap 111.1 MW x CF 0.0608 x 8760) = 1.2064 -- CLIPPED at 1.0; 74.0 GWh of this burns at units whose capacity BHRaSYC books under another row, so it is unreachable</t>
  </si>
  <si>
    <t>FL|natural gas combined cycle</t>
  </si>
  <si>
    <t>2026-09-01 touch-up round on the noon bau-0901 basis (docs/findings/bgdpbes-touchup-2026-09-01.md): SD/OH coal and FL/WI NGCC floors re-solved by two-point secant from the 08-31 values (FL hand-interpolated on coal_err=gas_err, the 0831-doc blind-spot case); WA re-enters the calibration with the Centralia BCRbQ retirement moved to the 2026 column (RUN-TREE edit, upstream fix owed under O68) and HOC 55, coal floor solved in the floored regime. WA floor is only meaningful with the BCRbQ fix deployed alongside. All other states carried forward from bgd_tune_results_2026-08-31.csv unchanged; VT excluded throughout.</t>
  </si>
  <si>
    <t>FL|petroleum</t>
  </si>
  <si>
    <t>ALL YEARS (2025-only rule exception, Olivia 2026-08-26): oil-fired gen 2025 1217.9 GWh / (cap 1594.9 MW x CF 0.0762 x 8760) = 1.1435 -- CLIPPED at 1.0; 1170.2 GWh of this burns at units whose capacity BHRaSYC books under another row, so it is unreachable</t>
  </si>
  <si>
    <t>GA|natural gas combined cycle</t>
  </si>
  <si>
    <t>GA|petroleum</t>
  </si>
  <si>
    <t>ALL YEARS (2025-only rule exception, Olivia 2026-08-26): oil-fired gen 2025 160.4 GWh / (cap 1014.3 MW x CF 0.0539 x 8760) = 0.3348</t>
  </si>
  <si>
    <t>IA|natural gas combined cycle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</si>
  <si>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t>
  </si>
  <si>
    <t>IA|petroleum</t>
  </si>
  <si>
    <t>ALL YEARS (2025-only rule exception, Olivia 2026-08-26): oil-fired gen 2025 65.2 GWh / (cap 775.9 MW x CF 0.0412 x 8760) = 0.2324</t>
  </si>
  <si>
    <t>ID|natural gas combined cycle</t>
  </si>
  <si>
    <t>ID|petroleum</t>
  </si>
  <si>
    <t>ALL YEARS (2025-only rule exception, Olivia 2026-08-26): oil-fired gen 2025 0.0 GWh / (cap 5.6 MW x CF 0.5619 x 8760) = 0.0013</t>
  </si>
  <si>
    <t>IL|natural gas combined cycle</t>
  </si>
  <si>
    <t>IL|petroleum</t>
  </si>
  <si>
    <t>ALL YEARS (2025-only rule exception, Olivia 2026-08-26): oil-fired gen 2025 34.2 GWh / (cap 650.0 MW x CF 0.0379 x 8760) = 0.1582</t>
  </si>
  <si>
    <t>IN|natural gas combined cycle</t>
  </si>
  <si>
    <t>IN|petroleum</t>
  </si>
  <si>
    <t>ALL YEARS (2025-only rule exception, Olivia 2026-08-26): oil-fired gen 2025 129.4 GWh / (cap 62.8 MW x CF 0.1416 x 8760) = 1.6617 -- CLIPPED at 1.0; 127.8 GWh of this burns at units whose capacity BHRaSYC books under another row, so it is unreachable</t>
  </si>
  <si>
    <t>KS|natural gas combined cycle</t>
  </si>
  <si>
    <t>KS|petroleum</t>
  </si>
  <si>
    <t>ALL YEARS (2025-only rule exception, Olivia 2026-08-26): oil-fired gen 2025 74.9 GWh / (cap 540.1 MW x CF 0.0952 x 8760) = 0.1661</t>
  </si>
  <si>
    <t>KY|hard coal</t>
  </si>
  <si>
    <t>KY|petroleum</t>
  </si>
  <si>
    <t>ALL YEARS (2025-only rule exception, Olivia 2026-08-26): oil-fired gen 2025 76.8 GWh / (cap 10.8 MW x CF 0.0985 x 8760) = 8.2489 -- CLIPPED at 1.0; 76.5 GWh of this burns at units whose capacity BHRaSYC books under another row, so it is unreachable</t>
  </si>
  <si>
    <t>LA|natural gas steam turbine</t>
  </si>
  <si>
    <t>2026-09-02 cross-state dispatch retune, rounds 1-6 on the bau-0902 basis (Olivia's alignment directive: no opposite-sign coal/gas splits; hydro/wind/solar within 1-2% unless a very small share; both-low/both-high accepted where total generation is short/over). Levers: NGCC/NGST/hard-coal/peaker 2025 guarantee floors read from the run tree after round 6; TN/WY/MT hydro via HYECFCA (hyecfca_retune_2026-09-02.csv). MT: peaker guarantee 1.0 -&gt; 0 (per-state exception to the uniform must-run peaker, K14) and hard-coal floor removed (coal economic). LA: NGST 0.5 is a TRADEOFF -- coal +19.6% -&gt; +8.0% but solar -7.4% -&gt; -16.2% (crowding); revert to 0 to trade back. Round CSVs: qc/calibration/dispatch_retune_0902_round{1..6}.csv. All other states carried forward unchanged. UPDATE rounds 9-10: solar un-eaten per Olivia -- solar PV guarantee 1.0 (builder VRE_FALLBACK_2025) + LA solar HYECFCA anchor trim lands solar 0.0% with coal +7.8 / gas -1.8; the NGST-0.5 tradeoff note above is superseded.</t>
  </si>
  <si>
    <t>LA|natural gas combined cycle</t>
  </si>
  <si>
    <t>LA|petroleum</t>
  </si>
  <si>
    <t>ALL YEARS (2025-only rule exception, Olivia 2026-08-26): oil-fired gen 2025 450.8 GWh / (cap 839.0 MW x CF 0.0718 x 8760) = 0.8543</t>
  </si>
  <si>
    <t>MA|natural gas combined cycle</t>
  </si>
  <si>
    <t>MA|petroleum</t>
  </si>
  <si>
    <t>ALL YEARS (2025-only rule exception, Olivia 2026-08-26): oil-fired gen 2025 400.6 GWh / (cap 2180.7 MW x CF 0.1117 x 8760) = 0.1877</t>
  </si>
  <si>
    <t>MD|hard coal</t>
  </si>
  <si>
    <t>MD|petroleum</t>
  </si>
  <si>
    <t>ALL YEARS (2025-only rule exception, Olivia 2026-08-26): oil-fired gen 2025 378.9 GWh / (cap 1537.4 MW x CF 0.0503 x 8760) = 0.5588</t>
  </si>
  <si>
    <t>ME|petroleum</t>
  </si>
  <si>
    <t>ALL YEARS (2025-only rule exception, Olivia 2026-08-26): oil-fired gen 2025 148.0 GWh / (cap 842.9 MW x CF 0.0079 x 8760) = 2.5301 -- CLIPPED at 1.0; 8.6 GWh of this burns at units whose capacity BHRaSYC books under another row, so it is unreachable</t>
  </si>
  <si>
    <t>MI|hard coal</t>
  </si>
  <si>
    <t>MI|petroleum</t>
  </si>
  <si>
    <t>ALL YEARS (2025-only rule exception, Olivia 2026-08-26): oil-fired gen 2025 1582.2 GWh / (cap 373.9 MW x CF 0.2641 x 8760) = 1.8294 -- CLIPPED at 1.0; 1572.8 GWh of this burns at units whose capacity BHRaSYC books under another row, so it is unreachable</t>
  </si>
  <si>
    <t>MN|natural gas combined cycle</t>
  </si>
  <si>
    <t>MN|petroleum</t>
  </si>
  <si>
    <t>ALL YEARS (2025-only rule exception, Olivia 2026-08-26): oil-fired gen 2025 18.2 GWh / (cap 727.3 MW x CF 0.1033 x 8760) = 0.0277</t>
  </si>
  <si>
    <t>MO|hard coal</t>
  </si>
  <si>
    <t>MO|natural gas combined cycle</t>
  </si>
  <si>
    <t>MO|petroleum</t>
  </si>
  <si>
    <t>ALL YEARS (2025-only rule exception, Olivia 2026-08-26): oil-fired gen 2025 133.4 GWh / (cap 1038.2 MW x CF 0.0702 x 8760) = 0.2088</t>
  </si>
  <si>
    <t>MS|natural gas combined cycle</t>
  </si>
  <si>
    <t>MS|petroleum</t>
  </si>
  <si>
    <t>ALL YEARS (2025-only rule exception, Olivia 2026-08-26): oil-fired gen 2025 5.5 GWh / (cap 9.0 MW x CF 0.1833 x 8760) = 0.3834</t>
  </si>
  <si>
    <t>MT|petroleum</t>
  </si>
  <si>
    <t>ALL YEARS (2025-only rule exception, Olivia 2026-08-26): oil-fired gen 2025 468.0 GWh / (cap 52.0 MW x CF 0.2377 x 8760) = 4.3229 -- CLIPPED at 1.0; 12.6 GWh of this burns at units whose capacity BHRaSYC books under another row, so it is unreachable</t>
  </si>
  <si>
    <t>MT|natural gas peaker</t>
  </si>
  <si>
    <t>NC|hard coal</t>
  </si>
  <si>
    <t>NC|petroleum</t>
  </si>
  <si>
    <t>ALL YEARS (2025-only rule exception, Olivia 2026-08-26): oil-fired gen 2025 226.2 GWh / (cap 425.7 MW x CF 0.1103 x 8760) = 0.5501</t>
  </si>
  <si>
    <t>ND|hard coal</t>
  </si>
  <si>
    <t>2026-09-02 retune rounds 9-11: ND coal is mostly LIGNITE (the 0831 tool levers hard coal only, which was already at 1.0) -- lignite floor 0 -&gt; 0.384 plus peaker guarantee 1.0 -&gt; 0.8 (2025-only, MT-style exception) take ND from coal -3.1 / gas +19.6 to coal +0.1 / gas -0.4 / wind -0.9. Rounds: dispatch_retune_0902_round{9,10,11}.csv.</t>
  </si>
  <si>
    <t>ND|petroleum</t>
  </si>
  <si>
    <t>ALL YEARS (2025-only rule exception, Olivia 2026-08-26): oil-fired gen 2025 31.4 GWh / (cap 54.6 MW x CF 0.4289 x 8760) = 0.1529</t>
  </si>
  <si>
    <t>ND|natural gas peaker</t>
  </si>
  <si>
    <t>ND|lignite</t>
  </si>
  <si>
    <t>NE|natural gas combined cycle</t>
  </si>
  <si>
    <t>NE|petroleum</t>
  </si>
  <si>
    <t>ALL YEARS (2025-only rule exception, Olivia 2026-08-26): oil-fired gen 2025 64.1 GWh / (cap 373.7 MW x CF 0.0637 x 8760) = 0.3078</t>
  </si>
  <si>
    <t>NH|natural gas combined cycle</t>
  </si>
  <si>
    <t>NH|petroleum</t>
  </si>
  <si>
    <t>ALL YEARS (2025-only rule exception, Olivia 2026-08-26): oil-fired gen 2025 169.4 GWh / (cap 82.1 MW x CF 0.1096 x 8760) = 2.1489 -- CLIPPED at 1.0; 167.7 GWh of this burns at units whose capacity BHRaSYC books under another row, so it is unreachable</t>
  </si>
  <si>
    <t>NJ|petroleum</t>
  </si>
  <si>
    <t>ALL YEARS (2025-only rule exception, Olivia 2026-08-26): oil-fired gen 2025 162.7 GWh / (cap 270.0 MW x CF 0.0790 x 8760) = 0.8711</t>
  </si>
  <si>
    <t>NM|hard coal</t>
  </si>
  <si>
    <t>NM|petroleum</t>
  </si>
  <si>
    <t>ALL YEARS (2025-only rule exception, Olivia 2026-08-26): oil-fired gen 2025 0.4 GWh / (cap 17.0 MW x CF 0.2082 x 8760) = 0.0137</t>
  </si>
  <si>
    <t>NV|hard coal</t>
  </si>
  <si>
    <t>NV|petroleum</t>
  </si>
  <si>
    <t>ALL YEARS (2025-only rule exception, Olivia 2026-08-26): oil-fired gen 2025 7.3 GWh / (cap 6.0 MW x CF 0.0307 x 8760) = 4.5291 -- CLIPPED at 1.0; 7.3 GWh of this burns at units whose capacity BHRaSYC books under another row, so it is unreachable</t>
  </si>
  <si>
    <t>NY|natural gas combined cycle</t>
  </si>
  <si>
    <t>NY|petroleum</t>
  </si>
  <si>
    <t>ALL YEARS (2025-only rule exception, Olivia 2026-08-26): oil-fired gen 2025 1195.6 GWh / (cap 3245.0 MW x CF 0.1814 x 8760) = 0.2318</t>
  </si>
  <si>
    <t>OH|hard coal</t>
  </si>
  <si>
    <t>OH|petroleum</t>
  </si>
  <si>
    <t>ALL YEARS (2025-only rule exception, Olivia 2026-08-26): oil-fired gen 2025 1279.5 GWh / (cap 630.2 MW x CF 0.1728 x 8760) = 1.3414 -- CLIPPED at 1.0; 1263.2 GWh of this burns at units whose capacity BHRaSYC books under another row, so it is unreachable</t>
  </si>
  <si>
    <t>OK|hard coal</t>
  </si>
  <si>
    <t>OK|natural gas combined cycle</t>
  </si>
  <si>
    <t>OK|petroleum</t>
  </si>
  <si>
    <t>ALL YEARS (2025-only rule exception, Olivia 2026-08-26): oil-fired gen 2025 33.3 GWh / (cap 35.9 MW x CF 0.1141 x 8760) = 0.9286</t>
  </si>
  <si>
    <t>OR|natural gas combined cycle</t>
  </si>
  <si>
    <t>OR|petroleum</t>
  </si>
  <si>
    <t>ALL YEARS (2025-only rule exception, Olivia 2026-08-26): no start-year petroleum fleet (0 MW): no guarantee</t>
  </si>
  <si>
    <t>PA|hard coal</t>
  </si>
  <si>
    <t>PA|petroleum</t>
  </si>
  <si>
    <t>ALL YEARS (2025-only rule exception, Olivia 2026-08-26): oil-fired gen 2025 286.9 GWh / (cap 1319.2 MW x CF 0.1918 x 8760) = 0.1295</t>
  </si>
  <si>
    <t>RI|petroleum</t>
  </si>
  <si>
    <t>ALL YEARS (2025-only rule exception, Olivia 2026-08-26): oil-fired gen 2025 67.4 GWh / (cap 7.1 MW x CF 0.1096 x 8760) = 9.8839 -- CLIPPED at 1.0; 67.4 GWh of this burns at units whose capacity BHRaSYC books under another row, so it is unreachable</t>
  </si>
  <si>
    <t>SC|natural gas combined cycle</t>
  </si>
  <si>
    <t>SC|petroleum</t>
  </si>
  <si>
    <t>ALL YEARS (2025-only rule exception, Olivia 2026-08-26): oil-fired gen 2025 109.0 GWh / (cap 237.4 MW x CF 0.1063 x 8760) = 0.4928</t>
  </si>
  <si>
    <t>SD|hard coal</t>
  </si>
  <si>
    <t>hydro exception: kept below the 0.90 default by decision 2026-08-13 -- 0.90 pinned SD hydro at +10.45% vs EIA-923 2025 (0.90 x SD potential).</t>
  </si>
  <si>
    <t>SD|petroleum</t>
  </si>
  <si>
    <t>ALL YEARS (2025-only rule exception, Olivia 2026-08-26): oil-fired gen 2025 7.4 GWh / (cap 207.3 MW x CF 0.1363 x 8760) = 0.0298</t>
  </si>
  <si>
    <t>TN|hard coal</t>
  </si>
  <si>
    <t>TN|petroleum</t>
  </si>
  <si>
    <t>ALL YEARS (2025-only rule exception, Olivia 2026-08-26): oil-fired gen 2025 126.9 GWh / (cap 470.4 MW x CF 0.0622 x 8760) = 0.4950</t>
  </si>
  <si>
    <t>TX|hard coal</t>
  </si>
  <si>
    <t>TX|petroleum</t>
  </si>
  <si>
    <t>ALL YEARS (2025-only rule exception, Olivia 2026-08-26): oil-fired gen 2025 188.6 GWh / (cap 619.3 MW x CF 0.1913 x 8760) = 0.1817</t>
  </si>
  <si>
    <t>UT|hard coal</t>
  </si>
  <si>
    <t>UT|petroleum</t>
  </si>
  <si>
    <t>ALL YEARS (2025-only rule exception, Olivia 2026-08-26): oil-fired gen 2025 31.1 GWh / (cap 27.8 MW x CF 0.2029 x 8760) = 0.6289</t>
  </si>
  <si>
    <t>VA|hard coal</t>
  </si>
  <si>
    <t>VA|petroleum</t>
  </si>
  <si>
    <t>ALL YEARS (2025-only rule exception, Olivia 2026-08-26): oil-fired gen 2025 639.6 GWh / (cap 737.6 MW x CF 0.1210 x 8760) = 0.8180</t>
  </si>
  <si>
    <t>VT|petroleum</t>
  </si>
  <si>
    <t>ALL YEARS (2025-only rule exception, Olivia 2026-08-26): oil-fired gen 2025 3.9 GWh / (cap 126.0 MW x CF 0.1096 x 8760) = 0.0322</t>
  </si>
  <si>
    <t>WA|hard coal</t>
  </si>
  <si>
    <t>2026-09-02 WA gas touch-up on the bau-0901 evening basis (Olivia's request: guarantee gas to within 2%, eating hydro dispatch): NGCC 2025 floor solved by two-point secant (0 -&gt; probe 0.943604 -&gt; 0.35612), lands gas -1.66% / hydro +0.30% / coal +1.71%, wind-solar untouched. Coal floor 0.912841 unchanged from the 09-01 round. Target was -1.5%, not 0, leaving room for the registered grid-sold-CHP share of the EIA gas benchmark (task 9 decision). Run tree also re-carries the Centralia BCRbQ 670 MW @2028 (found wiped, all-zeros, when this round started; upstream fix still O68). All other states carried forward from bgd_tune_results_2026-09-01.csv unchanged.</t>
  </si>
  <si>
    <t>WA|natural gas combined cycle</t>
  </si>
  <si>
    <t>WA|hydro</t>
  </si>
  <si>
    <t>hydro exception (staff 2026-07-22): guarantee removed; WA at the $80 HOC cap still over-dispatched, so hydro is the pure least-cost residual.</t>
  </si>
  <si>
    <t>WA|petroleum</t>
  </si>
  <si>
    <t>ALL YEARS (2025-only rule exception, Olivia 2026-08-26): oil-fired gen 2025 12.1 GWh / (cap 7.9 MW x CF 0.1189 x 8760) = 1.4653 -- CLIPPED at 1.0; 11.4 GWh of this burns at units whose capacity BHRaSYC books under another row, so it is unreachable</t>
  </si>
  <si>
    <t>WI|natural gas combined cycle</t>
  </si>
  <si>
    <t>WI|petroleum</t>
  </si>
  <si>
    <t>ALL YEARS (2025-only rule exception, Olivia 2026-08-26): oil-fired gen 2025 106.5 GWh / (cap 515.4 MW x CF 0.0876 x 8760) = 0.2692</t>
  </si>
  <si>
    <t>WV|hard coal</t>
  </si>
  <si>
    <t>WV|petroleum</t>
  </si>
  <si>
    <t>ALL YEARS (2025-only rule exception, Olivia 2026-08-26): oil-fired gen 2025 141.9 GWh / (cap 11.0 MW x CF 0.2921 x 8760) = 5.0428 -- CLIPPED at 1.0; 141.6 GWh of this burns at units whose capacity BHRaSYC books under another row, so it is unreachable</t>
  </si>
  <si>
    <t>WY|natural gas steam turbine</t>
  </si>
  <si>
    <t>WY|natural gas combined cycle</t>
  </si>
  <si>
    <t>WY|petroleum</t>
  </si>
  <si>
    <t>ALL YEARS (2025-only rule exception, Olivia 2026-08-26): oil-fired gen 2025 52.7 GWh / (cap 4.7 MW x CF 0.0970 x 8760) = 13.1908 -- CLIPPED at 1.0; 52.4 GWh of this burns at units whose capacity BHRaSYC books under another row, so it is unreachable</t>
  </si>
  <si>
    <t>FLEET SCREEN -- start-year (2025) electricity generation capacity by state and tech, MW</t>
  </si>
  <si>
    <t>Why: the four coal/gas guarantees are 2025-only, so a guarantee on a tech with no 2025 fleet is inert AND misleading. The BGDPbES tab multiplies those four rows by the has_fleet flag at the bottom of this tab.</t>
  </si>
  <si>
    <t>SOURCE AND PROVENANCE</t>
  </si>
  <si>
    <t>source file pattern</t>
  </si>
  <si>
    <t>state-eps-data/&lt;ST&gt;/elec/BHRaSYC/BHRaSYC-StartYearCapacities.csv</t>
  </si>
  <si>
    <t>handling</t>
  </si>
  <si>
    <t>summed across all Vintage columns per tech row; verbatim otherwise</t>
  </si>
  <si>
    <t>states read</t>
  </si>
  <si>
    <t>accessed</t>
  </si>
  <si>
    <t>BHRaSYC is generated outside this repo, so it is read from the deployed tree. Not circular: it is a different variable, so no BGDPbES value can be fed back into a rebuild.</t>
  </si>
  <si>
    <t>PER-FILE PROVENANCE</t>
  </si>
  <si>
    <t>bytes</t>
  </si>
  <si>
    <t>sha256 (12)</t>
  </si>
  <si>
    <t>vintage cols</t>
  </si>
  <si>
    <t>tech rows</t>
  </si>
  <si>
    <t>aa554e6117ee</t>
  </si>
  <si>
    <t>b9fb75c5c686</t>
  </si>
  <si>
    <t>221490253617</t>
  </si>
  <si>
    <t>7af171e7c975</t>
  </si>
  <si>
    <t>27074de39c39</t>
  </si>
  <si>
    <t>f8a2189f707c</t>
  </si>
  <si>
    <t>a9513e0f983f</t>
  </si>
  <si>
    <t>013ebcbe3215</t>
  </si>
  <si>
    <t>52641aea61a6</t>
  </si>
  <si>
    <t>f3053fb669a5</t>
  </si>
  <si>
    <t>28c133c4ac92</t>
  </si>
  <si>
    <t>96e03f983a73</t>
  </si>
  <si>
    <t>eb94d066a605</t>
  </si>
  <si>
    <t>af73cb9ac8d8</t>
  </si>
  <si>
    <t>54617d7f1cf7</t>
  </si>
  <si>
    <t>97ea1e121763</t>
  </si>
  <si>
    <t>02d1adb996c5</t>
  </si>
  <si>
    <t>92d33475678b</t>
  </si>
  <si>
    <t>0d43525d6653</t>
  </si>
  <si>
    <t>414ffa512a45</t>
  </si>
  <si>
    <t>fb64d8dc11c1</t>
  </si>
  <si>
    <t>14ee25b3e9bc</t>
  </si>
  <si>
    <t>627c99019e97</t>
  </si>
  <si>
    <t>df41a694e011</t>
  </si>
  <si>
    <t>25e1cd278c1f</t>
  </si>
  <si>
    <t>a510024c4ee1</t>
  </si>
  <si>
    <t>2c34eed6bc08</t>
  </si>
  <si>
    <t>365038811b86</t>
  </si>
  <si>
    <t>43f1cc176e62</t>
  </si>
  <si>
    <t>7d01287a81f6</t>
  </si>
  <si>
    <t>7145cb1c943c</t>
  </si>
  <si>
    <t>2f31d6940c58</t>
  </si>
  <si>
    <t>2c58425dbb4f</t>
  </si>
  <si>
    <t>5bb261f5cc3e</t>
  </si>
  <si>
    <t>015ee80dda33</t>
  </si>
  <si>
    <t>d645d357a139</t>
  </si>
  <si>
    <t>44a8b4ab997b</t>
  </si>
  <si>
    <t>d2c35df314e6</t>
  </si>
  <si>
    <t>dd863a4a5b87</t>
  </si>
  <si>
    <t>2603469637eb</t>
  </si>
  <si>
    <t>0ac3e67f11c7</t>
  </si>
  <si>
    <t>1dacb1bab934</t>
  </si>
  <si>
    <t>7065cdbd1593</t>
  </si>
  <si>
    <t>7003bb27e23e</t>
  </si>
  <si>
    <t>fca4d6d152ca</t>
  </si>
  <si>
    <t>e47606ad254b</t>
  </si>
  <si>
    <t>cc6e53f108b9</t>
  </si>
  <si>
    <t>13185dd4cac1</t>
  </si>
  <si>
    <t>START-YEAR CAPACITY BY STATE AND TECH (MW)</t>
  </si>
  <si>
    <t>CHECK: 48-state total (MW) -- an identity, so any nonzero difference is real</t>
  </si>
  <si>
    <t>sum of state rows</t>
  </si>
  <si>
    <t>ACTIVE STATE FLEET (About!B2) -- read by the BGDPbES tab</t>
  </si>
  <si>
    <t>start-year MW</t>
  </si>
  <si>
    <t>has_fleet (1 = state has a 2025 fleet)</t>
  </si>
  <si>
    <t>BAU Guaranteed Dispatch (dimensionless)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</si>
</sst>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6" x14ac:knownFonts="1">
    <font>
      <sz val="11"/>
      <color theme="1"/>
      <name val="Calibri"/>
      <family val="2"/>
      <scheme val="minor"/>
    </font>
    <font>
      <b/>
      <sz val="13"/>
      <name val="Calibri"/>
    </font>
    <font>
      <b/>
      <sz val="11"/>
      <color rgb="FFC00000"/>
      <name val="Calibri"/>
    </font>
    <font>
      <i/>
      <sz val="11"/>
      <name val="Calibri"/>
    </font>
    <font>
      <b/>
      <sz val="11"/>
      <name val="Calibri"/>
    </font>
    <font>
      <b/>
      <sz val="12"/>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vertical="top" wrapText="1"/>
    </xf>
    <xf numFmtId="0" fontId="5" fillId="0" borderId="0" xfId="0" applyFont="1"/>
    <xf numFmtId="0" fontId="4" fillId="0" borderId="0" xfId="0" applyFont="1" applyAlignment="1">
      <alignment textRotation="90"/>
    </xf>
    <xf numFmtId="164" fontId="0" fillId="0" borderId="0" xfId="0" applyNumberFormat="1"/>
    <xf numFmtId="3" fontId="0" fillId="0" borderId="0" xfId="0" applyNumberFormat="1"/>
    <xf numFmtId="1" fontId="0" fillId="0" borderId="0" xfId="0" applyNumberFormat="1"/>
    <xf numFmtId="2"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tabSelected="1" workbookViewId="0"/>
  </sheetViews>
  <sheetFormatPr defaultRowHeight="14.25" x14ac:dyDescent="0.45"/>
  <cols>
    <col min="1" max="1" width="18" customWidth="1"/>
    <col min="2" max="2" width="95" customWidth="1"/>
    <col min="11" max="11" width="16" customWidth="1"/>
  </cols>
  <sheetData>
    <row r="1" spans="1:12" ht="16.899999999999999" x14ac:dyDescent="0.5">
      <c r="A1" s="1" t="s">
        <v>0</v>
      </c>
      <c r="B1" s="2" t="s">
        <v>86</v>
      </c>
      <c r="C1" t="s">
        <v>2</v>
      </c>
      <c r="K1" t="s">
        <v>3</v>
      </c>
      <c r="L1" t="s">
        <v>4</v>
      </c>
    </row>
    <row r="2" spans="1:12" x14ac:dyDescent="0.45">
      <c r="A2" s="3" t="s">
        <v>5</v>
      </c>
      <c r="B2" s="4" t="str">
        <f>INDEX(L1:L48,MATCH(B1,K1:K48,0))</f>
        <v>NM</v>
      </c>
      <c r="K2" t="s">
        <v>6</v>
      </c>
      <c r="L2" t="s">
        <v>7</v>
      </c>
    </row>
    <row r="3" spans="1:12" x14ac:dyDescent="0.45">
      <c r="K3" t="s">
        <v>8</v>
      </c>
      <c r="L3" t="s">
        <v>9</v>
      </c>
    </row>
    <row r="4" spans="1:12" ht="98" customHeight="1" x14ac:dyDescent="0.45">
      <c r="A4" s="4" t="s">
        <v>10</v>
      </c>
      <c r="B4" s="5" t="s">
        <v>11</v>
      </c>
      <c r="K4" t="s">
        <v>12</v>
      </c>
      <c r="L4" t="s">
        <v>13</v>
      </c>
    </row>
    <row r="5" spans="1:12" ht="70.05" customHeight="1" x14ac:dyDescent="0.45">
      <c r="A5" s="4" t="s">
        <v>14</v>
      </c>
      <c r="B5" s="5" t="s">
        <v>15</v>
      </c>
      <c r="K5" t="s">
        <v>16</v>
      </c>
      <c r="L5" t="s">
        <v>17</v>
      </c>
    </row>
    <row r="6" spans="1:12" ht="154.05000000000001" customHeight="1" x14ac:dyDescent="0.45">
      <c r="A6" s="4" t="s">
        <v>18</v>
      </c>
      <c r="B6" s="5" t="s">
        <v>19</v>
      </c>
      <c r="K6" t="s">
        <v>20</v>
      </c>
      <c r="L6" t="s">
        <v>21</v>
      </c>
    </row>
    <row r="7" spans="1:12" ht="98" customHeight="1" x14ac:dyDescent="0.45">
      <c r="A7" s="4" t="s">
        <v>22</v>
      </c>
      <c r="B7" s="5" t="s">
        <v>23</v>
      </c>
      <c r="K7" t="s">
        <v>24</v>
      </c>
      <c r="L7" t="s">
        <v>25</v>
      </c>
    </row>
    <row r="8" spans="1:12" ht="112.05" customHeight="1" x14ac:dyDescent="0.45">
      <c r="A8" s="4" t="s">
        <v>26</v>
      </c>
      <c r="B8" s="5" t="s">
        <v>27</v>
      </c>
      <c r="K8" t="s">
        <v>28</v>
      </c>
      <c r="L8" t="s">
        <v>29</v>
      </c>
    </row>
    <row r="9" spans="1:12" ht="126" customHeight="1" x14ac:dyDescent="0.45">
      <c r="A9" s="4" t="s">
        <v>30</v>
      </c>
      <c r="B9" s="5" t="s">
        <v>31</v>
      </c>
      <c r="K9" t="s">
        <v>32</v>
      </c>
      <c r="L9" t="s">
        <v>33</v>
      </c>
    </row>
    <row r="10" spans="1:12" ht="140" customHeight="1" x14ac:dyDescent="0.45">
      <c r="A10" s="4" t="s">
        <v>34</v>
      </c>
      <c r="B10" s="5" t="s">
        <v>35</v>
      </c>
      <c r="K10" t="s">
        <v>36</v>
      </c>
      <c r="L10" t="s">
        <v>37</v>
      </c>
    </row>
    <row r="11" spans="1:12" ht="168" customHeight="1" x14ac:dyDescent="0.45">
      <c r="A11" s="4" t="s">
        <v>38</v>
      </c>
      <c r="B11" s="5" t="s">
        <v>39</v>
      </c>
      <c r="K11" t="s">
        <v>40</v>
      </c>
      <c r="L11" t="s">
        <v>41</v>
      </c>
    </row>
    <row r="12" spans="1:12" ht="252" customHeight="1" x14ac:dyDescent="0.45">
      <c r="A12" s="4" t="s">
        <v>42</v>
      </c>
      <c r="B12" s="5" t="s">
        <v>43</v>
      </c>
      <c r="K12" t="s">
        <v>44</v>
      </c>
      <c r="L12" t="s">
        <v>45</v>
      </c>
    </row>
    <row r="13" spans="1:12" ht="56" customHeight="1" x14ac:dyDescent="0.45">
      <c r="A13" s="4" t="s">
        <v>46</v>
      </c>
      <c r="B13" s="5" t="s">
        <v>47</v>
      </c>
      <c r="K13" t="s">
        <v>48</v>
      </c>
      <c r="L13" t="s">
        <v>49</v>
      </c>
    </row>
    <row r="14" spans="1:12" ht="70.05" customHeight="1" x14ac:dyDescent="0.45">
      <c r="A14" s="4" t="s">
        <v>50</v>
      </c>
      <c r="B14" s="5" t="s">
        <v>51</v>
      </c>
      <c r="K14" t="s">
        <v>52</v>
      </c>
      <c r="L14" t="s">
        <v>53</v>
      </c>
    </row>
    <row r="15" spans="1:12" ht="70.05" customHeight="1" x14ac:dyDescent="0.45">
      <c r="A15" s="4" t="s">
        <v>54</v>
      </c>
      <c r="B15" s="5" t="s">
        <v>55</v>
      </c>
      <c r="K15" t="s">
        <v>56</v>
      </c>
      <c r="L15" t="s">
        <v>57</v>
      </c>
    </row>
    <row r="16" spans="1:12" ht="15" customHeight="1" x14ac:dyDescent="0.45">
      <c r="A16" s="4" t="s">
        <v>58</v>
      </c>
      <c r="B16" s="5" t="s">
        <v>59</v>
      </c>
      <c r="K16" t="s">
        <v>60</v>
      </c>
      <c r="L16" t="s">
        <v>61</v>
      </c>
    </row>
    <row r="17" spans="11:12" x14ac:dyDescent="0.45">
      <c r="K17" t="s">
        <v>62</v>
      </c>
      <c r="L17" t="s">
        <v>63</v>
      </c>
    </row>
    <row r="18" spans="11:12" x14ac:dyDescent="0.45">
      <c r="K18" t="s">
        <v>64</v>
      </c>
      <c r="L18" t="s">
        <v>65</v>
      </c>
    </row>
    <row r="19" spans="11:12" x14ac:dyDescent="0.45">
      <c r="K19" t="s">
        <v>66</v>
      </c>
      <c r="L19" t="s">
        <v>67</v>
      </c>
    </row>
    <row r="20" spans="11:12" x14ac:dyDescent="0.45">
      <c r="K20" t="s">
        <v>68</v>
      </c>
      <c r="L20" t="s">
        <v>69</v>
      </c>
    </row>
    <row r="21" spans="11:12" x14ac:dyDescent="0.45">
      <c r="K21" t="s">
        <v>70</v>
      </c>
      <c r="L21" t="s">
        <v>71</v>
      </c>
    </row>
    <row r="22" spans="11:12" x14ac:dyDescent="0.45">
      <c r="K22" t="s">
        <v>72</v>
      </c>
      <c r="L22" t="s">
        <v>73</v>
      </c>
    </row>
    <row r="23" spans="11:12" x14ac:dyDescent="0.45">
      <c r="K23" t="s">
        <v>74</v>
      </c>
      <c r="L23" t="s">
        <v>75</v>
      </c>
    </row>
    <row r="24" spans="11:12" x14ac:dyDescent="0.45">
      <c r="K24" t="s">
        <v>76</v>
      </c>
      <c r="L24" t="s">
        <v>77</v>
      </c>
    </row>
    <row r="25" spans="11:12" x14ac:dyDescent="0.45">
      <c r="K25" t="s">
        <v>78</v>
      </c>
      <c r="L25" t="s">
        <v>79</v>
      </c>
    </row>
    <row r="26" spans="11:12" x14ac:dyDescent="0.45">
      <c r="K26" t="s">
        <v>80</v>
      </c>
      <c r="L26" t="s">
        <v>81</v>
      </c>
    </row>
    <row r="27" spans="11:12" x14ac:dyDescent="0.45">
      <c r="K27" t="s">
        <v>82</v>
      </c>
      <c r="L27" t="s">
        <v>83</v>
      </c>
    </row>
    <row r="28" spans="11:12" x14ac:dyDescent="0.45">
      <c r="K28" t="s">
        <v>84</v>
      </c>
      <c r="L28" t="s">
        <v>85</v>
      </c>
    </row>
    <row r="29" spans="11:12" x14ac:dyDescent="0.45">
      <c r="K29" t="s">
        <v>86</v>
      </c>
      <c r="L29" t="s">
        <v>87</v>
      </c>
    </row>
    <row r="30" spans="11:12" x14ac:dyDescent="0.45">
      <c r="K30" t="s">
        <v>1</v>
      </c>
      <c r="L30" t="s">
        <v>88</v>
      </c>
    </row>
    <row r="31" spans="11:12" x14ac:dyDescent="0.45">
      <c r="K31" t="s">
        <v>89</v>
      </c>
      <c r="L31" t="s">
        <v>90</v>
      </c>
    </row>
    <row r="32" spans="11:12" x14ac:dyDescent="0.45">
      <c r="K32" t="s">
        <v>91</v>
      </c>
      <c r="L32" t="s">
        <v>92</v>
      </c>
    </row>
    <row r="33" spans="11:12" x14ac:dyDescent="0.45">
      <c r="K33" t="s">
        <v>93</v>
      </c>
      <c r="L33" t="s">
        <v>94</v>
      </c>
    </row>
    <row r="34" spans="11:12" x14ac:dyDescent="0.45">
      <c r="K34" t="s">
        <v>95</v>
      </c>
      <c r="L34" t="s">
        <v>96</v>
      </c>
    </row>
    <row r="35" spans="11:12" x14ac:dyDescent="0.45">
      <c r="K35" t="s">
        <v>97</v>
      </c>
      <c r="L35" t="s">
        <v>98</v>
      </c>
    </row>
    <row r="36" spans="11:12" x14ac:dyDescent="0.45">
      <c r="K36" t="s">
        <v>99</v>
      </c>
      <c r="L36" t="s">
        <v>100</v>
      </c>
    </row>
    <row r="37" spans="11:12" x14ac:dyDescent="0.45">
      <c r="K37" t="s">
        <v>101</v>
      </c>
      <c r="L37" t="s">
        <v>102</v>
      </c>
    </row>
    <row r="38" spans="11:12" x14ac:dyDescent="0.45">
      <c r="K38" t="s">
        <v>103</v>
      </c>
      <c r="L38" t="s">
        <v>104</v>
      </c>
    </row>
    <row r="39" spans="11:12" x14ac:dyDescent="0.45">
      <c r="K39" t="s">
        <v>105</v>
      </c>
      <c r="L39" t="s">
        <v>106</v>
      </c>
    </row>
    <row r="40" spans="11:12" x14ac:dyDescent="0.45">
      <c r="K40" t="s">
        <v>107</v>
      </c>
      <c r="L40" t="s">
        <v>108</v>
      </c>
    </row>
    <row r="41" spans="11:12" x14ac:dyDescent="0.45">
      <c r="K41" t="s">
        <v>109</v>
      </c>
      <c r="L41" t="s">
        <v>110</v>
      </c>
    </row>
    <row r="42" spans="11:12" x14ac:dyDescent="0.45">
      <c r="K42" t="s">
        <v>111</v>
      </c>
      <c r="L42" t="s">
        <v>112</v>
      </c>
    </row>
    <row r="43" spans="11:12" x14ac:dyDescent="0.45">
      <c r="K43" t="s">
        <v>113</v>
      </c>
      <c r="L43" t="s">
        <v>114</v>
      </c>
    </row>
    <row r="44" spans="11:12" x14ac:dyDescent="0.45">
      <c r="K44" t="s">
        <v>115</v>
      </c>
      <c r="L44" t="s">
        <v>116</v>
      </c>
    </row>
    <row r="45" spans="11:12" x14ac:dyDescent="0.45">
      <c r="K45" t="s">
        <v>117</v>
      </c>
      <c r="L45" t="s">
        <v>118</v>
      </c>
    </row>
    <row r="46" spans="11:12" x14ac:dyDescent="0.45">
      <c r="K46" t="s">
        <v>119</v>
      </c>
      <c r="L46" t="s">
        <v>120</v>
      </c>
    </row>
    <row r="47" spans="11:12" x14ac:dyDescent="0.45">
      <c r="K47" t="s">
        <v>121</v>
      </c>
      <c r="L47" t="s">
        <v>122</v>
      </c>
    </row>
    <row r="48" spans="11:12" x14ac:dyDescent="0.45">
      <c r="K48" t="s">
        <v>123</v>
      </c>
      <c r="L48" t="s">
        <v>124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sheetViews>
  <sheetFormatPr defaultRowHeight="14.25" x14ac:dyDescent="0.45"/>
  <cols>
    <col min="1" max="1" width="10" customWidth="1"/>
    <col min="2" max="2" width="18" customWidth="1"/>
    <col min="3" max="3" width="14" customWidth="1"/>
    <col min="4" max="4" width="100" customWidth="1"/>
    <col min="6" max="6" width="10" customWidth="1"/>
    <col min="7" max="7" width="18" customWidth="1"/>
    <col min="9" max="9" width="34" customWidth="1"/>
    <col min="10" max="10" width="12" customWidth="1"/>
  </cols>
  <sheetData>
    <row r="1" spans="1:10" x14ac:dyDescent="0.45">
      <c r="A1" s="4" t="s">
        <v>125</v>
      </c>
      <c r="B1" s="4" t="s">
        <v>126</v>
      </c>
      <c r="C1" s="4" t="s">
        <v>127</v>
      </c>
      <c r="D1" s="4" t="s">
        <v>128</v>
      </c>
      <c r="F1" s="4" t="s">
        <v>129</v>
      </c>
      <c r="G1" s="4" t="s">
        <v>130</v>
      </c>
      <c r="I1" s="4" t="s">
        <v>131</v>
      </c>
      <c r="J1" s="4" t="s">
        <v>132</v>
      </c>
    </row>
    <row r="2" spans="1:10" x14ac:dyDescent="0.45">
      <c r="A2" t="s">
        <v>133</v>
      </c>
      <c r="B2" t="s">
        <v>134</v>
      </c>
      <c r="C2" t="s">
        <v>114</v>
      </c>
      <c r="D2" t="s">
        <v>135</v>
      </c>
      <c r="F2">
        <v>2021</v>
      </c>
      <c r="G2">
        <v>0</v>
      </c>
      <c r="I2" t="s">
        <v>136</v>
      </c>
      <c r="J2">
        <v>1</v>
      </c>
    </row>
    <row r="3" spans="1:10" x14ac:dyDescent="0.45">
      <c r="A3" t="s">
        <v>133</v>
      </c>
      <c r="B3" t="s">
        <v>137</v>
      </c>
      <c r="C3">
        <v>0.9</v>
      </c>
      <c r="D3" t="s">
        <v>138</v>
      </c>
      <c r="F3">
        <v>2022</v>
      </c>
      <c r="G3">
        <v>0</v>
      </c>
      <c r="I3" t="s">
        <v>139</v>
      </c>
      <c r="J3">
        <v>1</v>
      </c>
    </row>
    <row r="4" spans="1:10" x14ac:dyDescent="0.45">
      <c r="A4" t="s">
        <v>133</v>
      </c>
      <c r="B4" t="s">
        <v>140</v>
      </c>
      <c r="C4">
        <v>2025</v>
      </c>
      <c r="D4" t="s">
        <v>141</v>
      </c>
      <c r="F4">
        <v>2023</v>
      </c>
      <c r="G4">
        <v>0</v>
      </c>
      <c r="I4" t="s">
        <v>142</v>
      </c>
      <c r="J4">
        <v>1</v>
      </c>
    </row>
    <row r="5" spans="1:10" x14ac:dyDescent="0.45">
      <c r="F5">
        <v>2024</v>
      </c>
      <c r="G5">
        <v>0</v>
      </c>
      <c r="I5" t="s">
        <v>143</v>
      </c>
      <c r="J5">
        <v>1</v>
      </c>
    </row>
    <row r="6" spans="1:10" x14ac:dyDescent="0.45">
      <c r="F6">
        <v>2025</v>
      </c>
      <c r="G6">
        <v>0</v>
      </c>
      <c r="I6" t="s">
        <v>144</v>
      </c>
      <c r="J6">
        <v>1</v>
      </c>
    </row>
    <row r="7" spans="1:10" x14ac:dyDescent="0.45">
      <c r="F7">
        <v>2026</v>
      </c>
      <c r="G7">
        <v>0.3</v>
      </c>
      <c r="I7" t="s">
        <v>145</v>
      </c>
      <c r="J7">
        <v>1</v>
      </c>
    </row>
    <row r="8" spans="1:10" x14ac:dyDescent="0.45">
      <c r="F8">
        <v>2027</v>
      </c>
      <c r="G8">
        <v>0.5</v>
      </c>
      <c r="I8" t="s">
        <v>146</v>
      </c>
      <c r="J8">
        <v>1</v>
      </c>
    </row>
    <row r="9" spans="1:10" x14ac:dyDescent="0.45">
      <c r="F9">
        <v>2028</v>
      </c>
      <c r="G9">
        <v>0.7</v>
      </c>
      <c r="I9" t="s">
        <v>147</v>
      </c>
      <c r="J9">
        <v>1</v>
      </c>
    </row>
    <row r="10" spans="1:10" x14ac:dyDescent="0.45">
      <c r="F10">
        <v>2029</v>
      </c>
      <c r="G10">
        <v>0.85</v>
      </c>
      <c r="I10" t="s">
        <v>148</v>
      </c>
      <c r="J10">
        <v>1</v>
      </c>
    </row>
    <row r="11" spans="1:10" x14ac:dyDescent="0.45">
      <c r="F11">
        <v>2030</v>
      </c>
      <c r="G11">
        <v>0.9</v>
      </c>
      <c r="I11" t="s">
        <v>149</v>
      </c>
      <c r="J11">
        <v>1</v>
      </c>
    </row>
    <row r="12" spans="1:10" x14ac:dyDescent="0.45">
      <c r="F12">
        <v>2031</v>
      </c>
      <c r="G12">
        <v>0.9</v>
      </c>
      <c r="I12" t="s">
        <v>150</v>
      </c>
      <c r="J12">
        <v>1</v>
      </c>
    </row>
    <row r="13" spans="1:10" x14ac:dyDescent="0.45">
      <c r="F13">
        <v>2032</v>
      </c>
      <c r="G13">
        <v>0.9</v>
      </c>
      <c r="I13" t="s">
        <v>151</v>
      </c>
      <c r="J13">
        <v>1</v>
      </c>
    </row>
    <row r="14" spans="1:10" x14ac:dyDescent="0.45">
      <c r="F14">
        <v>2033</v>
      </c>
      <c r="G14">
        <v>0.9</v>
      </c>
      <c r="I14" t="s">
        <v>152</v>
      </c>
      <c r="J14">
        <v>1</v>
      </c>
    </row>
    <row r="15" spans="1:10" x14ac:dyDescent="0.45">
      <c r="F15">
        <v>2034</v>
      </c>
      <c r="G15">
        <v>0.9</v>
      </c>
      <c r="I15" t="s">
        <v>153</v>
      </c>
      <c r="J15">
        <v>1</v>
      </c>
    </row>
    <row r="16" spans="1:10" x14ac:dyDescent="0.45">
      <c r="F16">
        <v>2035</v>
      </c>
      <c r="G16">
        <v>0.9</v>
      </c>
      <c r="I16" t="s">
        <v>154</v>
      </c>
      <c r="J16">
        <v>1</v>
      </c>
    </row>
    <row r="17" spans="6:10" x14ac:dyDescent="0.45">
      <c r="F17">
        <v>2036</v>
      </c>
      <c r="G17">
        <v>0.9</v>
      </c>
      <c r="I17" t="s">
        <v>155</v>
      </c>
      <c r="J17">
        <v>1</v>
      </c>
    </row>
    <row r="18" spans="6:10" x14ac:dyDescent="0.45">
      <c r="F18">
        <v>2037</v>
      </c>
      <c r="G18">
        <v>0.9</v>
      </c>
      <c r="I18" t="s">
        <v>156</v>
      </c>
      <c r="J18">
        <v>1</v>
      </c>
    </row>
    <row r="19" spans="6:10" x14ac:dyDescent="0.45">
      <c r="F19">
        <v>2038</v>
      </c>
      <c r="G19">
        <v>0.9</v>
      </c>
      <c r="I19" t="s">
        <v>157</v>
      </c>
      <c r="J19">
        <v>1</v>
      </c>
    </row>
    <row r="20" spans="6:10" x14ac:dyDescent="0.45">
      <c r="F20">
        <v>2039</v>
      </c>
      <c r="G20">
        <v>0.9</v>
      </c>
      <c r="I20" t="s">
        <v>158</v>
      </c>
      <c r="J20">
        <v>1</v>
      </c>
    </row>
    <row r="21" spans="6:10" x14ac:dyDescent="0.45">
      <c r="F21">
        <v>2040</v>
      </c>
      <c r="G21">
        <v>0.9</v>
      </c>
      <c r="I21" t="s">
        <v>159</v>
      </c>
      <c r="J21">
        <v>1</v>
      </c>
    </row>
    <row r="22" spans="6:10" x14ac:dyDescent="0.45">
      <c r="F22">
        <v>2041</v>
      </c>
      <c r="G22">
        <v>0.9</v>
      </c>
    </row>
    <row r="23" spans="6:10" x14ac:dyDescent="0.45">
      <c r="F23">
        <v>2042</v>
      </c>
      <c r="G23">
        <v>0.9</v>
      </c>
    </row>
    <row r="24" spans="6:10" x14ac:dyDescent="0.45">
      <c r="F24">
        <v>2043</v>
      </c>
      <c r="G24">
        <v>0.9</v>
      </c>
    </row>
    <row r="25" spans="6:10" x14ac:dyDescent="0.45">
      <c r="F25">
        <v>2044</v>
      </c>
      <c r="G25">
        <v>0.9</v>
      </c>
    </row>
    <row r="26" spans="6:10" x14ac:dyDescent="0.45">
      <c r="F26">
        <v>2045</v>
      </c>
      <c r="G26">
        <v>0.9</v>
      </c>
    </row>
    <row r="27" spans="6:10" x14ac:dyDescent="0.45">
      <c r="F27">
        <v>2046</v>
      </c>
      <c r="G27">
        <v>0.9</v>
      </c>
    </row>
    <row r="28" spans="6:10" x14ac:dyDescent="0.45">
      <c r="F28">
        <v>2047</v>
      </c>
      <c r="G28">
        <v>0.9</v>
      </c>
    </row>
    <row r="29" spans="6:10" x14ac:dyDescent="0.45">
      <c r="F29">
        <v>2048</v>
      </c>
      <c r="G29">
        <v>0.9</v>
      </c>
    </row>
    <row r="30" spans="6:10" x14ac:dyDescent="0.45">
      <c r="F30">
        <v>2049</v>
      </c>
      <c r="G30">
        <v>0.9</v>
      </c>
    </row>
    <row r="31" spans="6:10" x14ac:dyDescent="0.45">
      <c r="F31">
        <v>2050</v>
      </c>
      <c r="G31">
        <v>0.9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5"/>
  <sheetViews>
    <sheetView workbookViewId="0">
      <pane ySplit="1" topLeftCell="A2" activePane="bottomLeft" state="frozen"/>
      <selection pane="bottomLeft"/>
    </sheetView>
  </sheetViews>
  <sheetFormatPr defaultRowHeight="14.25" x14ac:dyDescent="0.45"/>
  <cols>
    <col min="1" max="1" width="34" customWidth="1"/>
    <col min="2" max="2" width="14" customWidth="1"/>
    <col min="3" max="3" width="120" customWidth="1"/>
  </cols>
  <sheetData>
    <row r="1" spans="1:3" x14ac:dyDescent="0.45">
      <c r="A1" s="4" t="s">
        <v>160</v>
      </c>
      <c r="B1" s="4" t="s">
        <v>161</v>
      </c>
      <c r="C1" s="4" t="s">
        <v>162</v>
      </c>
    </row>
    <row r="2" spans="1:3" x14ac:dyDescent="0.45">
      <c r="A2" t="s">
        <v>163</v>
      </c>
      <c r="B2">
        <v>0</v>
      </c>
      <c r="C2" t="s">
        <v>164</v>
      </c>
    </row>
    <row r="3" spans="1:3" x14ac:dyDescent="0.45">
      <c r="A3" t="s">
        <v>165</v>
      </c>
      <c r="B3">
        <v>0</v>
      </c>
      <c r="C3" t="s">
        <v>166</v>
      </c>
    </row>
    <row r="4" spans="1:3" x14ac:dyDescent="0.45">
      <c r="A4" t="s">
        <v>167</v>
      </c>
      <c r="B4">
        <v>0</v>
      </c>
      <c r="C4" t="s">
        <v>168</v>
      </c>
    </row>
    <row r="5" spans="1:3" x14ac:dyDescent="0.45">
      <c r="A5" t="s">
        <v>169</v>
      </c>
      <c r="B5">
        <v>1</v>
      </c>
      <c r="C5" t="s">
        <v>170</v>
      </c>
    </row>
    <row r="6" spans="1:3" x14ac:dyDescent="0.45">
      <c r="A6" t="s">
        <v>171</v>
      </c>
      <c r="B6">
        <v>0.9</v>
      </c>
      <c r="C6" t="s">
        <v>172</v>
      </c>
    </row>
    <row r="7" spans="1:3" x14ac:dyDescent="0.45">
      <c r="A7" t="s">
        <v>173</v>
      </c>
      <c r="B7">
        <v>0</v>
      </c>
      <c r="C7" t="s">
        <v>174</v>
      </c>
    </row>
    <row r="8" spans="1:3" x14ac:dyDescent="0.45">
      <c r="A8" t="s">
        <v>175</v>
      </c>
      <c r="B8">
        <v>0</v>
      </c>
      <c r="C8" t="s">
        <v>174</v>
      </c>
    </row>
    <row r="9" spans="1:3" x14ac:dyDescent="0.45">
      <c r="A9" t="s">
        <v>176</v>
      </c>
      <c r="B9">
        <v>0</v>
      </c>
      <c r="C9" t="s">
        <v>174</v>
      </c>
    </row>
    <row r="10" spans="1:3" x14ac:dyDescent="0.45">
      <c r="A10" t="s">
        <v>177</v>
      </c>
      <c r="B10">
        <v>1</v>
      </c>
      <c r="C10" t="s">
        <v>178</v>
      </c>
    </row>
    <row r="11" spans="1:3" x14ac:dyDescent="0.45">
      <c r="A11" t="s">
        <v>179</v>
      </c>
      <c r="B11">
        <v>1</v>
      </c>
      <c r="C11" t="s">
        <v>178</v>
      </c>
    </row>
    <row r="12" spans="1:3" x14ac:dyDescent="0.45">
      <c r="A12" t="s">
        <v>180</v>
      </c>
      <c r="B12">
        <v>1</v>
      </c>
      <c r="C12" t="s">
        <v>181</v>
      </c>
    </row>
    <row r="13" spans="1:3" x14ac:dyDescent="0.45">
      <c r="A13" t="s">
        <v>182</v>
      </c>
      <c r="B13">
        <v>1</v>
      </c>
      <c r="C13" t="s">
        <v>183</v>
      </c>
    </row>
    <row r="14" spans="1:3" x14ac:dyDescent="0.45">
      <c r="A14" t="s">
        <v>184</v>
      </c>
      <c r="B14">
        <v>0</v>
      </c>
      <c r="C14" t="s">
        <v>185</v>
      </c>
    </row>
    <row r="15" spans="1:3" x14ac:dyDescent="0.45">
      <c r="A15" t="s">
        <v>186</v>
      </c>
      <c r="B15">
        <v>0</v>
      </c>
      <c r="C15" t="s">
        <v>174</v>
      </c>
    </row>
    <row r="16" spans="1:3" x14ac:dyDescent="0.45">
      <c r="A16" t="s">
        <v>187</v>
      </c>
      <c r="B16">
        <v>1</v>
      </c>
      <c r="C16" t="s">
        <v>178</v>
      </c>
    </row>
    <row r="17" spans="1:3" x14ac:dyDescent="0.45">
      <c r="A17" t="s">
        <v>188</v>
      </c>
      <c r="B17">
        <v>0</v>
      </c>
      <c r="C17" t="s">
        <v>189</v>
      </c>
    </row>
    <row r="18" spans="1:3" x14ac:dyDescent="0.45">
      <c r="A18" t="s">
        <v>190</v>
      </c>
      <c r="B18">
        <v>0</v>
      </c>
      <c r="C18" t="s">
        <v>189</v>
      </c>
    </row>
    <row r="19" spans="1:3" x14ac:dyDescent="0.45">
      <c r="A19" t="s">
        <v>191</v>
      </c>
      <c r="B19">
        <v>0</v>
      </c>
      <c r="C19" t="s">
        <v>192</v>
      </c>
    </row>
    <row r="20" spans="1:3" x14ac:dyDescent="0.45">
      <c r="A20" t="s">
        <v>193</v>
      </c>
      <c r="B20">
        <v>0</v>
      </c>
      <c r="C20" t="s">
        <v>192</v>
      </c>
    </row>
    <row r="21" spans="1:3" x14ac:dyDescent="0.45">
      <c r="A21" t="s">
        <v>194</v>
      </c>
      <c r="B21">
        <v>0</v>
      </c>
      <c r="C21" t="s">
        <v>195</v>
      </c>
    </row>
    <row r="22" spans="1:3" x14ac:dyDescent="0.45">
      <c r="A22" t="s">
        <v>196</v>
      </c>
      <c r="B22">
        <v>0</v>
      </c>
      <c r="C22" t="s">
        <v>195</v>
      </c>
    </row>
    <row r="23" spans="1:3" x14ac:dyDescent="0.45">
      <c r="A23" t="s">
        <v>197</v>
      </c>
      <c r="B23">
        <v>0</v>
      </c>
      <c r="C23" t="s">
        <v>198</v>
      </c>
    </row>
    <row r="24" spans="1:3" x14ac:dyDescent="0.45">
      <c r="A24" t="s">
        <v>199</v>
      </c>
      <c r="B24">
        <v>1</v>
      </c>
      <c r="C24" t="s">
        <v>200</v>
      </c>
    </row>
    <row r="25" spans="1:3" x14ac:dyDescent="0.45">
      <c r="A25" t="s">
        <v>201</v>
      </c>
      <c r="B25">
        <v>0</v>
      </c>
      <c r="C25" t="s">
        <v>195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
  <sheetViews>
    <sheetView workbookViewId="0">
      <pane ySplit="1" topLeftCell="A2" activePane="bottomLeft" state="frozen"/>
      <selection pane="bottomLeft"/>
    </sheetView>
  </sheetViews>
  <sheetFormatPr defaultRowHeight="14.25" x14ac:dyDescent="0.45"/>
  <cols>
    <col min="1" max="1" width="8" customWidth="1"/>
    <col min="2" max="2" width="34" customWidth="1"/>
    <col min="3" max="3" width="12" customWidth="1"/>
    <col min="4" max="4" width="40" customWidth="1"/>
    <col min="5" max="5" width="100" customWidth="1"/>
  </cols>
  <sheetData>
    <row r="1" spans="1:5" x14ac:dyDescent="0.45">
      <c r="A1" s="4" t="s">
        <v>202</v>
      </c>
      <c r="B1" s="4" t="s">
        <v>160</v>
      </c>
      <c r="C1" s="4" t="s">
        <v>203</v>
      </c>
      <c r="D1" s="4" t="s">
        <v>204</v>
      </c>
      <c r="E1" s="4" t="s">
        <v>162</v>
      </c>
    </row>
    <row r="2" spans="1:5" x14ac:dyDescent="0.45">
      <c r="A2" t="s">
        <v>4</v>
      </c>
      <c r="B2" t="s">
        <v>167</v>
      </c>
      <c r="C2">
        <v>0.30619600000000002</v>
      </c>
      <c r="D2" t="s">
        <v>205</v>
      </c>
      <c r="E2" t="s">
        <v>206</v>
      </c>
    </row>
    <row r="3" spans="1:5" x14ac:dyDescent="0.45">
      <c r="A3" t="s">
        <v>4</v>
      </c>
      <c r="B3" t="s">
        <v>180</v>
      </c>
      <c r="C3">
        <v>0.49120000000000003</v>
      </c>
      <c r="D3" t="s">
        <v>207</v>
      </c>
      <c r="E3" t="s">
        <v>208</v>
      </c>
    </row>
    <row r="4" spans="1:5" x14ac:dyDescent="0.45">
      <c r="A4" t="s">
        <v>9</v>
      </c>
      <c r="B4" t="s">
        <v>167</v>
      </c>
      <c r="C4">
        <v>0.7</v>
      </c>
      <c r="D4" t="s">
        <v>209</v>
      </c>
      <c r="E4" t="s">
        <v>210</v>
      </c>
    </row>
    <row r="5" spans="1:5" x14ac:dyDescent="0.45">
      <c r="A5" t="s">
        <v>9</v>
      </c>
      <c r="B5" t="s">
        <v>180</v>
      </c>
      <c r="C5">
        <v>1</v>
      </c>
      <c r="D5" t="s">
        <v>211</v>
      </c>
      <c r="E5" t="s">
        <v>212</v>
      </c>
    </row>
    <row r="6" spans="1:5" x14ac:dyDescent="0.45">
      <c r="A6" t="s">
        <v>7</v>
      </c>
      <c r="B6" t="s">
        <v>163</v>
      </c>
      <c r="C6">
        <v>0.64913399999999999</v>
      </c>
      <c r="D6" t="s">
        <v>213</v>
      </c>
      <c r="E6" t="s">
        <v>210</v>
      </c>
    </row>
    <row r="7" spans="1:5" x14ac:dyDescent="0.45">
      <c r="A7" t="s">
        <v>7</v>
      </c>
      <c r="B7" t="s">
        <v>180</v>
      </c>
      <c r="C7">
        <v>0.625</v>
      </c>
      <c r="D7" t="s">
        <v>214</v>
      </c>
      <c r="E7" t="s">
        <v>215</v>
      </c>
    </row>
    <row r="8" spans="1:5" x14ac:dyDescent="0.45">
      <c r="A8" t="s">
        <v>13</v>
      </c>
      <c r="B8" t="s">
        <v>180</v>
      </c>
      <c r="C8">
        <v>0.32350000000000001</v>
      </c>
      <c r="D8" t="s">
        <v>216</v>
      </c>
      <c r="E8" t="s">
        <v>217</v>
      </c>
    </row>
    <row r="9" spans="1:5" x14ac:dyDescent="0.45">
      <c r="A9" t="s">
        <v>17</v>
      </c>
      <c r="B9" t="s">
        <v>167</v>
      </c>
      <c r="C9">
        <v>0.92054000000000002</v>
      </c>
      <c r="D9" t="s">
        <v>218</v>
      </c>
      <c r="E9" t="s">
        <v>210</v>
      </c>
    </row>
    <row r="10" spans="1:5" x14ac:dyDescent="0.45">
      <c r="A10" t="s">
        <v>17</v>
      </c>
      <c r="B10" t="s">
        <v>180</v>
      </c>
      <c r="C10">
        <v>8.6999999999999994E-2</v>
      </c>
      <c r="D10" t="s">
        <v>219</v>
      </c>
      <c r="E10" t="s">
        <v>220</v>
      </c>
    </row>
    <row r="11" spans="1:5" x14ac:dyDescent="0.45">
      <c r="A11" t="s">
        <v>21</v>
      </c>
      <c r="B11" t="s">
        <v>167</v>
      </c>
      <c r="C11">
        <v>0.96804999999999997</v>
      </c>
      <c r="D11" t="s">
        <v>221</v>
      </c>
      <c r="E11" t="s">
        <v>210</v>
      </c>
    </row>
    <row r="12" spans="1:5" x14ac:dyDescent="0.45">
      <c r="A12" t="s">
        <v>21</v>
      </c>
      <c r="B12" t="s">
        <v>180</v>
      </c>
      <c r="C12">
        <v>0.36080000000000001</v>
      </c>
      <c r="D12" t="s">
        <v>222</v>
      </c>
      <c r="E12" t="s">
        <v>223</v>
      </c>
    </row>
    <row r="13" spans="1:5" x14ac:dyDescent="0.45">
      <c r="A13" t="s">
        <v>25</v>
      </c>
      <c r="B13" t="s">
        <v>180</v>
      </c>
      <c r="C13">
        <v>1</v>
      </c>
      <c r="D13" t="s">
        <v>224</v>
      </c>
      <c r="E13" t="s">
        <v>225</v>
      </c>
    </row>
    <row r="14" spans="1:5" x14ac:dyDescent="0.45">
      <c r="A14" t="s">
        <v>29</v>
      </c>
      <c r="B14" t="s">
        <v>167</v>
      </c>
      <c r="C14">
        <v>0.61699999999999999</v>
      </c>
      <c r="D14" t="s">
        <v>226</v>
      </c>
      <c r="E14" t="s">
        <v>227</v>
      </c>
    </row>
    <row r="15" spans="1:5" x14ac:dyDescent="0.45">
      <c r="A15" t="s">
        <v>29</v>
      </c>
      <c r="B15" t="s">
        <v>180</v>
      </c>
      <c r="C15">
        <v>1</v>
      </c>
      <c r="D15" t="s">
        <v>228</v>
      </c>
      <c r="E15" t="s">
        <v>229</v>
      </c>
    </row>
    <row r="16" spans="1:5" x14ac:dyDescent="0.45">
      <c r="A16" t="s">
        <v>33</v>
      </c>
      <c r="B16" t="s">
        <v>167</v>
      </c>
      <c r="C16">
        <v>3.6446100000000002E-2</v>
      </c>
      <c r="D16" t="s">
        <v>230</v>
      </c>
      <c r="E16" t="s">
        <v>210</v>
      </c>
    </row>
    <row r="17" spans="1:5" x14ac:dyDescent="0.45">
      <c r="A17" t="s">
        <v>33</v>
      </c>
      <c r="B17" t="s">
        <v>180</v>
      </c>
      <c r="C17">
        <v>0.33479999999999999</v>
      </c>
      <c r="D17" t="s">
        <v>231</v>
      </c>
      <c r="E17" t="s">
        <v>232</v>
      </c>
    </row>
    <row r="18" spans="1:5" x14ac:dyDescent="0.45">
      <c r="A18" t="s">
        <v>49</v>
      </c>
      <c r="B18" t="s">
        <v>167</v>
      </c>
      <c r="C18">
        <v>0.255</v>
      </c>
      <c r="D18" t="s">
        <v>233</v>
      </c>
      <c r="E18" t="s">
        <v>234</v>
      </c>
    </row>
    <row r="19" spans="1:5" x14ac:dyDescent="0.45">
      <c r="A19" t="s">
        <v>49</v>
      </c>
      <c r="B19" t="s">
        <v>180</v>
      </c>
      <c r="C19">
        <v>0.2324</v>
      </c>
      <c r="D19" t="s">
        <v>235</v>
      </c>
      <c r="E19" t="s">
        <v>236</v>
      </c>
    </row>
    <row r="20" spans="1:5" x14ac:dyDescent="0.45">
      <c r="A20" t="s">
        <v>37</v>
      </c>
      <c r="B20" t="s">
        <v>167</v>
      </c>
      <c r="C20">
        <v>0.52935500000000002</v>
      </c>
      <c r="D20" t="s">
        <v>237</v>
      </c>
      <c r="E20" t="s">
        <v>210</v>
      </c>
    </row>
    <row r="21" spans="1:5" x14ac:dyDescent="0.45">
      <c r="A21" t="s">
        <v>37</v>
      </c>
      <c r="B21" t="s">
        <v>180</v>
      </c>
      <c r="C21">
        <v>1.2999999999999999E-3</v>
      </c>
      <c r="D21" t="s">
        <v>238</v>
      </c>
      <c r="E21" t="s">
        <v>239</v>
      </c>
    </row>
    <row r="22" spans="1:5" x14ac:dyDescent="0.45">
      <c r="A22" t="s">
        <v>41</v>
      </c>
      <c r="B22" t="s">
        <v>167</v>
      </c>
      <c r="C22">
        <v>0.42099999999999999</v>
      </c>
      <c r="D22" t="s">
        <v>240</v>
      </c>
      <c r="E22" t="s">
        <v>234</v>
      </c>
    </row>
    <row r="23" spans="1:5" x14ac:dyDescent="0.45">
      <c r="A23" t="s">
        <v>41</v>
      </c>
      <c r="B23" t="s">
        <v>180</v>
      </c>
      <c r="C23">
        <v>0.15820000000000001</v>
      </c>
      <c r="D23" t="s">
        <v>241</v>
      </c>
      <c r="E23" t="s">
        <v>242</v>
      </c>
    </row>
    <row r="24" spans="1:5" x14ac:dyDescent="0.45">
      <c r="A24" t="s">
        <v>45</v>
      </c>
      <c r="B24" t="s">
        <v>167</v>
      </c>
      <c r="C24">
        <v>0.81539300000000003</v>
      </c>
      <c r="D24" t="s">
        <v>243</v>
      </c>
      <c r="E24" t="s">
        <v>210</v>
      </c>
    </row>
    <row r="25" spans="1:5" x14ac:dyDescent="0.45">
      <c r="A25" t="s">
        <v>45</v>
      </c>
      <c r="B25" t="s">
        <v>180</v>
      </c>
      <c r="C25">
        <v>1</v>
      </c>
      <c r="D25" t="s">
        <v>244</v>
      </c>
      <c r="E25" t="s">
        <v>245</v>
      </c>
    </row>
    <row r="26" spans="1:5" x14ac:dyDescent="0.45">
      <c r="A26" t="s">
        <v>53</v>
      </c>
      <c r="B26" t="s">
        <v>167</v>
      </c>
      <c r="C26">
        <v>0.69384699999999999</v>
      </c>
      <c r="D26" t="s">
        <v>246</v>
      </c>
      <c r="E26" t="s">
        <v>210</v>
      </c>
    </row>
    <row r="27" spans="1:5" x14ac:dyDescent="0.45">
      <c r="A27" t="s">
        <v>53</v>
      </c>
      <c r="B27" t="s">
        <v>180</v>
      </c>
      <c r="C27">
        <v>0.1661</v>
      </c>
      <c r="D27" t="s">
        <v>247</v>
      </c>
      <c r="E27" t="s">
        <v>248</v>
      </c>
    </row>
    <row r="28" spans="1:5" x14ac:dyDescent="0.45">
      <c r="A28" t="s">
        <v>57</v>
      </c>
      <c r="B28" t="s">
        <v>163</v>
      </c>
      <c r="C28">
        <v>8.4823999999999997E-2</v>
      </c>
      <c r="D28" t="s">
        <v>249</v>
      </c>
      <c r="E28" t="s">
        <v>210</v>
      </c>
    </row>
    <row r="29" spans="1:5" x14ac:dyDescent="0.45">
      <c r="A29" t="s">
        <v>57</v>
      </c>
      <c r="B29" t="s">
        <v>180</v>
      </c>
      <c r="C29">
        <v>1</v>
      </c>
      <c r="D29" t="s">
        <v>250</v>
      </c>
      <c r="E29" t="s">
        <v>251</v>
      </c>
    </row>
    <row r="30" spans="1:5" x14ac:dyDescent="0.45">
      <c r="A30" t="s">
        <v>61</v>
      </c>
      <c r="B30" t="s">
        <v>165</v>
      </c>
      <c r="C30">
        <v>0.5</v>
      </c>
      <c r="D30" t="s">
        <v>252</v>
      </c>
      <c r="E30" t="s">
        <v>253</v>
      </c>
    </row>
    <row r="31" spans="1:5" x14ac:dyDescent="0.45">
      <c r="A31" t="s">
        <v>61</v>
      </c>
      <c r="B31" t="s">
        <v>167</v>
      </c>
      <c r="C31">
        <v>0.91886400000000001</v>
      </c>
      <c r="D31" t="s">
        <v>254</v>
      </c>
      <c r="E31" t="s">
        <v>253</v>
      </c>
    </row>
    <row r="32" spans="1:5" x14ac:dyDescent="0.45">
      <c r="A32" t="s">
        <v>61</v>
      </c>
      <c r="B32" t="s">
        <v>180</v>
      </c>
      <c r="C32">
        <v>0.85429999999999995</v>
      </c>
      <c r="D32" t="s">
        <v>255</v>
      </c>
      <c r="E32" t="s">
        <v>256</v>
      </c>
    </row>
    <row r="33" spans="1:5" x14ac:dyDescent="0.45">
      <c r="A33" t="s">
        <v>67</v>
      </c>
      <c r="B33" t="s">
        <v>167</v>
      </c>
      <c r="C33">
        <v>1</v>
      </c>
      <c r="D33" t="s">
        <v>257</v>
      </c>
      <c r="E33" t="s">
        <v>210</v>
      </c>
    </row>
    <row r="34" spans="1:5" x14ac:dyDescent="0.45">
      <c r="A34" t="s">
        <v>67</v>
      </c>
      <c r="B34" t="s">
        <v>180</v>
      </c>
      <c r="C34">
        <v>0.18770000000000001</v>
      </c>
      <c r="D34" t="s">
        <v>258</v>
      </c>
      <c r="E34" t="s">
        <v>259</v>
      </c>
    </row>
    <row r="35" spans="1:5" x14ac:dyDescent="0.45">
      <c r="A35" t="s">
        <v>65</v>
      </c>
      <c r="B35" t="s">
        <v>163</v>
      </c>
      <c r="C35">
        <v>0.10320699999999999</v>
      </c>
      <c r="D35" t="s">
        <v>260</v>
      </c>
      <c r="E35" t="s">
        <v>210</v>
      </c>
    </row>
    <row r="36" spans="1:5" x14ac:dyDescent="0.45">
      <c r="A36" t="s">
        <v>65</v>
      </c>
      <c r="B36" t="s">
        <v>180</v>
      </c>
      <c r="C36">
        <v>0.55879999999999996</v>
      </c>
      <c r="D36" t="s">
        <v>261</v>
      </c>
      <c r="E36" t="s">
        <v>262</v>
      </c>
    </row>
    <row r="37" spans="1:5" x14ac:dyDescent="0.45">
      <c r="A37" t="s">
        <v>63</v>
      </c>
      <c r="B37" t="s">
        <v>180</v>
      </c>
      <c r="C37">
        <v>1</v>
      </c>
      <c r="D37" t="s">
        <v>263</v>
      </c>
      <c r="E37" t="s">
        <v>264</v>
      </c>
    </row>
    <row r="38" spans="1:5" x14ac:dyDescent="0.45">
      <c r="A38" t="s">
        <v>69</v>
      </c>
      <c r="B38" t="s">
        <v>163</v>
      </c>
      <c r="C38">
        <v>0.48660100000000001</v>
      </c>
      <c r="D38" t="s">
        <v>265</v>
      </c>
      <c r="E38" t="s">
        <v>210</v>
      </c>
    </row>
    <row r="39" spans="1:5" x14ac:dyDescent="0.45">
      <c r="A39" t="s">
        <v>69</v>
      </c>
      <c r="B39" t="s">
        <v>180</v>
      </c>
      <c r="C39">
        <v>1</v>
      </c>
      <c r="D39" t="s">
        <v>266</v>
      </c>
      <c r="E39" t="s">
        <v>267</v>
      </c>
    </row>
    <row r="40" spans="1:5" x14ac:dyDescent="0.45">
      <c r="A40" t="s">
        <v>71</v>
      </c>
      <c r="B40" t="s">
        <v>167</v>
      </c>
      <c r="C40">
        <v>7.4309600000000003E-2</v>
      </c>
      <c r="D40" t="s">
        <v>268</v>
      </c>
      <c r="E40" t="s">
        <v>210</v>
      </c>
    </row>
    <row r="41" spans="1:5" x14ac:dyDescent="0.45">
      <c r="A41" t="s">
        <v>71</v>
      </c>
      <c r="B41" t="s">
        <v>180</v>
      </c>
      <c r="C41">
        <v>2.7699999999999999E-2</v>
      </c>
      <c r="D41" t="s">
        <v>269</v>
      </c>
      <c r="E41" t="s">
        <v>270</v>
      </c>
    </row>
    <row r="42" spans="1:5" x14ac:dyDescent="0.45">
      <c r="A42" t="s">
        <v>75</v>
      </c>
      <c r="B42" t="s">
        <v>163</v>
      </c>
      <c r="C42">
        <v>0.15</v>
      </c>
      <c r="D42" t="s">
        <v>271</v>
      </c>
      <c r="E42" t="s">
        <v>234</v>
      </c>
    </row>
    <row r="43" spans="1:5" x14ac:dyDescent="0.45">
      <c r="A43" t="s">
        <v>75</v>
      </c>
      <c r="B43" t="s">
        <v>167</v>
      </c>
      <c r="C43">
        <v>0.92300099999999996</v>
      </c>
      <c r="D43" t="s">
        <v>272</v>
      </c>
      <c r="E43" t="s">
        <v>234</v>
      </c>
    </row>
    <row r="44" spans="1:5" x14ac:dyDescent="0.45">
      <c r="A44" t="s">
        <v>75</v>
      </c>
      <c r="B44" t="s">
        <v>180</v>
      </c>
      <c r="C44">
        <v>0.20880000000000001</v>
      </c>
      <c r="D44" t="s">
        <v>273</v>
      </c>
      <c r="E44" t="s">
        <v>274</v>
      </c>
    </row>
    <row r="45" spans="1:5" x14ac:dyDescent="0.45">
      <c r="A45" t="s">
        <v>73</v>
      </c>
      <c r="B45" t="s">
        <v>167</v>
      </c>
      <c r="C45">
        <v>0.85399999999999998</v>
      </c>
      <c r="D45" t="s">
        <v>275</v>
      </c>
      <c r="E45" t="s">
        <v>210</v>
      </c>
    </row>
    <row r="46" spans="1:5" x14ac:dyDescent="0.45">
      <c r="A46" t="s">
        <v>73</v>
      </c>
      <c r="B46" t="s">
        <v>180</v>
      </c>
      <c r="C46">
        <v>0.38340000000000002</v>
      </c>
      <c r="D46" t="s">
        <v>276</v>
      </c>
      <c r="E46" t="s">
        <v>277</v>
      </c>
    </row>
    <row r="47" spans="1:5" x14ac:dyDescent="0.45">
      <c r="A47" t="s">
        <v>77</v>
      </c>
      <c r="B47" t="s">
        <v>180</v>
      </c>
      <c r="C47">
        <v>1</v>
      </c>
      <c r="D47" t="s">
        <v>278</v>
      </c>
      <c r="E47" t="s">
        <v>279</v>
      </c>
    </row>
    <row r="48" spans="1:5" x14ac:dyDescent="0.45">
      <c r="A48" t="s">
        <v>77</v>
      </c>
      <c r="B48" t="s">
        <v>182</v>
      </c>
      <c r="C48">
        <v>0</v>
      </c>
      <c r="D48" t="s">
        <v>280</v>
      </c>
      <c r="E48" t="s">
        <v>234</v>
      </c>
    </row>
    <row r="49" spans="1:5" x14ac:dyDescent="0.45">
      <c r="A49" t="s">
        <v>90</v>
      </c>
      <c r="B49" t="s">
        <v>163</v>
      </c>
      <c r="C49">
        <v>0.41271400000000003</v>
      </c>
      <c r="D49" t="s">
        <v>281</v>
      </c>
      <c r="E49" t="s">
        <v>210</v>
      </c>
    </row>
    <row r="50" spans="1:5" x14ac:dyDescent="0.45">
      <c r="A50" t="s">
        <v>90</v>
      </c>
      <c r="B50" t="s">
        <v>180</v>
      </c>
      <c r="C50">
        <v>0.55010000000000003</v>
      </c>
      <c r="D50" t="s">
        <v>282</v>
      </c>
      <c r="E50" t="s">
        <v>283</v>
      </c>
    </row>
    <row r="51" spans="1:5" x14ac:dyDescent="0.45">
      <c r="A51" t="s">
        <v>92</v>
      </c>
      <c r="B51" t="s">
        <v>163</v>
      </c>
      <c r="C51">
        <v>1</v>
      </c>
      <c r="D51" t="s">
        <v>284</v>
      </c>
      <c r="E51" t="s">
        <v>285</v>
      </c>
    </row>
    <row r="52" spans="1:5" x14ac:dyDescent="0.45">
      <c r="A52" t="s">
        <v>92</v>
      </c>
      <c r="B52" t="s">
        <v>180</v>
      </c>
      <c r="C52">
        <v>0.15290000000000001</v>
      </c>
      <c r="D52" t="s">
        <v>286</v>
      </c>
      <c r="E52" t="s">
        <v>287</v>
      </c>
    </row>
    <row r="53" spans="1:5" x14ac:dyDescent="0.45">
      <c r="A53" t="s">
        <v>92</v>
      </c>
      <c r="B53" t="s">
        <v>182</v>
      </c>
      <c r="C53">
        <v>0.8</v>
      </c>
      <c r="D53" t="s">
        <v>288</v>
      </c>
      <c r="E53" t="s">
        <v>285</v>
      </c>
    </row>
    <row r="54" spans="1:5" x14ac:dyDescent="0.45">
      <c r="A54" t="s">
        <v>92</v>
      </c>
      <c r="B54" t="s">
        <v>184</v>
      </c>
      <c r="C54">
        <v>0.38400000000000001</v>
      </c>
      <c r="D54" t="s">
        <v>289</v>
      </c>
      <c r="E54" t="s">
        <v>285</v>
      </c>
    </row>
    <row r="55" spans="1:5" x14ac:dyDescent="0.45">
      <c r="A55" t="s">
        <v>79</v>
      </c>
      <c r="B55" t="s">
        <v>167</v>
      </c>
      <c r="C55">
        <v>1</v>
      </c>
      <c r="D55" t="s">
        <v>290</v>
      </c>
      <c r="E55" t="s">
        <v>210</v>
      </c>
    </row>
    <row r="56" spans="1:5" x14ac:dyDescent="0.45">
      <c r="A56" t="s">
        <v>79</v>
      </c>
      <c r="B56" t="s">
        <v>180</v>
      </c>
      <c r="C56">
        <v>0.30780000000000002</v>
      </c>
      <c r="D56" t="s">
        <v>291</v>
      </c>
      <c r="E56" t="s">
        <v>292</v>
      </c>
    </row>
    <row r="57" spans="1:5" x14ac:dyDescent="0.45">
      <c r="A57" t="s">
        <v>83</v>
      </c>
      <c r="B57" t="s">
        <v>167</v>
      </c>
      <c r="C57">
        <v>0.76282700000000003</v>
      </c>
      <c r="D57" t="s">
        <v>293</v>
      </c>
      <c r="E57" t="s">
        <v>210</v>
      </c>
    </row>
    <row r="58" spans="1:5" x14ac:dyDescent="0.45">
      <c r="A58" t="s">
        <v>83</v>
      </c>
      <c r="B58" t="s">
        <v>180</v>
      </c>
      <c r="C58">
        <v>1</v>
      </c>
      <c r="D58" t="s">
        <v>294</v>
      </c>
      <c r="E58" t="s">
        <v>295</v>
      </c>
    </row>
    <row r="59" spans="1:5" x14ac:dyDescent="0.45">
      <c r="A59" t="s">
        <v>85</v>
      </c>
      <c r="B59" t="s">
        <v>180</v>
      </c>
      <c r="C59">
        <v>0.87109999999999999</v>
      </c>
      <c r="D59" t="s">
        <v>296</v>
      </c>
      <c r="E59" t="s">
        <v>297</v>
      </c>
    </row>
    <row r="60" spans="1:5" x14ac:dyDescent="0.45">
      <c r="A60" t="s">
        <v>87</v>
      </c>
      <c r="B60" t="s">
        <v>163</v>
      </c>
      <c r="C60">
        <v>0.95341200000000004</v>
      </c>
      <c r="D60" t="s">
        <v>298</v>
      </c>
      <c r="E60" t="s">
        <v>210</v>
      </c>
    </row>
    <row r="61" spans="1:5" x14ac:dyDescent="0.45">
      <c r="A61" t="s">
        <v>87</v>
      </c>
      <c r="B61" t="s">
        <v>180</v>
      </c>
      <c r="C61">
        <v>1.37E-2</v>
      </c>
      <c r="D61" t="s">
        <v>299</v>
      </c>
      <c r="E61" t="s">
        <v>300</v>
      </c>
    </row>
    <row r="62" spans="1:5" x14ac:dyDescent="0.45">
      <c r="A62" t="s">
        <v>81</v>
      </c>
      <c r="B62" t="s">
        <v>163</v>
      </c>
      <c r="C62">
        <v>0.68185799999999996</v>
      </c>
      <c r="D62" t="s">
        <v>301</v>
      </c>
      <c r="E62" t="s">
        <v>210</v>
      </c>
    </row>
    <row r="63" spans="1:5" x14ac:dyDescent="0.45">
      <c r="A63" t="s">
        <v>81</v>
      </c>
      <c r="B63" t="s">
        <v>180</v>
      </c>
      <c r="C63">
        <v>1</v>
      </c>
      <c r="D63" t="s">
        <v>302</v>
      </c>
      <c r="E63" t="s">
        <v>303</v>
      </c>
    </row>
    <row r="64" spans="1:5" x14ac:dyDescent="0.45">
      <c r="A64" t="s">
        <v>88</v>
      </c>
      <c r="B64" t="s">
        <v>167</v>
      </c>
      <c r="C64">
        <v>0.93678899999999998</v>
      </c>
      <c r="D64" t="s">
        <v>304</v>
      </c>
      <c r="E64" t="s">
        <v>210</v>
      </c>
    </row>
    <row r="65" spans="1:5" x14ac:dyDescent="0.45">
      <c r="A65" t="s">
        <v>88</v>
      </c>
      <c r="B65" t="s">
        <v>180</v>
      </c>
      <c r="C65">
        <v>0.23180000000000001</v>
      </c>
      <c r="D65" t="s">
        <v>305</v>
      </c>
      <c r="E65" t="s">
        <v>306</v>
      </c>
    </row>
    <row r="66" spans="1:5" x14ac:dyDescent="0.45">
      <c r="A66" t="s">
        <v>94</v>
      </c>
      <c r="B66" t="s">
        <v>163</v>
      </c>
      <c r="C66">
        <v>0.48862</v>
      </c>
      <c r="D66" t="s">
        <v>307</v>
      </c>
      <c r="E66" t="s">
        <v>227</v>
      </c>
    </row>
    <row r="67" spans="1:5" x14ac:dyDescent="0.45">
      <c r="A67" t="s">
        <v>94</v>
      </c>
      <c r="B67" t="s">
        <v>180</v>
      </c>
      <c r="C67">
        <v>1</v>
      </c>
      <c r="D67" t="s">
        <v>308</v>
      </c>
      <c r="E67" t="s">
        <v>309</v>
      </c>
    </row>
    <row r="68" spans="1:5" x14ac:dyDescent="0.45">
      <c r="A68" t="s">
        <v>96</v>
      </c>
      <c r="B68" t="s">
        <v>163</v>
      </c>
      <c r="C68">
        <v>0.11</v>
      </c>
      <c r="D68" t="s">
        <v>310</v>
      </c>
      <c r="E68" t="s">
        <v>234</v>
      </c>
    </row>
    <row r="69" spans="1:5" x14ac:dyDescent="0.45">
      <c r="A69" t="s">
        <v>96</v>
      </c>
      <c r="B69" t="s">
        <v>167</v>
      </c>
      <c r="C69">
        <v>0.85928099999999996</v>
      </c>
      <c r="D69" t="s">
        <v>311</v>
      </c>
      <c r="E69" t="s">
        <v>234</v>
      </c>
    </row>
    <row r="70" spans="1:5" x14ac:dyDescent="0.45">
      <c r="A70" t="s">
        <v>96</v>
      </c>
      <c r="B70" t="s">
        <v>180</v>
      </c>
      <c r="C70">
        <v>0.92859999999999998</v>
      </c>
      <c r="D70" t="s">
        <v>312</v>
      </c>
      <c r="E70" t="s">
        <v>313</v>
      </c>
    </row>
    <row r="71" spans="1:5" x14ac:dyDescent="0.45">
      <c r="A71" t="s">
        <v>98</v>
      </c>
      <c r="B71" t="s">
        <v>167</v>
      </c>
      <c r="C71">
        <v>0.17885799999999999</v>
      </c>
      <c r="D71" t="s">
        <v>314</v>
      </c>
      <c r="E71" t="s">
        <v>210</v>
      </c>
    </row>
    <row r="72" spans="1:5" x14ac:dyDescent="0.45">
      <c r="A72" t="s">
        <v>98</v>
      </c>
      <c r="B72" t="s">
        <v>180</v>
      </c>
      <c r="C72">
        <v>0</v>
      </c>
      <c r="D72" t="s">
        <v>315</v>
      </c>
      <c r="E72" t="s">
        <v>316</v>
      </c>
    </row>
    <row r="73" spans="1:5" x14ac:dyDescent="0.45">
      <c r="A73" t="s">
        <v>100</v>
      </c>
      <c r="B73" t="s">
        <v>163</v>
      </c>
      <c r="C73">
        <v>0.23078299999999999</v>
      </c>
      <c r="D73" t="s">
        <v>317</v>
      </c>
      <c r="E73" t="s">
        <v>210</v>
      </c>
    </row>
    <row r="74" spans="1:5" x14ac:dyDescent="0.45">
      <c r="A74" t="s">
        <v>100</v>
      </c>
      <c r="B74" t="s">
        <v>180</v>
      </c>
      <c r="C74">
        <v>0.1295</v>
      </c>
      <c r="D74" t="s">
        <v>318</v>
      </c>
      <c r="E74" t="s">
        <v>319</v>
      </c>
    </row>
    <row r="75" spans="1:5" x14ac:dyDescent="0.45">
      <c r="A75" t="s">
        <v>102</v>
      </c>
      <c r="B75" t="s">
        <v>180</v>
      </c>
      <c r="C75">
        <v>1</v>
      </c>
      <c r="D75" t="s">
        <v>320</v>
      </c>
      <c r="E75" t="s">
        <v>321</v>
      </c>
    </row>
    <row r="76" spans="1:5" x14ac:dyDescent="0.45">
      <c r="A76" t="s">
        <v>104</v>
      </c>
      <c r="B76" t="s">
        <v>167</v>
      </c>
      <c r="C76">
        <v>0.76600000000000001</v>
      </c>
      <c r="D76" t="s">
        <v>322</v>
      </c>
      <c r="E76" t="s">
        <v>234</v>
      </c>
    </row>
    <row r="77" spans="1:5" x14ac:dyDescent="0.45">
      <c r="A77" t="s">
        <v>104</v>
      </c>
      <c r="B77" t="s">
        <v>180</v>
      </c>
      <c r="C77">
        <v>0.49280000000000002</v>
      </c>
      <c r="D77" t="s">
        <v>323</v>
      </c>
      <c r="E77" t="s">
        <v>324</v>
      </c>
    </row>
    <row r="78" spans="1:5" x14ac:dyDescent="0.45">
      <c r="A78" t="s">
        <v>106</v>
      </c>
      <c r="B78" t="s">
        <v>163</v>
      </c>
      <c r="C78">
        <v>0.8</v>
      </c>
      <c r="D78" t="s">
        <v>325</v>
      </c>
      <c r="E78" t="s">
        <v>234</v>
      </c>
    </row>
    <row r="79" spans="1:5" x14ac:dyDescent="0.45">
      <c r="A79" t="s">
        <v>106</v>
      </c>
      <c r="B79" t="s">
        <v>171</v>
      </c>
      <c r="C79">
        <v>0.75</v>
      </c>
      <c r="D79" t="s">
        <v>156</v>
      </c>
      <c r="E79" t="s">
        <v>326</v>
      </c>
    </row>
    <row r="80" spans="1:5" x14ac:dyDescent="0.45">
      <c r="A80" t="s">
        <v>106</v>
      </c>
      <c r="B80" t="s">
        <v>180</v>
      </c>
      <c r="C80">
        <v>2.98E-2</v>
      </c>
      <c r="D80" t="s">
        <v>327</v>
      </c>
      <c r="E80" t="s">
        <v>328</v>
      </c>
    </row>
    <row r="81" spans="1:5" x14ac:dyDescent="0.45">
      <c r="A81" t="s">
        <v>108</v>
      </c>
      <c r="B81" t="s">
        <v>163</v>
      </c>
      <c r="C81">
        <v>0.24199999999999999</v>
      </c>
      <c r="D81" t="s">
        <v>329</v>
      </c>
      <c r="E81" t="s">
        <v>234</v>
      </c>
    </row>
    <row r="82" spans="1:5" x14ac:dyDescent="0.45">
      <c r="A82" t="s">
        <v>108</v>
      </c>
      <c r="B82" t="s">
        <v>180</v>
      </c>
      <c r="C82">
        <v>0.495</v>
      </c>
      <c r="D82" t="s">
        <v>330</v>
      </c>
      <c r="E82" t="s">
        <v>331</v>
      </c>
    </row>
    <row r="83" spans="1:5" x14ac:dyDescent="0.45">
      <c r="A83" t="s">
        <v>110</v>
      </c>
      <c r="B83" t="s">
        <v>163</v>
      </c>
      <c r="C83">
        <v>5.1155100000000002E-2</v>
      </c>
      <c r="D83" t="s">
        <v>332</v>
      </c>
      <c r="E83" t="s">
        <v>210</v>
      </c>
    </row>
    <row r="84" spans="1:5" x14ac:dyDescent="0.45">
      <c r="A84" t="s">
        <v>110</v>
      </c>
      <c r="B84" t="s">
        <v>180</v>
      </c>
      <c r="C84">
        <v>0.1817</v>
      </c>
      <c r="D84" t="s">
        <v>333</v>
      </c>
      <c r="E84" t="s">
        <v>334</v>
      </c>
    </row>
    <row r="85" spans="1:5" x14ac:dyDescent="0.45">
      <c r="A85" t="s">
        <v>112</v>
      </c>
      <c r="B85" t="s">
        <v>163</v>
      </c>
      <c r="C85">
        <v>0.92573899999999998</v>
      </c>
      <c r="D85" t="s">
        <v>335</v>
      </c>
      <c r="E85" t="s">
        <v>210</v>
      </c>
    </row>
    <row r="86" spans="1:5" x14ac:dyDescent="0.45">
      <c r="A86" t="s">
        <v>112</v>
      </c>
      <c r="B86" t="s">
        <v>180</v>
      </c>
      <c r="C86">
        <v>0.62890000000000001</v>
      </c>
      <c r="D86" t="s">
        <v>336</v>
      </c>
      <c r="E86" t="s">
        <v>337</v>
      </c>
    </row>
    <row r="87" spans="1:5" x14ac:dyDescent="0.45">
      <c r="A87" t="s">
        <v>116</v>
      </c>
      <c r="B87" t="s">
        <v>163</v>
      </c>
      <c r="C87">
        <v>0.41249200000000003</v>
      </c>
      <c r="D87" t="s">
        <v>338</v>
      </c>
      <c r="E87" t="s">
        <v>210</v>
      </c>
    </row>
    <row r="88" spans="1:5" x14ac:dyDescent="0.45">
      <c r="A88" t="s">
        <v>116</v>
      </c>
      <c r="B88" t="s">
        <v>180</v>
      </c>
      <c r="C88">
        <v>0.81799999999999995</v>
      </c>
      <c r="D88" t="s">
        <v>339</v>
      </c>
      <c r="E88" t="s">
        <v>340</v>
      </c>
    </row>
    <row r="89" spans="1:5" x14ac:dyDescent="0.45">
      <c r="A89" t="s">
        <v>114</v>
      </c>
      <c r="B89" t="s">
        <v>180</v>
      </c>
      <c r="C89">
        <v>3.2199999999999999E-2</v>
      </c>
      <c r="D89" t="s">
        <v>341</v>
      </c>
      <c r="E89" t="s">
        <v>342</v>
      </c>
    </row>
    <row r="90" spans="1:5" x14ac:dyDescent="0.45">
      <c r="A90" t="s">
        <v>118</v>
      </c>
      <c r="B90" t="s">
        <v>163</v>
      </c>
      <c r="C90">
        <v>0.91284100000000001</v>
      </c>
      <c r="D90" t="s">
        <v>343</v>
      </c>
      <c r="E90" t="s">
        <v>344</v>
      </c>
    </row>
    <row r="91" spans="1:5" x14ac:dyDescent="0.45">
      <c r="A91" t="s">
        <v>118</v>
      </c>
      <c r="B91" t="s">
        <v>167</v>
      </c>
      <c r="C91">
        <v>0.35611999999999999</v>
      </c>
      <c r="D91" t="s">
        <v>345</v>
      </c>
      <c r="E91" t="s">
        <v>344</v>
      </c>
    </row>
    <row r="92" spans="1:5" x14ac:dyDescent="0.45">
      <c r="A92" t="s">
        <v>118</v>
      </c>
      <c r="B92" t="s">
        <v>171</v>
      </c>
      <c r="C92">
        <v>0</v>
      </c>
      <c r="D92" t="s">
        <v>346</v>
      </c>
      <c r="E92" t="s">
        <v>347</v>
      </c>
    </row>
    <row r="93" spans="1:5" x14ac:dyDescent="0.45">
      <c r="A93" t="s">
        <v>118</v>
      </c>
      <c r="B93" t="s">
        <v>180</v>
      </c>
      <c r="C93">
        <v>1</v>
      </c>
      <c r="D93" t="s">
        <v>348</v>
      </c>
      <c r="E93" t="s">
        <v>349</v>
      </c>
    </row>
    <row r="94" spans="1:5" x14ac:dyDescent="0.45">
      <c r="A94" t="s">
        <v>122</v>
      </c>
      <c r="B94" t="s">
        <v>167</v>
      </c>
      <c r="C94">
        <v>0.4879</v>
      </c>
      <c r="D94" t="s">
        <v>350</v>
      </c>
      <c r="E94" t="s">
        <v>227</v>
      </c>
    </row>
    <row r="95" spans="1:5" x14ac:dyDescent="0.45">
      <c r="A95" t="s">
        <v>122</v>
      </c>
      <c r="B95" t="s">
        <v>180</v>
      </c>
      <c r="C95">
        <v>0.26919999999999999</v>
      </c>
      <c r="D95" t="s">
        <v>351</v>
      </c>
      <c r="E95" t="s">
        <v>352</v>
      </c>
    </row>
    <row r="96" spans="1:5" x14ac:dyDescent="0.45">
      <c r="A96" t="s">
        <v>120</v>
      </c>
      <c r="B96" t="s">
        <v>163</v>
      </c>
      <c r="C96">
        <v>1</v>
      </c>
      <c r="D96" t="s">
        <v>353</v>
      </c>
      <c r="E96" t="s">
        <v>210</v>
      </c>
    </row>
    <row r="97" spans="1:5" x14ac:dyDescent="0.45">
      <c r="A97" t="s">
        <v>120</v>
      </c>
      <c r="B97" t="s">
        <v>180</v>
      </c>
      <c r="C97">
        <v>1</v>
      </c>
      <c r="D97" t="s">
        <v>354</v>
      </c>
      <c r="E97" t="s">
        <v>355</v>
      </c>
    </row>
    <row r="98" spans="1:5" x14ac:dyDescent="0.45">
      <c r="A98" t="s">
        <v>124</v>
      </c>
      <c r="B98" t="s">
        <v>165</v>
      </c>
      <c r="C98">
        <v>0.251</v>
      </c>
      <c r="D98" t="s">
        <v>356</v>
      </c>
      <c r="E98" t="s">
        <v>234</v>
      </c>
    </row>
    <row r="99" spans="1:5" x14ac:dyDescent="0.45">
      <c r="A99" t="s">
        <v>124</v>
      </c>
      <c r="B99" t="s">
        <v>167</v>
      </c>
      <c r="C99">
        <v>1</v>
      </c>
      <c r="D99" t="s">
        <v>357</v>
      </c>
      <c r="E99" t="s">
        <v>234</v>
      </c>
    </row>
    <row r="100" spans="1:5" x14ac:dyDescent="0.45">
      <c r="A100" t="s">
        <v>124</v>
      </c>
      <c r="B100" t="s">
        <v>180</v>
      </c>
      <c r="C100">
        <v>1</v>
      </c>
      <c r="D100" t="s">
        <v>358</v>
      </c>
      <c r="E100" t="s">
        <v>359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141"/>
  <sheetViews>
    <sheetView workbookViewId="0"/>
  </sheetViews>
  <sheetFormatPr defaultRowHeight="14.25" x14ac:dyDescent="0.45"/>
  <cols>
    <col min="1" max="1" width="34" customWidth="1"/>
    <col min="2" max="2" width="16" customWidth="1"/>
    <col min="3" max="3" width="40" customWidth="1"/>
  </cols>
  <sheetData>
    <row r="1" spans="1:5" ht="15.75" x14ac:dyDescent="0.5">
      <c r="A1" s="6" t="s">
        <v>360</v>
      </c>
    </row>
    <row r="2" spans="1:5" x14ac:dyDescent="0.45">
      <c r="A2" s="3" t="s">
        <v>361</v>
      </c>
    </row>
    <row r="4" spans="1:5" x14ac:dyDescent="0.45">
      <c r="A4" s="4" t="s">
        <v>362</v>
      </c>
    </row>
    <row r="5" spans="1:5" x14ac:dyDescent="0.45">
      <c r="A5" t="s">
        <v>363</v>
      </c>
      <c r="B5" t="s">
        <v>364</v>
      </c>
    </row>
    <row r="6" spans="1:5" x14ac:dyDescent="0.45">
      <c r="A6" t="s">
        <v>365</v>
      </c>
      <c r="B6" t="s">
        <v>366</v>
      </c>
    </row>
    <row r="7" spans="1:5" x14ac:dyDescent="0.45">
      <c r="A7" t="s">
        <v>367</v>
      </c>
      <c r="B7">
        <v>48</v>
      </c>
    </row>
    <row r="8" spans="1:5" x14ac:dyDescent="0.45">
      <c r="A8" t="s">
        <v>368</v>
      </c>
      <c r="B8" t="s">
        <v>2</v>
      </c>
    </row>
    <row r="9" spans="1:5" x14ac:dyDescent="0.45">
      <c r="A9" t="s">
        <v>162</v>
      </c>
      <c r="B9" t="s">
        <v>369</v>
      </c>
    </row>
    <row r="11" spans="1:5" x14ac:dyDescent="0.45">
      <c r="A11" s="4" t="s">
        <v>370</v>
      </c>
    </row>
    <row r="12" spans="1:5" x14ac:dyDescent="0.45">
      <c r="A12" s="4" t="s">
        <v>202</v>
      </c>
      <c r="B12" s="4" t="s">
        <v>371</v>
      </c>
      <c r="C12" s="4" t="s">
        <v>372</v>
      </c>
      <c r="D12" s="4" t="s">
        <v>373</v>
      </c>
      <c r="E12" s="4" t="s">
        <v>374</v>
      </c>
    </row>
    <row r="13" spans="1:5" x14ac:dyDescent="0.45">
      <c r="A13" t="s">
        <v>4</v>
      </c>
      <c r="B13">
        <v>34670</v>
      </c>
      <c r="C13" t="s">
        <v>375</v>
      </c>
      <c r="D13">
        <v>210</v>
      </c>
      <c r="E13">
        <v>24</v>
      </c>
    </row>
    <row r="14" spans="1:5" x14ac:dyDescent="0.45">
      <c r="A14" t="s">
        <v>9</v>
      </c>
      <c r="B14">
        <v>34605</v>
      </c>
      <c r="C14" t="s">
        <v>376</v>
      </c>
      <c r="D14">
        <v>210</v>
      </c>
      <c r="E14">
        <v>24</v>
      </c>
    </row>
    <row r="15" spans="1:5" x14ac:dyDescent="0.45">
      <c r="A15" t="s">
        <v>7</v>
      </c>
      <c r="B15">
        <v>34670</v>
      </c>
      <c r="C15" t="s">
        <v>377</v>
      </c>
      <c r="D15">
        <v>210</v>
      </c>
      <c r="E15">
        <v>24</v>
      </c>
    </row>
    <row r="16" spans="1:5" x14ac:dyDescent="0.45">
      <c r="A16" t="s">
        <v>13</v>
      </c>
      <c r="B16">
        <v>34935</v>
      </c>
      <c r="C16" t="s">
        <v>378</v>
      </c>
      <c r="D16">
        <v>210</v>
      </c>
      <c r="E16">
        <v>24</v>
      </c>
    </row>
    <row r="17" spans="1:5" x14ac:dyDescent="0.45">
      <c r="A17" t="s">
        <v>17</v>
      </c>
      <c r="B17">
        <v>34660</v>
      </c>
      <c r="C17" t="s">
        <v>379</v>
      </c>
      <c r="D17">
        <v>210</v>
      </c>
      <c r="E17">
        <v>24</v>
      </c>
    </row>
    <row r="18" spans="1:5" x14ac:dyDescent="0.45">
      <c r="A18" t="s">
        <v>21</v>
      </c>
      <c r="B18">
        <v>34599</v>
      </c>
      <c r="C18" t="s">
        <v>380</v>
      </c>
      <c r="D18">
        <v>210</v>
      </c>
      <c r="E18">
        <v>24</v>
      </c>
    </row>
    <row r="19" spans="1:5" x14ac:dyDescent="0.45">
      <c r="A19" t="s">
        <v>25</v>
      </c>
      <c r="B19">
        <v>34554</v>
      </c>
      <c r="C19" t="s">
        <v>381</v>
      </c>
      <c r="D19">
        <v>210</v>
      </c>
      <c r="E19">
        <v>24</v>
      </c>
    </row>
    <row r="20" spans="1:5" x14ac:dyDescent="0.45">
      <c r="A20" t="s">
        <v>29</v>
      </c>
      <c r="B20">
        <v>34777</v>
      </c>
      <c r="C20" t="s">
        <v>382</v>
      </c>
      <c r="D20">
        <v>210</v>
      </c>
      <c r="E20">
        <v>24</v>
      </c>
    </row>
    <row r="21" spans="1:5" x14ac:dyDescent="0.45">
      <c r="A21" t="s">
        <v>33</v>
      </c>
      <c r="B21">
        <v>34671</v>
      </c>
      <c r="C21" t="s">
        <v>383</v>
      </c>
      <c r="D21">
        <v>210</v>
      </c>
      <c r="E21">
        <v>24</v>
      </c>
    </row>
    <row r="22" spans="1:5" x14ac:dyDescent="0.45">
      <c r="A22" t="s">
        <v>49</v>
      </c>
      <c r="B22">
        <v>34659</v>
      </c>
      <c r="C22" t="s">
        <v>384</v>
      </c>
      <c r="D22">
        <v>210</v>
      </c>
      <c r="E22">
        <v>24</v>
      </c>
    </row>
    <row r="23" spans="1:5" x14ac:dyDescent="0.45">
      <c r="A23" t="s">
        <v>37</v>
      </c>
      <c r="B23">
        <v>34620</v>
      </c>
      <c r="C23" t="s">
        <v>385</v>
      </c>
      <c r="D23">
        <v>210</v>
      </c>
      <c r="E23">
        <v>24</v>
      </c>
    </row>
    <row r="24" spans="1:5" x14ac:dyDescent="0.45">
      <c r="A24" t="s">
        <v>41</v>
      </c>
      <c r="B24">
        <v>34671</v>
      </c>
      <c r="C24" t="s">
        <v>386</v>
      </c>
      <c r="D24">
        <v>210</v>
      </c>
      <c r="E24">
        <v>24</v>
      </c>
    </row>
    <row r="25" spans="1:5" x14ac:dyDescent="0.45">
      <c r="A25" t="s">
        <v>45</v>
      </c>
      <c r="B25">
        <v>34660</v>
      </c>
      <c r="C25" t="s">
        <v>387</v>
      </c>
      <c r="D25">
        <v>210</v>
      </c>
      <c r="E25">
        <v>24</v>
      </c>
    </row>
    <row r="26" spans="1:5" x14ac:dyDescent="0.45">
      <c r="A26" t="s">
        <v>53</v>
      </c>
      <c r="B26">
        <v>34646</v>
      </c>
      <c r="C26" t="s">
        <v>388</v>
      </c>
      <c r="D26">
        <v>210</v>
      </c>
      <c r="E26">
        <v>24</v>
      </c>
    </row>
    <row r="27" spans="1:5" x14ac:dyDescent="0.45">
      <c r="A27" t="s">
        <v>57</v>
      </c>
      <c r="B27">
        <v>34608</v>
      </c>
      <c r="C27" t="s">
        <v>389</v>
      </c>
      <c r="D27">
        <v>210</v>
      </c>
      <c r="E27">
        <v>24</v>
      </c>
    </row>
    <row r="28" spans="1:5" x14ac:dyDescent="0.45">
      <c r="A28" t="s">
        <v>61</v>
      </c>
      <c r="B28">
        <v>34654</v>
      </c>
      <c r="C28" t="s">
        <v>390</v>
      </c>
      <c r="D28">
        <v>210</v>
      </c>
      <c r="E28">
        <v>24</v>
      </c>
    </row>
    <row r="29" spans="1:5" x14ac:dyDescent="0.45">
      <c r="A29" t="s">
        <v>67</v>
      </c>
      <c r="B29">
        <v>34614</v>
      </c>
      <c r="C29" t="s">
        <v>391</v>
      </c>
      <c r="D29">
        <v>210</v>
      </c>
      <c r="E29">
        <v>24</v>
      </c>
    </row>
    <row r="30" spans="1:5" x14ac:dyDescent="0.45">
      <c r="A30" t="s">
        <v>65</v>
      </c>
      <c r="B30">
        <v>34589</v>
      </c>
      <c r="C30" t="s">
        <v>392</v>
      </c>
      <c r="D30">
        <v>210</v>
      </c>
      <c r="E30">
        <v>24</v>
      </c>
    </row>
    <row r="31" spans="1:5" x14ac:dyDescent="0.45">
      <c r="A31" t="s">
        <v>63</v>
      </c>
      <c r="B31">
        <v>34591</v>
      </c>
      <c r="C31" t="s">
        <v>393</v>
      </c>
      <c r="D31">
        <v>210</v>
      </c>
      <c r="E31">
        <v>24</v>
      </c>
    </row>
    <row r="32" spans="1:5" x14ac:dyDescent="0.45">
      <c r="A32" t="s">
        <v>69</v>
      </c>
      <c r="B32">
        <v>34692</v>
      </c>
      <c r="C32" t="s">
        <v>394</v>
      </c>
      <c r="D32">
        <v>210</v>
      </c>
      <c r="E32">
        <v>24</v>
      </c>
    </row>
    <row r="33" spans="1:5" x14ac:dyDescent="0.45">
      <c r="A33" t="s">
        <v>71</v>
      </c>
      <c r="B33">
        <v>34682</v>
      </c>
      <c r="C33" t="s">
        <v>395</v>
      </c>
      <c r="D33">
        <v>210</v>
      </c>
      <c r="E33">
        <v>24</v>
      </c>
    </row>
    <row r="34" spans="1:5" x14ac:dyDescent="0.45">
      <c r="A34" t="s">
        <v>75</v>
      </c>
      <c r="B34">
        <v>34662</v>
      </c>
      <c r="C34" t="s">
        <v>396</v>
      </c>
      <c r="D34">
        <v>210</v>
      </c>
      <c r="E34">
        <v>24</v>
      </c>
    </row>
    <row r="35" spans="1:5" x14ac:dyDescent="0.45">
      <c r="A35" t="s">
        <v>73</v>
      </c>
      <c r="B35">
        <v>34585</v>
      </c>
      <c r="C35" t="s">
        <v>397</v>
      </c>
      <c r="D35">
        <v>210</v>
      </c>
      <c r="E35">
        <v>24</v>
      </c>
    </row>
    <row r="36" spans="1:5" x14ac:dyDescent="0.45">
      <c r="A36" t="s">
        <v>77</v>
      </c>
      <c r="B36">
        <v>34601</v>
      </c>
      <c r="C36" t="s">
        <v>398</v>
      </c>
      <c r="D36">
        <v>210</v>
      </c>
      <c r="E36">
        <v>24</v>
      </c>
    </row>
    <row r="37" spans="1:5" x14ac:dyDescent="0.45">
      <c r="A37" t="s">
        <v>90</v>
      </c>
      <c r="B37">
        <v>34691</v>
      </c>
      <c r="C37" t="s">
        <v>399</v>
      </c>
      <c r="D37">
        <v>210</v>
      </c>
      <c r="E37">
        <v>24</v>
      </c>
    </row>
    <row r="38" spans="1:5" x14ac:dyDescent="0.45">
      <c r="A38" t="s">
        <v>92</v>
      </c>
      <c r="B38">
        <v>34582</v>
      </c>
      <c r="C38" t="s">
        <v>400</v>
      </c>
      <c r="D38">
        <v>210</v>
      </c>
      <c r="E38">
        <v>24</v>
      </c>
    </row>
    <row r="39" spans="1:5" x14ac:dyDescent="0.45">
      <c r="A39" t="s">
        <v>79</v>
      </c>
      <c r="B39">
        <v>34597</v>
      </c>
      <c r="C39" t="s">
        <v>401</v>
      </c>
      <c r="D39">
        <v>210</v>
      </c>
      <c r="E39">
        <v>24</v>
      </c>
    </row>
    <row r="40" spans="1:5" x14ac:dyDescent="0.45">
      <c r="A40" t="s">
        <v>83</v>
      </c>
      <c r="B40">
        <v>34556</v>
      </c>
      <c r="C40" t="s">
        <v>402</v>
      </c>
      <c r="D40">
        <v>210</v>
      </c>
      <c r="E40">
        <v>24</v>
      </c>
    </row>
    <row r="41" spans="1:5" x14ac:dyDescent="0.45">
      <c r="A41" t="s">
        <v>85</v>
      </c>
      <c r="B41">
        <v>34626</v>
      </c>
      <c r="C41" t="s">
        <v>403</v>
      </c>
      <c r="D41">
        <v>210</v>
      </c>
      <c r="E41">
        <v>24</v>
      </c>
    </row>
    <row r="42" spans="1:5" x14ac:dyDescent="0.45">
      <c r="A42" t="s">
        <v>87</v>
      </c>
      <c r="B42">
        <v>34609</v>
      </c>
      <c r="C42" t="s">
        <v>404</v>
      </c>
      <c r="D42">
        <v>210</v>
      </c>
      <c r="E42">
        <v>24</v>
      </c>
    </row>
    <row r="43" spans="1:5" x14ac:dyDescent="0.45">
      <c r="A43" t="s">
        <v>81</v>
      </c>
      <c r="B43">
        <v>34630</v>
      </c>
      <c r="C43" t="s">
        <v>405</v>
      </c>
      <c r="D43">
        <v>210</v>
      </c>
      <c r="E43">
        <v>24</v>
      </c>
    </row>
    <row r="44" spans="1:5" x14ac:dyDescent="0.45">
      <c r="A44" t="s">
        <v>88</v>
      </c>
      <c r="B44">
        <v>34766</v>
      </c>
      <c r="C44" t="s">
        <v>406</v>
      </c>
      <c r="D44">
        <v>210</v>
      </c>
      <c r="E44">
        <v>24</v>
      </c>
    </row>
    <row r="45" spans="1:5" x14ac:dyDescent="0.45">
      <c r="A45" t="s">
        <v>94</v>
      </c>
      <c r="B45">
        <v>34644</v>
      </c>
      <c r="C45" t="s">
        <v>407</v>
      </c>
      <c r="D45">
        <v>210</v>
      </c>
      <c r="E45">
        <v>24</v>
      </c>
    </row>
    <row r="46" spans="1:5" x14ac:dyDescent="0.45">
      <c r="A46" t="s">
        <v>96</v>
      </c>
      <c r="B46">
        <v>34673</v>
      </c>
      <c r="C46" t="s">
        <v>408</v>
      </c>
      <c r="D46">
        <v>210</v>
      </c>
      <c r="E46">
        <v>24</v>
      </c>
    </row>
    <row r="47" spans="1:5" x14ac:dyDescent="0.45">
      <c r="A47" t="s">
        <v>98</v>
      </c>
      <c r="B47">
        <v>34650</v>
      </c>
      <c r="C47" t="s">
        <v>409</v>
      </c>
      <c r="D47">
        <v>210</v>
      </c>
      <c r="E47">
        <v>24</v>
      </c>
    </row>
    <row r="48" spans="1:5" x14ac:dyDescent="0.45">
      <c r="A48" t="s">
        <v>100</v>
      </c>
      <c r="B48">
        <v>34720</v>
      </c>
      <c r="C48" t="s">
        <v>410</v>
      </c>
      <c r="D48">
        <v>210</v>
      </c>
      <c r="E48">
        <v>24</v>
      </c>
    </row>
    <row r="49" spans="1:25" x14ac:dyDescent="0.45">
      <c r="A49" t="s">
        <v>102</v>
      </c>
      <c r="B49">
        <v>34540</v>
      </c>
      <c r="C49" t="s">
        <v>411</v>
      </c>
      <c r="D49">
        <v>210</v>
      </c>
      <c r="E49">
        <v>24</v>
      </c>
    </row>
    <row r="50" spans="1:25" x14ac:dyDescent="0.45">
      <c r="A50" t="s">
        <v>104</v>
      </c>
      <c r="B50">
        <v>34650</v>
      </c>
      <c r="C50" t="s">
        <v>412</v>
      </c>
      <c r="D50">
        <v>210</v>
      </c>
      <c r="E50">
        <v>24</v>
      </c>
    </row>
    <row r="51" spans="1:25" x14ac:dyDescent="0.45">
      <c r="A51" t="s">
        <v>106</v>
      </c>
      <c r="B51">
        <v>34580</v>
      </c>
      <c r="C51" t="s">
        <v>413</v>
      </c>
      <c r="D51">
        <v>210</v>
      </c>
      <c r="E51">
        <v>24</v>
      </c>
    </row>
    <row r="52" spans="1:25" x14ac:dyDescent="0.45">
      <c r="A52" t="s">
        <v>108</v>
      </c>
      <c r="B52">
        <v>34629</v>
      </c>
      <c r="C52" t="s">
        <v>414</v>
      </c>
      <c r="D52">
        <v>210</v>
      </c>
      <c r="E52">
        <v>24</v>
      </c>
    </row>
    <row r="53" spans="1:25" x14ac:dyDescent="0.45">
      <c r="A53" t="s">
        <v>110</v>
      </c>
      <c r="B53">
        <v>34930</v>
      </c>
      <c r="C53" t="s">
        <v>415</v>
      </c>
      <c r="D53">
        <v>210</v>
      </c>
      <c r="E53">
        <v>24</v>
      </c>
    </row>
    <row r="54" spans="1:25" x14ac:dyDescent="0.45">
      <c r="A54" t="s">
        <v>112</v>
      </c>
      <c r="B54">
        <v>34591</v>
      </c>
      <c r="C54" t="s">
        <v>416</v>
      </c>
      <c r="D54">
        <v>210</v>
      </c>
      <c r="E54">
        <v>24</v>
      </c>
    </row>
    <row r="55" spans="1:25" x14ac:dyDescent="0.45">
      <c r="A55" t="s">
        <v>116</v>
      </c>
      <c r="B55">
        <v>34649</v>
      </c>
      <c r="C55" t="s">
        <v>417</v>
      </c>
      <c r="D55">
        <v>210</v>
      </c>
      <c r="E55">
        <v>24</v>
      </c>
    </row>
    <row r="56" spans="1:25" x14ac:dyDescent="0.45">
      <c r="A56" t="s">
        <v>114</v>
      </c>
      <c r="B56">
        <v>34537</v>
      </c>
      <c r="C56" t="s">
        <v>418</v>
      </c>
      <c r="D56">
        <v>210</v>
      </c>
      <c r="E56">
        <v>24</v>
      </c>
    </row>
    <row r="57" spans="1:25" x14ac:dyDescent="0.45">
      <c r="A57" t="s">
        <v>118</v>
      </c>
      <c r="B57">
        <v>34708</v>
      </c>
      <c r="C57" t="s">
        <v>419</v>
      </c>
      <c r="D57">
        <v>210</v>
      </c>
      <c r="E57">
        <v>24</v>
      </c>
    </row>
    <row r="58" spans="1:25" x14ac:dyDescent="0.45">
      <c r="A58" t="s">
        <v>122</v>
      </c>
      <c r="B58">
        <v>34654</v>
      </c>
      <c r="C58" t="s">
        <v>420</v>
      </c>
      <c r="D58">
        <v>210</v>
      </c>
      <c r="E58">
        <v>24</v>
      </c>
    </row>
    <row r="59" spans="1:25" x14ac:dyDescent="0.45">
      <c r="A59" t="s">
        <v>120</v>
      </c>
      <c r="B59">
        <v>34573</v>
      </c>
      <c r="C59" t="s">
        <v>421</v>
      </c>
      <c r="D59">
        <v>210</v>
      </c>
      <c r="E59">
        <v>24</v>
      </c>
    </row>
    <row r="60" spans="1:25" x14ac:dyDescent="0.45">
      <c r="A60" t="s">
        <v>124</v>
      </c>
      <c r="B60">
        <v>34596</v>
      </c>
      <c r="C60" t="s">
        <v>422</v>
      </c>
      <c r="D60">
        <v>210</v>
      </c>
      <c r="E60">
        <v>24</v>
      </c>
    </row>
    <row r="62" spans="1:25" x14ac:dyDescent="0.45">
      <c r="A62" s="4" t="s">
        <v>423</v>
      </c>
    </row>
    <row r="63" spans="1:25" ht="150" customHeight="1" x14ac:dyDescent="0.45">
      <c r="A63" s="4" t="s">
        <v>202</v>
      </c>
      <c r="B63" s="7" t="s">
        <v>163</v>
      </c>
      <c r="C63" s="7" t="s">
        <v>165</v>
      </c>
      <c r="D63" s="7" t="s">
        <v>167</v>
      </c>
      <c r="E63" s="7" t="s">
        <v>169</v>
      </c>
      <c r="F63" s="7" t="s">
        <v>171</v>
      </c>
      <c r="G63" s="7" t="s">
        <v>173</v>
      </c>
      <c r="H63" s="7" t="s">
        <v>175</v>
      </c>
      <c r="I63" s="7" t="s">
        <v>176</v>
      </c>
      <c r="J63" s="7" t="s">
        <v>177</v>
      </c>
      <c r="K63" s="7" t="s">
        <v>179</v>
      </c>
      <c r="L63" s="7" t="s">
        <v>180</v>
      </c>
      <c r="M63" s="7" t="s">
        <v>182</v>
      </c>
      <c r="N63" s="7" t="s">
        <v>184</v>
      </c>
      <c r="O63" s="7" t="s">
        <v>186</v>
      </c>
      <c r="P63" s="7" t="s">
        <v>187</v>
      </c>
      <c r="Q63" s="7" t="s">
        <v>188</v>
      </c>
      <c r="R63" s="7" t="s">
        <v>190</v>
      </c>
      <c r="S63" s="7" t="s">
        <v>191</v>
      </c>
      <c r="T63" s="7" t="s">
        <v>193</v>
      </c>
      <c r="U63" s="7" t="s">
        <v>194</v>
      </c>
      <c r="V63" s="7" t="s">
        <v>196</v>
      </c>
      <c r="W63" s="7" t="s">
        <v>197</v>
      </c>
      <c r="X63" s="7" t="s">
        <v>199</v>
      </c>
      <c r="Y63" s="7" t="s">
        <v>201</v>
      </c>
    </row>
    <row r="64" spans="1:25" x14ac:dyDescent="0.45">
      <c r="A64" t="s">
        <v>4</v>
      </c>
      <c r="B64" s="8">
        <v>4728</v>
      </c>
      <c r="C64" s="8">
        <v>1696.1</v>
      </c>
      <c r="D64" s="8">
        <v>11072</v>
      </c>
      <c r="E64" s="8">
        <v>5452.7000000000007</v>
      </c>
      <c r="F64" s="8">
        <v>3290.6</v>
      </c>
      <c r="G64" s="8">
        <v>0</v>
      </c>
      <c r="H64" s="8">
        <v>663.5</v>
      </c>
      <c r="I64" s="8">
        <v>0</v>
      </c>
      <c r="J64" s="8">
        <v>6.4</v>
      </c>
      <c r="K64" s="8">
        <v>0</v>
      </c>
      <c r="L64" s="8">
        <v>42.6</v>
      </c>
      <c r="M64" s="8">
        <v>3220.2</v>
      </c>
      <c r="N64" s="8">
        <v>0</v>
      </c>
      <c r="O64" s="8">
        <v>0</v>
      </c>
      <c r="P64" s="8">
        <v>797.5999999999998</v>
      </c>
      <c r="Q64" s="8">
        <v>0</v>
      </c>
      <c r="R64" s="8">
        <v>0</v>
      </c>
      <c r="S64" s="8">
        <v>0</v>
      </c>
      <c r="T64" s="8">
        <v>0</v>
      </c>
      <c r="U64" s="8">
        <v>0</v>
      </c>
      <c r="V64" s="8">
        <v>0</v>
      </c>
      <c r="W64" s="8">
        <v>0</v>
      </c>
      <c r="X64" s="8">
        <v>0</v>
      </c>
      <c r="Y64" s="8">
        <v>0</v>
      </c>
    </row>
    <row r="65" spans="1:25" x14ac:dyDescent="0.45">
      <c r="A65" t="s">
        <v>9</v>
      </c>
      <c r="B65" s="8">
        <v>4729.6000000000004</v>
      </c>
      <c r="C65" s="8">
        <v>656</v>
      </c>
      <c r="D65" s="8">
        <v>4608.2</v>
      </c>
      <c r="E65" s="8">
        <v>1821</v>
      </c>
      <c r="F65" s="8">
        <v>1264.5</v>
      </c>
      <c r="G65" s="8">
        <v>0</v>
      </c>
      <c r="H65" s="8">
        <v>1772.46</v>
      </c>
      <c r="I65" s="8">
        <v>0</v>
      </c>
      <c r="J65" s="8">
        <v>8.8000000000000007</v>
      </c>
      <c r="K65" s="8">
        <v>0</v>
      </c>
      <c r="L65" s="8">
        <v>9</v>
      </c>
      <c r="M65" s="8">
        <v>715.6</v>
      </c>
      <c r="N65" s="8">
        <v>0</v>
      </c>
      <c r="O65" s="8">
        <v>0</v>
      </c>
      <c r="P65" s="8">
        <v>280.39999999999998</v>
      </c>
      <c r="Q65" s="8">
        <v>0</v>
      </c>
      <c r="R65" s="8">
        <v>0</v>
      </c>
      <c r="S65" s="8">
        <v>0</v>
      </c>
      <c r="T65" s="8">
        <v>0</v>
      </c>
      <c r="U65" s="8">
        <v>0</v>
      </c>
      <c r="V65" s="8">
        <v>0</v>
      </c>
      <c r="W65" s="8">
        <v>0</v>
      </c>
      <c r="X65" s="8">
        <v>0</v>
      </c>
      <c r="Y65" s="8">
        <v>0</v>
      </c>
    </row>
    <row r="66" spans="1:25" x14ac:dyDescent="0.45">
      <c r="A66" t="s">
        <v>7</v>
      </c>
      <c r="B66" s="8">
        <v>2936</v>
      </c>
      <c r="C66" s="8">
        <v>1095</v>
      </c>
      <c r="D66" s="8">
        <v>10116.1</v>
      </c>
      <c r="E66" s="8">
        <v>3937</v>
      </c>
      <c r="F66" s="8">
        <v>2720.6</v>
      </c>
      <c r="G66" s="8">
        <v>1234.5</v>
      </c>
      <c r="H66" s="8">
        <v>4730.2</v>
      </c>
      <c r="I66" s="8">
        <v>295.60000000000002</v>
      </c>
      <c r="J66" s="8">
        <v>27.9</v>
      </c>
      <c r="K66" s="8">
        <v>0</v>
      </c>
      <c r="L66" s="8">
        <v>84.7</v>
      </c>
      <c r="M66" s="8">
        <v>3303.1</v>
      </c>
      <c r="N66" s="8">
        <v>0</v>
      </c>
      <c r="O66" s="8">
        <v>0</v>
      </c>
      <c r="P66" s="8">
        <v>58.500000000000007</v>
      </c>
      <c r="Q66" s="8">
        <v>0</v>
      </c>
      <c r="R66" s="8">
        <v>0</v>
      </c>
      <c r="S66" s="8">
        <v>0</v>
      </c>
      <c r="T66" s="8">
        <v>0</v>
      </c>
      <c r="U66" s="8">
        <v>0</v>
      </c>
      <c r="V66" s="8">
        <v>0</v>
      </c>
      <c r="W66" s="8">
        <v>0</v>
      </c>
      <c r="X66" s="8">
        <v>0</v>
      </c>
      <c r="Y66" s="8">
        <v>0</v>
      </c>
    </row>
    <row r="67" spans="1:25" x14ac:dyDescent="0.45">
      <c r="A67" t="s">
        <v>13</v>
      </c>
      <c r="B67" s="8">
        <v>0</v>
      </c>
      <c r="C67" s="8">
        <v>3730.7</v>
      </c>
      <c r="D67" s="8">
        <v>19425.3</v>
      </c>
      <c r="E67" s="8">
        <v>2240</v>
      </c>
      <c r="F67" s="8">
        <v>10207.4</v>
      </c>
      <c r="G67" s="8">
        <v>6428.7</v>
      </c>
      <c r="H67" s="8">
        <v>21087.25</v>
      </c>
      <c r="I67" s="8">
        <v>917.8</v>
      </c>
      <c r="J67" s="8">
        <v>572.9</v>
      </c>
      <c r="K67" s="8">
        <v>1881.2</v>
      </c>
      <c r="L67" s="8">
        <v>224</v>
      </c>
      <c r="M67" s="8">
        <v>11157.1</v>
      </c>
      <c r="N67" s="8">
        <v>0</v>
      </c>
      <c r="O67" s="8">
        <v>0</v>
      </c>
      <c r="P67" s="8">
        <v>3212.7200000000012</v>
      </c>
      <c r="Q67" s="8">
        <v>0</v>
      </c>
      <c r="R67" s="8">
        <v>0</v>
      </c>
      <c r="S67" s="8">
        <v>0</v>
      </c>
      <c r="T67" s="8">
        <v>0</v>
      </c>
      <c r="U67" s="8">
        <v>0</v>
      </c>
      <c r="V67" s="8">
        <v>0</v>
      </c>
      <c r="W67" s="8">
        <v>0</v>
      </c>
      <c r="X67" s="8">
        <v>0</v>
      </c>
      <c r="Y67" s="8">
        <v>0</v>
      </c>
    </row>
    <row r="68" spans="1:25" x14ac:dyDescent="0.45">
      <c r="A68" t="s">
        <v>17</v>
      </c>
      <c r="B68" s="8">
        <v>3786</v>
      </c>
      <c r="C68" s="8">
        <v>364</v>
      </c>
      <c r="D68" s="8">
        <v>3219.5</v>
      </c>
      <c r="E68" s="8">
        <v>0</v>
      </c>
      <c r="F68" s="8">
        <v>689.39999999999986</v>
      </c>
      <c r="G68" s="8">
        <v>5334.9</v>
      </c>
      <c r="H68" s="8">
        <v>2349.54</v>
      </c>
      <c r="I68" s="8">
        <v>0</v>
      </c>
      <c r="J68" s="8">
        <v>28.7</v>
      </c>
      <c r="K68" s="8">
        <v>0</v>
      </c>
      <c r="L68" s="8">
        <v>148.1</v>
      </c>
      <c r="M68" s="8">
        <v>2862.12</v>
      </c>
      <c r="N68" s="8">
        <v>0</v>
      </c>
      <c r="O68" s="8">
        <v>0</v>
      </c>
      <c r="P68" s="8">
        <v>114.72</v>
      </c>
      <c r="Q68" s="8">
        <v>0</v>
      </c>
      <c r="R68" s="8">
        <v>0</v>
      </c>
      <c r="S68" s="8">
        <v>0</v>
      </c>
      <c r="T68" s="8">
        <v>0</v>
      </c>
      <c r="U68" s="8">
        <v>0</v>
      </c>
      <c r="V68" s="8">
        <v>0</v>
      </c>
      <c r="W68" s="8">
        <v>0</v>
      </c>
      <c r="X68" s="8">
        <v>0</v>
      </c>
      <c r="Y68" s="8">
        <v>0</v>
      </c>
    </row>
    <row r="69" spans="1:25" x14ac:dyDescent="0.45">
      <c r="A69" t="s">
        <v>21</v>
      </c>
      <c r="B69" s="8">
        <v>0</v>
      </c>
      <c r="C69" s="8">
        <v>434</v>
      </c>
      <c r="D69" s="8">
        <v>3835.18</v>
      </c>
      <c r="E69" s="8">
        <v>2104.1999999999998</v>
      </c>
      <c r="F69" s="8">
        <v>119.2</v>
      </c>
      <c r="G69" s="8">
        <v>5</v>
      </c>
      <c r="H69" s="8">
        <v>314.2</v>
      </c>
      <c r="I69" s="8">
        <v>0</v>
      </c>
      <c r="J69" s="8">
        <v>39.1</v>
      </c>
      <c r="K69" s="8">
        <v>0</v>
      </c>
      <c r="L69" s="8">
        <v>2197.1999999999998</v>
      </c>
      <c r="M69" s="8">
        <v>497.69</v>
      </c>
      <c r="N69" s="8">
        <v>0</v>
      </c>
      <c r="O69" s="8">
        <v>0</v>
      </c>
      <c r="P69" s="8">
        <v>226.85</v>
      </c>
      <c r="Q69" s="8">
        <v>0</v>
      </c>
      <c r="R69" s="8">
        <v>100.5</v>
      </c>
      <c r="S69" s="8">
        <v>0</v>
      </c>
      <c r="T69" s="8">
        <v>0</v>
      </c>
      <c r="U69" s="8">
        <v>0</v>
      </c>
      <c r="V69" s="8">
        <v>0</v>
      </c>
      <c r="W69" s="8">
        <v>0</v>
      </c>
      <c r="X69" s="8">
        <v>0</v>
      </c>
      <c r="Y69" s="8">
        <v>0</v>
      </c>
    </row>
    <row r="70" spans="1:25" x14ac:dyDescent="0.45">
      <c r="A70" t="s">
        <v>25</v>
      </c>
      <c r="B70" s="8">
        <v>410</v>
      </c>
      <c r="C70" s="8">
        <v>695</v>
      </c>
      <c r="D70" s="8">
        <v>1496</v>
      </c>
      <c r="E70" s="8">
        <v>0</v>
      </c>
      <c r="F70" s="8">
        <v>0</v>
      </c>
      <c r="G70" s="8">
        <v>0</v>
      </c>
      <c r="H70" s="8">
        <v>91.899999999999991</v>
      </c>
      <c r="I70" s="8">
        <v>0</v>
      </c>
      <c r="J70" s="8">
        <v>10</v>
      </c>
      <c r="K70" s="8">
        <v>0</v>
      </c>
      <c r="L70" s="8">
        <v>111.1</v>
      </c>
      <c r="M70" s="8">
        <v>184</v>
      </c>
      <c r="N70" s="8">
        <v>0</v>
      </c>
      <c r="O70" s="8">
        <v>0</v>
      </c>
      <c r="P70" s="8">
        <v>276.2</v>
      </c>
      <c r="Q70" s="8">
        <v>0</v>
      </c>
      <c r="R70" s="8">
        <v>0</v>
      </c>
      <c r="S70" s="8">
        <v>0</v>
      </c>
      <c r="T70" s="8">
        <v>0</v>
      </c>
      <c r="U70" s="8">
        <v>0</v>
      </c>
      <c r="V70" s="8">
        <v>0</v>
      </c>
      <c r="W70" s="8">
        <v>0</v>
      </c>
      <c r="X70" s="8">
        <v>0</v>
      </c>
      <c r="Y70" s="8">
        <v>0</v>
      </c>
    </row>
    <row r="71" spans="1:25" x14ac:dyDescent="0.45">
      <c r="A71" t="s">
        <v>29</v>
      </c>
      <c r="B71" s="8">
        <v>3564.7</v>
      </c>
      <c r="C71" s="8">
        <v>5418.9</v>
      </c>
      <c r="D71" s="8">
        <v>35819.699999999997</v>
      </c>
      <c r="E71" s="8">
        <v>3666</v>
      </c>
      <c r="F71" s="8">
        <v>43.5</v>
      </c>
      <c r="G71" s="8">
        <v>0</v>
      </c>
      <c r="H71" s="8">
        <v>10942.9</v>
      </c>
      <c r="I71" s="8">
        <v>0</v>
      </c>
      <c r="J71" s="8">
        <v>271.8</v>
      </c>
      <c r="K71" s="8">
        <v>0</v>
      </c>
      <c r="L71" s="8">
        <v>1594.9</v>
      </c>
      <c r="M71" s="8">
        <v>8838.2000000000007</v>
      </c>
      <c r="N71" s="8">
        <v>0</v>
      </c>
      <c r="O71" s="8">
        <v>0</v>
      </c>
      <c r="P71" s="8">
        <v>1025.0999999999999</v>
      </c>
      <c r="Q71" s="8">
        <v>0</v>
      </c>
      <c r="R71" s="8">
        <v>250.5</v>
      </c>
      <c r="S71" s="8">
        <v>0</v>
      </c>
      <c r="T71" s="8">
        <v>0</v>
      </c>
      <c r="U71" s="8">
        <v>0</v>
      </c>
      <c r="V71" s="8">
        <v>0</v>
      </c>
      <c r="W71" s="8">
        <v>0</v>
      </c>
      <c r="X71" s="8">
        <v>0</v>
      </c>
      <c r="Y71" s="8">
        <v>0</v>
      </c>
    </row>
    <row r="72" spans="1:25" x14ac:dyDescent="0.45">
      <c r="A72" t="s">
        <v>33</v>
      </c>
      <c r="B72" s="8">
        <v>5780</v>
      </c>
      <c r="C72" s="8">
        <v>724</v>
      </c>
      <c r="D72" s="8">
        <v>8090.7999999999993</v>
      </c>
      <c r="E72" s="8">
        <v>6289</v>
      </c>
      <c r="F72" s="8">
        <v>1979.9</v>
      </c>
      <c r="G72" s="8">
        <v>0</v>
      </c>
      <c r="H72" s="8">
        <v>4999.3999999999996</v>
      </c>
      <c r="I72" s="8">
        <v>0</v>
      </c>
      <c r="J72" s="8">
        <v>294.3</v>
      </c>
      <c r="K72" s="8">
        <v>0</v>
      </c>
      <c r="L72" s="8">
        <v>1014.3</v>
      </c>
      <c r="M72" s="8">
        <v>7363.7</v>
      </c>
      <c r="N72" s="8">
        <v>0</v>
      </c>
      <c r="O72" s="8">
        <v>0</v>
      </c>
      <c r="P72" s="8">
        <v>1166.75</v>
      </c>
      <c r="Q72" s="8">
        <v>0</v>
      </c>
      <c r="R72" s="8">
        <v>0</v>
      </c>
      <c r="S72" s="8">
        <v>0</v>
      </c>
      <c r="T72" s="8">
        <v>0</v>
      </c>
      <c r="U72" s="8">
        <v>0</v>
      </c>
      <c r="V72" s="8">
        <v>0</v>
      </c>
      <c r="W72" s="8">
        <v>0</v>
      </c>
      <c r="X72" s="8">
        <v>0</v>
      </c>
      <c r="Y72" s="8">
        <v>0</v>
      </c>
    </row>
    <row r="73" spans="1:25" x14ac:dyDescent="0.45">
      <c r="A73" t="s">
        <v>49</v>
      </c>
      <c r="B73" s="8">
        <v>4392.9000000000005</v>
      </c>
      <c r="C73" s="8">
        <v>470.8</v>
      </c>
      <c r="D73" s="8">
        <v>1700.7</v>
      </c>
      <c r="E73" s="8">
        <v>0</v>
      </c>
      <c r="F73" s="8">
        <v>209.4</v>
      </c>
      <c r="G73" s="8">
        <v>12864.5</v>
      </c>
      <c r="H73" s="8">
        <v>676.1</v>
      </c>
      <c r="I73" s="8">
        <v>0</v>
      </c>
      <c r="J73" s="8">
        <v>16.2</v>
      </c>
      <c r="K73" s="8">
        <v>0</v>
      </c>
      <c r="L73" s="8">
        <v>775.9</v>
      </c>
      <c r="M73" s="8">
        <v>1364.94</v>
      </c>
      <c r="N73" s="8">
        <v>0</v>
      </c>
      <c r="O73" s="8">
        <v>0</v>
      </c>
      <c r="P73" s="8">
        <v>744.39999999999986</v>
      </c>
      <c r="Q73" s="8">
        <v>0</v>
      </c>
      <c r="R73" s="8">
        <v>0</v>
      </c>
      <c r="S73" s="8">
        <v>0</v>
      </c>
      <c r="T73" s="8">
        <v>0</v>
      </c>
      <c r="U73" s="8">
        <v>0</v>
      </c>
      <c r="V73" s="8">
        <v>0</v>
      </c>
      <c r="W73" s="8">
        <v>0</v>
      </c>
      <c r="X73" s="8">
        <v>0</v>
      </c>
      <c r="Y73" s="8">
        <v>0</v>
      </c>
    </row>
    <row r="74" spans="1:25" x14ac:dyDescent="0.45">
      <c r="A74" t="s">
        <v>37</v>
      </c>
      <c r="B74" s="8">
        <v>0</v>
      </c>
      <c r="C74" s="8">
        <v>0</v>
      </c>
      <c r="D74" s="8">
        <v>515.43000000000006</v>
      </c>
      <c r="E74" s="8">
        <v>0</v>
      </c>
      <c r="F74" s="8">
        <v>2653.76</v>
      </c>
      <c r="G74" s="8">
        <v>1128.3</v>
      </c>
      <c r="H74" s="8">
        <v>500</v>
      </c>
      <c r="I74" s="8">
        <v>0</v>
      </c>
      <c r="J74" s="8">
        <v>26.4</v>
      </c>
      <c r="K74" s="8">
        <v>10</v>
      </c>
      <c r="L74" s="8">
        <v>5.58</v>
      </c>
      <c r="M74" s="8">
        <v>568.96</v>
      </c>
      <c r="N74" s="8">
        <v>0</v>
      </c>
      <c r="O74" s="8">
        <v>0</v>
      </c>
      <c r="P74" s="8">
        <v>98.899999999999991</v>
      </c>
      <c r="Q74" s="8">
        <v>0</v>
      </c>
      <c r="R74" s="8">
        <v>0</v>
      </c>
      <c r="S74" s="8">
        <v>0</v>
      </c>
      <c r="T74" s="8">
        <v>0</v>
      </c>
      <c r="U74" s="8">
        <v>0</v>
      </c>
      <c r="V74" s="8">
        <v>0</v>
      </c>
      <c r="W74" s="8">
        <v>0</v>
      </c>
      <c r="X74" s="8">
        <v>0</v>
      </c>
      <c r="Y74" s="8">
        <v>0</v>
      </c>
    </row>
    <row r="75" spans="1:25" x14ac:dyDescent="0.45">
      <c r="A75" t="s">
        <v>41</v>
      </c>
      <c r="B75" s="8">
        <v>6356.7</v>
      </c>
      <c r="C75" s="8">
        <v>28.2</v>
      </c>
      <c r="D75" s="8">
        <v>5449.2</v>
      </c>
      <c r="E75" s="8">
        <v>11591.6</v>
      </c>
      <c r="F75" s="8">
        <v>31.7</v>
      </c>
      <c r="G75" s="8">
        <v>7872.0000000000009</v>
      </c>
      <c r="H75" s="8">
        <v>2955</v>
      </c>
      <c r="I75" s="8">
        <v>0</v>
      </c>
      <c r="J75" s="8">
        <v>55.2</v>
      </c>
      <c r="K75" s="8">
        <v>0</v>
      </c>
      <c r="L75" s="8">
        <v>649.99999999999989</v>
      </c>
      <c r="M75" s="8">
        <v>10372.1</v>
      </c>
      <c r="N75" s="8">
        <v>0</v>
      </c>
      <c r="O75" s="8">
        <v>0</v>
      </c>
      <c r="P75" s="8">
        <v>817.14</v>
      </c>
      <c r="Q75" s="8">
        <v>0</v>
      </c>
      <c r="R75" s="8">
        <v>0</v>
      </c>
      <c r="S75" s="8">
        <v>0</v>
      </c>
      <c r="T75" s="8">
        <v>0</v>
      </c>
      <c r="U75" s="8">
        <v>0</v>
      </c>
      <c r="V75" s="8">
        <v>0</v>
      </c>
      <c r="W75" s="8">
        <v>0</v>
      </c>
      <c r="X75" s="8">
        <v>0</v>
      </c>
      <c r="Y75" s="8">
        <v>0</v>
      </c>
    </row>
    <row r="76" spans="1:25" x14ac:dyDescent="0.45">
      <c r="A76" t="s">
        <v>45</v>
      </c>
      <c r="B76" s="8">
        <v>12721.4</v>
      </c>
      <c r="C76" s="8">
        <v>640</v>
      </c>
      <c r="D76" s="8">
        <v>3892.3</v>
      </c>
      <c r="E76" s="8">
        <v>0</v>
      </c>
      <c r="F76" s="8">
        <v>69.100000000000009</v>
      </c>
      <c r="G76" s="8">
        <v>3639.1</v>
      </c>
      <c r="H76" s="8">
        <v>2489.1999999999998</v>
      </c>
      <c r="I76" s="8">
        <v>0</v>
      </c>
      <c r="J76" s="8">
        <v>33.299999999999997</v>
      </c>
      <c r="K76" s="8">
        <v>0</v>
      </c>
      <c r="L76" s="8">
        <v>62.8</v>
      </c>
      <c r="M76" s="8">
        <v>3221.599999999999</v>
      </c>
      <c r="N76" s="8">
        <v>0</v>
      </c>
      <c r="O76" s="8">
        <v>0</v>
      </c>
      <c r="P76" s="8">
        <v>974.8</v>
      </c>
      <c r="Q76" s="8">
        <v>0</v>
      </c>
      <c r="R76" s="8">
        <v>0</v>
      </c>
      <c r="S76" s="8">
        <v>0</v>
      </c>
      <c r="T76" s="8">
        <v>0</v>
      </c>
      <c r="U76" s="8">
        <v>0</v>
      </c>
      <c r="V76" s="8">
        <v>0</v>
      </c>
      <c r="W76" s="8">
        <v>0</v>
      </c>
      <c r="X76" s="8">
        <v>0</v>
      </c>
      <c r="Y76" s="8">
        <v>0</v>
      </c>
    </row>
    <row r="77" spans="1:25" x14ac:dyDescent="0.45">
      <c r="A77" t="s">
        <v>53</v>
      </c>
      <c r="B77" s="8">
        <v>4694.9799999999996</v>
      </c>
      <c r="C77" s="8">
        <v>800.09999999999991</v>
      </c>
      <c r="D77" s="8">
        <v>247</v>
      </c>
      <c r="E77" s="8">
        <v>1176.7</v>
      </c>
      <c r="F77" s="8">
        <v>7</v>
      </c>
      <c r="G77" s="8">
        <v>9036.0000000000018</v>
      </c>
      <c r="H77" s="8">
        <v>65.8</v>
      </c>
      <c r="I77" s="8">
        <v>0</v>
      </c>
      <c r="J77" s="8">
        <v>9</v>
      </c>
      <c r="K77" s="8">
        <v>0</v>
      </c>
      <c r="L77" s="8">
        <v>540.10000000000014</v>
      </c>
      <c r="M77" s="8">
        <v>2722.1</v>
      </c>
      <c r="N77" s="8">
        <v>0</v>
      </c>
      <c r="O77" s="8">
        <v>0</v>
      </c>
      <c r="P77" s="8">
        <v>57.1</v>
      </c>
      <c r="Q77" s="8">
        <v>0</v>
      </c>
      <c r="R77" s="8">
        <v>0</v>
      </c>
      <c r="S77" s="8">
        <v>0</v>
      </c>
      <c r="T77" s="8">
        <v>0</v>
      </c>
      <c r="U77" s="8">
        <v>0</v>
      </c>
      <c r="V77" s="8">
        <v>0</v>
      </c>
      <c r="W77" s="8">
        <v>0</v>
      </c>
      <c r="X77" s="8">
        <v>0</v>
      </c>
      <c r="Y77" s="8">
        <v>0</v>
      </c>
    </row>
    <row r="78" spans="1:25" x14ac:dyDescent="0.45">
      <c r="A78" t="s">
        <v>57</v>
      </c>
      <c r="B78" s="8">
        <v>8631</v>
      </c>
      <c r="C78" s="8">
        <v>714</v>
      </c>
      <c r="D78" s="8">
        <v>1791</v>
      </c>
      <c r="E78" s="8">
        <v>0</v>
      </c>
      <c r="F78" s="8">
        <v>1137.4000000000001</v>
      </c>
      <c r="G78" s="8">
        <v>0</v>
      </c>
      <c r="H78" s="8">
        <v>425.2</v>
      </c>
      <c r="I78" s="8">
        <v>0</v>
      </c>
      <c r="J78" s="8">
        <v>18.2</v>
      </c>
      <c r="K78" s="8">
        <v>0</v>
      </c>
      <c r="L78" s="8">
        <v>10.8</v>
      </c>
      <c r="M78" s="8">
        <v>5576.6</v>
      </c>
      <c r="N78" s="8">
        <v>0</v>
      </c>
      <c r="O78" s="8">
        <v>0</v>
      </c>
      <c r="P78" s="8">
        <v>76.2</v>
      </c>
      <c r="Q78" s="8">
        <v>0</v>
      </c>
      <c r="R78" s="8">
        <v>0</v>
      </c>
      <c r="S78" s="8">
        <v>0</v>
      </c>
      <c r="T78" s="8">
        <v>0</v>
      </c>
      <c r="U78" s="8">
        <v>0</v>
      </c>
      <c r="V78" s="8">
        <v>0</v>
      </c>
      <c r="W78" s="8">
        <v>0</v>
      </c>
      <c r="X78" s="8">
        <v>0</v>
      </c>
      <c r="Y78" s="8">
        <v>0</v>
      </c>
    </row>
    <row r="79" spans="1:25" x14ac:dyDescent="0.45">
      <c r="A79" t="s">
        <v>61</v>
      </c>
      <c r="B79" s="8">
        <v>2121.6</v>
      </c>
      <c r="C79" s="8">
        <v>4901.1000000000004</v>
      </c>
      <c r="D79" s="8">
        <v>7089.1</v>
      </c>
      <c r="E79" s="8">
        <v>2051.5</v>
      </c>
      <c r="F79" s="8">
        <v>192</v>
      </c>
      <c r="G79" s="8">
        <v>0</v>
      </c>
      <c r="H79" s="8">
        <v>1052.5999999999999</v>
      </c>
      <c r="I79" s="8">
        <v>0</v>
      </c>
      <c r="J79" s="8">
        <v>11.1</v>
      </c>
      <c r="K79" s="8">
        <v>0</v>
      </c>
      <c r="L79" s="8">
        <v>839</v>
      </c>
      <c r="M79" s="8">
        <v>1775.8</v>
      </c>
      <c r="N79" s="8">
        <v>0</v>
      </c>
      <c r="O79" s="8">
        <v>0</v>
      </c>
      <c r="P79" s="8">
        <v>4631.8</v>
      </c>
      <c r="Q79" s="8">
        <v>0</v>
      </c>
      <c r="R79" s="8">
        <v>0</v>
      </c>
      <c r="S79" s="8">
        <v>0</v>
      </c>
      <c r="T79" s="8">
        <v>0</v>
      </c>
      <c r="U79" s="8">
        <v>0</v>
      </c>
      <c r="V79" s="8">
        <v>0</v>
      </c>
      <c r="W79" s="8">
        <v>0</v>
      </c>
      <c r="X79" s="8">
        <v>0</v>
      </c>
      <c r="Y79" s="8">
        <v>0</v>
      </c>
    </row>
    <row r="80" spans="1:25" x14ac:dyDescent="0.45">
      <c r="A80" t="s">
        <v>67</v>
      </c>
      <c r="B80" s="8">
        <v>0</v>
      </c>
      <c r="C80" s="8">
        <v>0</v>
      </c>
      <c r="D80" s="8">
        <v>4387.2299999999996</v>
      </c>
      <c r="E80" s="8">
        <v>0</v>
      </c>
      <c r="F80" s="8">
        <v>265.2</v>
      </c>
      <c r="G80" s="8">
        <v>85.1</v>
      </c>
      <c r="H80" s="8">
        <v>1419.13</v>
      </c>
      <c r="I80" s="8">
        <v>0</v>
      </c>
      <c r="J80" s="8">
        <v>38.499999999999993</v>
      </c>
      <c r="K80" s="8">
        <v>0</v>
      </c>
      <c r="L80" s="8">
        <v>2180.6999999999998</v>
      </c>
      <c r="M80" s="8">
        <v>444.9</v>
      </c>
      <c r="N80" s="8">
        <v>0</v>
      </c>
      <c r="O80" s="8">
        <v>0</v>
      </c>
      <c r="P80" s="8">
        <v>442.7000000000001</v>
      </c>
      <c r="Q80" s="8">
        <v>0</v>
      </c>
      <c r="R80" s="8">
        <v>102.8</v>
      </c>
      <c r="S80" s="8">
        <v>0</v>
      </c>
      <c r="T80" s="8">
        <v>0</v>
      </c>
      <c r="U80" s="8">
        <v>0</v>
      </c>
      <c r="V80" s="8">
        <v>0</v>
      </c>
      <c r="W80" s="8">
        <v>0</v>
      </c>
      <c r="X80" s="8">
        <v>0</v>
      </c>
      <c r="Y80" s="8">
        <v>0</v>
      </c>
    </row>
    <row r="81" spans="1:25" x14ac:dyDescent="0.45">
      <c r="A81" t="s">
        <v>65</v>
      </c>
      <c r="B81" s="8">
        <v>1273</v>
      </c>
      <c r="C81" s="8">
        <v>1182.3</v>
      </c>
      <c r="D81" s="8">
        <v>2716.6</v>
      </c>
      <c r="E81" s="8">
        <v>1745.2</v>
      </c>
      <c r="F81" s="8">
        <v>514.9</v>
      </c>
      <c r="G81" s="8">
        <v>190</v>
      </c>
      <c r="H81" s="8">
        <v>659.7</v>
      </c>
      <c r="I81" s="8">
        <v>0</v>
      </c>
      <c r="J81" s="8">
        <v>16.399999999999999</v>
      </c>
      <c r="K81" s="8">
        <v>0</v>
      </c>
      <c r="L81" s="8">
        <v>1537.4</v>
      </c>
      <c r="M81" s="8">
        <v>1625.3</v>
      </c>
      <c r="N81" s="8">
        <v>0</v>
      </c>
      <c r="O81" s="8">
        <v>0</v>
      </c>
      <c r="P81" s="8">
        <v>133.9</v>
      </c>
      <c r="Q81" s="8">
        <v>0</v>
      </c>
      <c r="R81" s="8">
        <v>115.3</v>
      </c>
      <c r="S81" s="8">
        <v>0</v>
      </c>
      <c r="T81" s="8">
        <v>0</v>
      </c>
      <c r="U81" s="8">
        <v>0</v>
      </c>
      <c r="V81" s="8">
        <v>0</v>
      </c>
      <c r="W81" s="8">
        <v>0</v>
      </c>
      <c r="X81" s="8">
        <v>0</v>
      </c>
      <c r="Y81" s="8">
        <v>0</v>
      </c>
    </row>
    <row r="82" spans="1:25" x14ac:dyDescent="0.45">
      <c r="A82" t="s">
        <v>63</v>
      </c>
      <c r="B82" s="8">
        <v>0</v>
      </c>
      <c r="C82" s="8">
        <v>0</v>
      </c>
      <c r="D82" s="8">
        <v>1272.17</v>
      </c>
      <c r="E82" s="8">
        <v>0</v>
      </c>
      <c r="F82" s="8">
        <v>708.10000000000014</v>
      </c>
      <c r="G82" s="8">
        <v>1029.5</v>
      </c>
      <c r="H82" s="8">
        <v>829.19999999999993</v>
      </c>
      <c r="I82" s="8">
        <v>0</v>
      </c>
      <c r="J82" s="8">
        <v>284.8</v>
      </c>
      <c r="K82" s="8">
        <v>0</v>
      </c>
      <c r="L82" s="8">
        <v>842.90000000000009</v>
      </c>
      <c r="M82" s="8">
        <v>178</v>
      </c>
      <c r="N82" s="8">
        <v>0</v>
      </c>
      <c r="O82" s="8">
        <v>0</v>
      </c>
      <c r="P82" s="8">
        <v>367.8</v>
      </c>
      <c r="Q82" s="8">
        <v>0</v>
      </c>
      <c r="R82" s="8">
        <v>11.5</v>
      </c>
      <c r="S82" s="8">
        <v>0</v>
      </c>
      <c r="T82" s="8">
        <v>0</v>
      </c>
      <c r="U82" s="8">
        <v>0</v>
      </c>
      <c r="V82" s="8">
        <v>0</v>
      </c>
      <c r="W82" s="8">
        <v>0</v>
      </c>
      <c r="X82" s="8">
        <v>0</v>
      </c>
      <c r="Y82" s="8">
        <v>0</v>
      </c>
    </row>
    <row r="83" spans="1:25" x14ac:dyDescent="0.45">
      <c r="A83" t="s">
        <v>69</v>
      </c>
      <c r="B83" s="8">
        <v>5726.5</v>
      </c>
      <c r="C83" s="8">
        <v>2027.3</v>
      </c>
      <c r="D83" s="8">
        <v>7622.6</v>
      </c>
      <c r="E83" s="8">
        <v>4086.5</v>
      </c>
      <c r="F83" s="8">
        <v>261.60000000000002</v>
      </c>
      <c r="G83" s="8">
        <v>3774.3</v>
      </c>
      <c r="H83" s="8">
        <v>1157</v>
      </c>
      <c r="I83" s="8">
        <v>0</v>
      </c>
      <c r="J83" s="8">
        <v>303.60000000000008</v>
      </c>
      <c r="K83" s="8">
        <v>0</v>
      </c>
      <c r="L83" s="8">
        <v>373.9</v>
      </c>
      <c r="M83" s="8">
        <v>3855.6</v>
      </c>
      <c r="N83" s="8">
        <v>0</v>
      </c>
      <c r="O83" s="8">
        <v>0</v>
      </c>
      <c r="P83" s="8">
        <v>519.40000000000009</v>
      </c>
      <c r="Q83" s="8">
        <v>0</v>
      </c>
      <c r="R83" s="8">
        <v>0</v>
      </c>
      <c r="S83" s="8">
        <v>0</v>
      </c>
      <c r="T83" s="8">
        <v>0</v>
      </c>
      <c r="U83" s="8">
        <v>0</v>
      </c>
      <c r="V83" s="8">
        <v>0</v>
      </c>
      <c r="W83" s="8">
        <v>0</v>
      </c>
      <c r="X83" s="8">
        <v>0</v>
      </c>
      <c r="Y83" s="8">
        <v>0</v>
      </c>
    </row>
    <row r="84" spans="1:25" x14ac:dyDescent="0.45">
      <c r="A84" t="s">
        <v>71</v>
      </c>
      <c r="B84" s="8">
        <v>3004</v>
      </c>
      <c r="C84" s="8">
        <v>175.3</v>
      </c>
      <c r="D84" s="8">
        <v>2483</v>
      </c>
      <c r="E84" s="8">
        <v>1657</v>
      </c>
      <c r="F84" s="8">
        <v>194.2</v>
      </c>
      <c r="G84" s="8">
        <v>4891.5</v>
      </c>
      <c r="H84" s="8">
        <v>1596.66</v>
      </c>
      <c r="I84" s="8">
        <v>0</v>
      </c>
      <c r="J84" s="8">
        <v>65.599999999999994</v>
      </c>
      <c r="K84" s="8">
        <v>0</v>
      </c>
      <c r="L84" s="8">
        <v>727.3</v>
      </c>
      <c r="M84" s="8">
        <v>2796.67</v>
      </c>
      <c r="N84" s="8">
        <v>0</v>
      </c>
      <c r="O84" s="8">
        <v>0</v>
      </c>
      <c r="P84" s="8">
        <v>527.29999999999995</v>
      </c>
      <c r="Q84" s="8">
        <v>0</v>
      </c>
      <c r="R84" s="8">
        <v>69.7</v>
      </c>
      <c r="S84" s="8">
        <v>0</v>
      </c>
      <c r="T84" s="8">
        <v>0</v>
      </c>
      <c r="U84" s="8">
        <v>0</v>
      </c>
      <c r="V84" s="8">
        <v>0</v>
      </c>
      <c r="W84" s="8">
        <v>0</v>
      </c>
      <c r="X84" s="8">
        <v>0</v>
      </c>
      <c r="Y84" s="8">
        <v>0</v>
      </c>
    </row>
    <row r="85" spans="1:25" x14ac:dyDescent="0.45">
      <c r="A85" t="s">
        <v>75</v>
      </c>
      <c r="B85" s="8">
        <v>8539.2000000000007</v>
      </c>
      <c r="C85" s="8">
        <v>185.99</v>
      </c>
      <c r="D85" s="8">
        <v>1889.2</v>
      </c>
      <c r="E85" s="8">
        <v>1190</v>
      </c>
      <c r="F85" s="8">
        <v>548.5</v>
      </c>
      <c r="G85" s="8">
        <v>2392.9</v>
      </c>
      <c r="H85" s="8">
        <v>468.77</v>
      </c>
      <c r="I85" s="8">
        <v>0</v>
      </c>
      <c r="J85" s="8">
        <v>14</v>
      </c>
      <c r="K85" s="8">
        <v>0</v>
      </c>
      <c r="L85" s="8">
        <v>1038.23</v>
      </c>
      <c r="M85" s="8">
        <v>3377.16</v>
      </c>
      <c r="N85" s="8">
        <v>0</v>
      </c>
      <c r="O85" s="8">
        <v>0</v>
      </c>
      <c r="P85" s="8">
        <v>117.1</v>
      </c>
      <c r="Q85" s="8">
        <v>0</v>
      </c>
      <c r="R85" s="8">
        <v>0</v>
      </c>
      <c r="S85" s="8">
        <v>0</v>
      </c>
      <c r="T85" s="8">
        <v>0</v>
      </c>
      <c r="U85" s="8">
        <v>0</v>
      </c>
      <c r="V85" s="8">
        <v>0</v>
      </c>
      <c r="W85" s="8">
        <v>0</v>
      </c>
      <c r="X85" s="8">
        <v>0</v>
      </c>
      <c r="Y85" s="8">
        <v>0</v>
      </c>
    </row>
    <row r="86" spans="1:25" x14ac:dyDescent="0.45">
      <c r="A86" t="s">
        <v>73</v>
      </c>
      <c r="B86" s="8">
        <v>1004</v>
      </c>
      <c r="C86" s="8">
        <v>1486.5</v>
      </c>
      <c r="D86" s="8">
        <v>8450.7000000000007</v>
      </c>
      <c r="E86" s="8">
        <v>1390.3</v>
      </c>
      <c r="F86" s="8">
        <v>0</v>
      </c>
      <c r="G86" s="8">
        <v>184.5</v>
      </c>
      <c r="H86" s="8">
        <v>1219.7</v>
      </c>
      <c r="I86" s="8">
        <v>0</v>
      </c>
      <c r="J86" s="8">
        <v>1.6</v>
      </c>
      <c r="K86" s="8">
        <v>0</v>
      </c>
      <c r="L86" s="8">
        <v>9</v>
      </c>
      <c r="M86" s="8">
        <v>1360.4</v>
      </c>
      <c r="N86" s="8">
        <v>440</v>
      </c>
      <c r="O86" s="8">
        <v>0</v>
      </c>
      <c r="P86" s="8">
        <v>362.9</v>
      </c>
      <c r="Q86" s="8">
        <v>0</v>
      </c>
      <c r="R86" s="8">
        <v>0</v>
      </c>
      <c r="S86" s="8">
        <v>0</v>
      </c>
      <c r="T86" s="8">
        <v>0</v>
      </c>
      <c r="U86" s="8">
        <v>0</v>
      </c>
      <c r="V86" s="8">
        <v>0</v>
      </c>
      <c r="W86" s="8">
        <v>0</v>
      </c>
      <c r="X86" s="8">
        <v>0</v>
      </c>
      <c r="Y86" s="8">
        <v>0</v>
      </c>
    </row>
    <row r="87" spans="1:25" x14ac:dyDescent="0.45">
      <c r="A87" t="s">
        <v>77</v>
      </c>
      <c r="B87" s="8">
        <v>1625</v>
      </c>
      <c r="C87" s="8">
        <v>0</v>
      </c>
      <c r="D87" s="8">
        <v>0</v>
      </c>
      <c r="E87" s="8">
        <v>0</v>
      </c>
      <c r="F87" s="8">
        <v>2833.98</v>
      </c>
      <c r="G87" s="8">
        <v>1889.62</v>
      </c>
      <c r="H87" s="8">
        <v>177</v>
      </c>
      <c r="I87" s="8">
        <v>0</v>
      </c>
      <c r="J87" s="8">
        <v>3.2</v>
      </c>
      <c r="K87" s="8">
        <v>0</v>
      </c>
      <c r="L87" s="8">
        <v>52</v>
      </c>
      <c r="M87" s="8">
        <v>553.6</v>
      </c>
      <c r="N87" s="8">
        <v>0</v>
      </c>
      <c r="O87" s="8">
        <v>0</v>
      </c>
      <c r="P87" s="8">
        <v>8</v>
      </c>
      <c r="Q87" s="8">
        <v>0</v>
      </c>
      <c r="R87" s="8">
        <v>0</v>
      </c>
      <c r="S87" s="8">
        <v>0</v>
      </c>
      <c r="T87" s="8">
        <v>0</v>
      </c>
      <c r="U87" s="8">
        <v>0</v>
      </c>
      <c r="V87" s="8">
        <v>0</v>
      </c>
      <c r="W87" s="8">
        <v>0</v>
      </c>
      <c r="X87" s="8">
        <v>0</v>
      </c>
      <c r="Y87" s="8">
        <v>0</v>
      </c>
    </row>
    <row r="88" spans="1:25" x14ac:dyDescent="0.45">
      <c r="A88" t="s">
        <v>90</v>
      </c>
      <c r="B88" s="8">
        <v>5561</v>
      </c>
      <c r="C88" s="8">
        <v>3248</v>
      </c>
      <c r="D88" s="8">
        <v>5579</v>
      </c>
      <c r="E88" s="8">
        <v>5149.6000000000004</v>
      </c>
      <c r="F88" s="8">
        <v>2005.8</v>
      </c>
      <c r="G88" s="8">
        <v>397</v>
      </c>
      <c r="H88" s="8">
        <v>6726.2000000000007</v>
      </c>
      <c r="I88" s="8">
        <v>0</v>
      </c>
      <c r="J88" s="8">
        <v>142.6</v>
      </c>
      <c r="K88" s="8">
        <v>0</v>
      </c>
      <c r="L88" s="8">
        <v>425.69999999999987</v>
      </c>
      <c r="M88" s="8">
        <v>6332.2999999999993</v>
      </c>
      <c r="N88" s="8">
        <v>0</v>
      </c>
      <c r="O88" s="8">
        <v>0</v>
      </c>
      <c r="P88" s="8">
        <v>543.6</v>
      </c>
      <c r="Q88" s="8">
        <v>0</v>
      </c>
      <c r="R88" s="8">
        <v>0</v>
      </c>
      <c r="S88" s="8">
        <v>0</v>
      </c>
      <c r="T88" s="8">
        <v>0</v>
      </c>
      <c r="U88" s="8">
        <v>0</v>
      </c>
      <c r="V88" s="8">
        <v>0</v>
      </c>
      <c r="W88" s="8">
        <v>0</v>
      </c>
      <c r="X88" s="8">
        <v>0</v>
      </c>
      <c r="Y88" s="8">
        <v>0</v>
      </c>
    </row>
    <row r="89" spans="1:25" x14ac:dyDescent="0.45">
      <c r="A89" t="s">
        <v>92</v>
      </c>
      <c r="B89" s="8">
        <v>1142.2</v>
      </c>
      <c r="C89" s="8">
        <v>96.9</v>
      </c>
      <c r="D89" s="8">
        <v>0</v>
      </c>
      <c r="E89" s="8">
        <v>0</v>
      </c>
      <c r="F89" s="8">
        <v>510</v>
      </c>
      <c r="G89" s="8">
        <v>4514</v>
      </c>
      <c r="H89" s="8">
        <v>0</v>
      </c>
      <c r="I89" s="8">
        <v>0</v>
      </c>
      <c r="J89" s="8">
        <v>0</v>
      </c>
      <c r="K89" s="8">
        <v>0</v>
      </c>
      <c r="L89" s="8">
        <v>54.61</v>
      </c>
      <c r="M89" s="8">
        <v>649.19999999999993</v>
      </c>
      <c r="N89" s="8">
        <v>2670.4</v>
      </c>
      <c r="O89" s="8">
        <v>0</v>
      </c>
      <c r="P89" s="8">
        <v>41</v>
      </c>
      <c r="Q89" s="8">
        <v>0</v>
      </c>
      <c r="R89" s="8">
        <v>0</v>
      </c>
      <c r="S89" s="8">
        <v>0</v>
      </c>
      <c r="T89" s="8">
        <v>0</v>
      </c>
      <c r="U89" s="8">
        <v>0</v>
      </c>
      <c r="V89" s="8">
        <v>0</v>
      </c>
      <c r="W89" s="8">
        <v>0</v>
      </c>
      <c r="X89" s="8">
        <v>0</v>
      </c>
      <c r="Y89" s="8">
        <v>0</v>
      </c>
    </row>
    <row r="90" spans="1:25" x14ac:dyDescent="0.45">
      <c r="A90" t="s">
        <v>79</v>
      </c>
      <c r="B90" s="8">
        <v>3756.9</v>
      </c>
      <c r="C90" s="8">
        <v>378.3</v>
      </c>
      <c r="D90" s="8">
        <v>338.9</v>
      </c>
      <c r="E90" s="8">
        <v>768.5</v>
      </c>
      <c r="F90" s="8">
        <v>278.7</v>
      </c>
      <c r="G90" s="8">
        <v>3516.9</v>
      </c>
      <c r="H90" s="8">
        <v>136.5</v>
      </c>
      <c r="I90" s="8">
        <v>0</v>
      </c>
      <c r="J90" s="8">
        <v>10.85</v>
      </c>
      <c r="K90" s="8">
        <v>0</v>
      </c>
      <c r="L90" s="8">
        <v>373.7</v>
      </c>
      <c r="M90" s="8">
        <v>1224.8</v>
      </c>
      <c r="N90" s="8">
        <v>0</v>
      </c>
      <c r="O90" s="8">
        <v>0</v>
      </c>
      <c r="P90" s="8">
        <v>79</v>
      </c>
      <c r="Q90" s="8">
        <v>0</v>
      </c>
      <c r="R90" s="8">
        <v>0</v>
      </c>
      <c r="S90" s="8">
        <v>0</v>
      </c>
      <c r="T90" s="8">
        <v>0</v>
      </c>
      <c r="U90" s="8">
        <v>0</v>
      </c>
      <c r="V90" s="8">
        <v>0</v>
      </c>
      <c r="W90" s="8">
        <v>0</v>
      </c>
      <c r="X90" s="8">
        <v>0</v>
      </c>
      <c r="Y90" s="8">
        <v>0</v>
      </c>
    </row>
    <row r="91" spans="1:25" x14ac:dyDescent="0.45">
      <c r="A91" t="s">
        <v>83</v>
      </c>
      <c r="B91" s="8">
        <v>533.9</v>
      </c>
      <c r="C91" s="8">
        <v>400.2</v>
      </c>
      <c r="D91" s="8">
        <v>1228.5</v>
      </c>
      <c r="E91" s="8">
        <v>1250</v>
      </c>
      <c r="F91" s="8">
        <v>505.80000000000013</v>
      </c>
      <c r="G91" s="8">
        <v>211.9</v>
      </c>
      <c r="H91" s="8">
        <v>2.4</v>
      </c>
      <c r="I91" s="8">
        <v>0</v>
      </c>
      <c r="J91" s="8">
        <v>205.9</v>
      </c>
      <c r="K91" s="8">
        <v>0</v>
      </c>
      <c r="L91" s="8">
        <v>82.1</v>
      </c>
      <c r="M91" s="8">
        <v>0</v>
      </c>
      <c r="N91" s="8">
        <v>0</v>
      </c>
      <c r="O91" s="8">
        <v>0</v>
      </c>
      <c r="P91" s="8">
        <v>23.6</v>
      </c>
      <c r="Q91" s="8">
        <v>0</v>
      </c>
      <c r="R91" s="8">
        <v>12</v>
      </c>
      <c r="S91" s="8">
        <v>0</v>
      </c>
      <c r="T91" s="8">
        <v>0</v>
      </c>
      <c r="U91" s="8">
        <v>0</v>
      </c>
      <c r="V91" s="8">
        <v>0</v>
      </c>
      <c r="W91" s="8">
        <v>0</v>
      </c>
      <c r="X91" s="8">
        <v>0</v>
      </c>
      <c r="Y91" s="8">
        <v>0</v>
      </c>
    </row>
    <row r="92" spans="1:25" x14ac:dyDescent="0.45">
      <c r="A92" t="s">
        <v>85</v>
      </c>
      <c r="B92" s="8">
        <v>0</v>
      </c>
      <c r="C92" s="8">
        <v>0</v>
      </c>
      <c r="D92" s="8">
        <v>8212.5</v>
      </c>
      <c r="E92" s="8">
        <v>3456.7</v>
      </c>
      <c r="F92" s="8">
        <v>12.3</v>
      </c>
      <c r="G92" s="8">
        <v>7.6</v>
      </c>
      <c r="H92" s="8">
        <v>1055.94</v>
      </c>
      <c r="I92" s="8">
        <v>0</v>
      </c>
      <c r="J92" s="8">
        <v>44.3</v>
      </c>
      <c r="K92" s="8">
        <v>0</v>
      </c>
      <c r="L92" s="8">
        <v>270</v>
      </c>
      <c r="M92" s="8">
        <v>2529.9</v>
      </c>
      <c r="N92" s="8">
        <v>0</v>
      </c>
      <c r="O92" s="8">
        <v>0</v>
      </c>
      <c r="P92" s="8">
        <v>433.14</v>
      </c>
      <c r="Q92" s="8">
        <v>0</v>
      </c>
      <c r="R92" s="8">
        <v>45</v>
      </c>
      <c r="S92" s="8">
        <v>0</v>
      </c>
      <c r="T92" s="8">
        <v>0</v>
      </c>
      <c r="U92" s="8">
        <v>0</v>
      </c>
      <c r="V92" s="8">
        <v>0</v>
      </c>
      <c r="W92" s="8">
        <v>0</v>
      </c>
      <c r="X92" s="8">
        <v>0</v>
      </c>
      <c r="Y92" s="8">
        <v>0</v>
      </c>
    </row>
    <row r="93" spans="1:25" x14ac:dyDescent="0.45">
      <c r="A93" t="s">
        <v>87</v>
      </c>
      <c r="B93" s="8">
        <v>1540</v>
      </c>
      <c r="C93" s="8">
        <v>721</v>
      </c>
      <c r="D93" s="8">
        <v>1429.4</v>
      </c>
      <c r="E93" s="8">
        <v>0</v>
      </c>
      <c r="F93" s="8">
        <v>82.699999999999989</v>
      </c>
      <c r="G93" s="8">
        <v>3995.5</v>
      </c>
      <c r="H93" s="8">
        <v>2321.9</v>
      </c>
      <c r="I93" s="8">
        <v>0</v>
      </c>
      <c r="J93" s="8">
        <v>6.4</v>
      </c>
      <c r="K93" s="8">
        <v>8.6</v>
      </c>
      <c r="L93" s="8">
        <v>17</v>
      </c>
      <c r="M93" s="8">
        <v>977.6</v>
      </c>
      <c r="N93" s="8">
        <v>0</v>
      </c>
      <c r="O93" s="8">
        <v>0</v>
      </c>
      <c r="P93" s="8">
        <v>98.300000000000011</v>
      </c>
      <c r="Q93" s="8">
        <v>0</v>
      </c>
      <c r="R93" s="8">
        <v>0</v>
      </c>
      <c r="S93" s="8">
        <v>0</v>
      </c>
      <c r="T93" s="8">
        <v>0</v>
      </c>
      <c r="U93" s="8">
        <v>0</v>
      </c>
      <c r="V93" s="8">
        <v>0</v>
      </c>
      <c r="W93" s="8">
        <v>0</v>
      </c>
      <c r="X93" s="8">
        <v>0</v>
      </c>
      <c r="Y93" s="8">
        <v>0</v>
      </c>
    </row>
    <row r="94" spans="1:25" x14ac:dyDescent="0.45">
      <c r="A94" t="s">
        <v>81</v>
      </c>
      <c r="B94" s="8">
        <v>740.4</v>
      </c>
      <c r="C94" s="8">
        <v>334</v>
      </c>
      <c r="D94" s="8">
        <v>5703</v>
      </c>
      <c r="E94" s="8">
        <v>0</v>
      </c>
      <c r="F94" s="8">
        <v>1051.7</v>
      </c>
      <c r="G94" s="8">
        <v>150</v>
      </c>
      <c r="H94" s="8">
        <v>4987</v>
      </c>
      <c r="I94" s="8">
        <v>178.5</v>
      </c>
      <c r="J94" s="8">
        <v>9.8000000000000007</v>
      </c>
      <c r="K94" s="8">
        <v>662.5</v>
      </c>
      <c r="L94" s="8">
        <v>6</v>
      </c>
      <c r="M94" s="8">
        <v>1621.6</v>
      </c>
      <c r="N94" s="8">
        <v>0</v>
      </c>
      <c r="O94" s="8">
        <v>0</v>
      </c>
      <c r="P94" s="8">
        <v>165.4</v>
      </c>
      <c r="Q94" s="8">
        <v>0</v>
      </c>
      <c r="R94" s="8">
        <v>0</v>
      </c>
      <c r="S94" s="8">
        <v>0</v>
      </c>
      <c r="T94" s="8">
        <v>0</v>
      </c>
      <c r="U94" s="8">
        <v>0</v>
      </c>
      <c r="V94" s="8">
        <v>0</v>
      </c>
      <c r="W94" s="8">
        <v>0</v>
      </c>
      <c r="X94" s="8">
        <v>0</v>
      </c>
      <c r="Y94" s="8">
        <v>0</v>
      </c>
    </row>
    <row r="95" spans="1:25" x14ac:dyDescent="0.45">
      <c r="A95" t="s">
        <v>88</v>
      </c>
      <c r="B95" s="8">
        <v>0</v>
      </c>
      <c r="C95" s="8">
        <v>9633.75</v>
      </c>
      <c r="D95" s="8">
        <v>9823.1</v>
      </c>
      <c r="E95" s="8">
        <v>3330.4</v>
      </c>
      <c r="F95" s="8">
        <v>4546.3</v>
      </c>
      <c r="G95" s="8">
        <v>2733.6</v>
      </c>
      <c r="H95" s="8">
        <v>2651.6</v>
      </c>
      <c r="I95" s="8">
        <v>0</v>
      </c>
      <c r="J95" s="8">
        <v>115.3</v>
      </c>
      <c r="K95" s="8">
        <v>0</v>
      </c>
      <c r="L95" s="8">
        <v>3245</v>
      </c>
      <c r="M95" s="8">
        <v>2396.48</v>
      </c>
      <c r="N95" s="8">
        <v>0</v>
      </c>
      <c r="O95" s="8">
        <v>130</v>
      </c>
      <c r="P95" s="8">
        <v>924.91000000000031</v>
      </c>
      <c r="Q95" s="8">
        <v>0</v>
      </c>
      <c r="R95" s="8">
        <v>51</v>
      </c>
      <c r="S95" s="8">
        <v>0</v>
      </c>
      <c r="T95" s="8">
        <v>0</v>
      </c>
      <c r="U95" s="8">
        <v>0</v>
      </c>
      <c r="V95" s="8">
        <v>0</v>
      </c>
      <c r="W95" s="8">
        <v>0</v>
      </c>
      <c r="X95" s="8">
        <v>0</v>
      </c>
      <c r="Y95" s="8">
        <v>0</v>
      </c>
    </row>
    <row r="96" spans="1:25" x14ac:dyDescent="0.45">
      <c r="A96" t="s">
        <v>94</v>
      </c>
      <c r="B96" s="8">
        <v>6620.5</v>
      </c>
      <c r="C96" s="8">
        <v>23</v>
      </c>
      <c r="D96" s="8">
        <v>10506.1</v>
      </c>
      <c r="E96" s="8">
        <v>2134</v>
      </c>
      <c r="F96" s="8">
        <v>101.9</v>
      </c>
      <c r="G96" s="8">
        <v>1063.3</v>
      </c>
      <c r="H96" s="8">
        <v>3226</v>
      </c>
      <c r="I96" s="8">
        <v>0</v>
      </c>
      <c r="J96" s="8">
        <v>41.7</v>
      </c>
      <c r="K96" s="8">
        <v>0</v>
      </c>
      <c r="L96" s="8">
        <v>630.1999999999997</v>
      </c>
      <c r="M96" s="8">
        <v>5741.9000000000005</v>
      </c>
      <c r="N96" s="8">
        <v>0</v>
      </c>
      <c r="O96" s="8">
        <v>0</v>
      </c>
      <c r="P96" s="8">
        <v>295.25</v>
      </c>
      <c r="Q96" s="8">
        <v>0</v>
      </c>
      <c r="R96" s="8">
        <v>0</v>
      </c>
      <c r="S96" s="8">
        <v>0</v>
      </c>
      <c r="T96" s="8">
        <v>0</v>
      </c>
      <c r="U96" s="8">
        <v>0</v>
      </c>
      <c r="V96" s="8">
        <v>0</v>
      </c>
      <c r="W96" s="8">
        <v>0</v>
      </c>
      <c r="X96" s="8">
        <v>0</v>
      </c>
      <c r="Y96" s="8">
        <v>0</v>
      </c>
    </row>
    <row r="97" spans="1:25" x14ac:dyDescent="0.45">
      <c r="A97" t="s">
        <v>96</v>
      </c>
      <c r="B97" s="8">
        <v>3258.9</v>
      </c>
      <c r="C97" s="8">
        <v>5320.5</v>
      </c>
      <c r="D97" s="8">
        <v>7299.7</v>
      </c>
      <c r="E97" s="8">
        <v>0</v>
      </c>
      <c r="F97" s="8">
        <v>832.40000000000009</v>
      </c>
      <c r="G97" s="8">
        <v>12748.2</v>
      </c>
      <c r="H97" s="8">
        <v>173.5</v>
      </c>
      <c r="I97" s="8">
        <v>0</v>
      </c>
      <c r="J97" s="8">
        <v>2.8</v>
      </c>
      <c r="K97" s="8">
        <v>0</v>
      </c>
      <c r="L97" s="8">
        <v>35.900000000000013</v>
      </c>
      <c r="M97" s="8">
        <v>1811.96</v>
      </c>
      <c r="N97" s="8">
        <v>0</v>
      </c>
      <c r="O97" s="8">
        <v>0</v>
      </c>
      <c r="P97" s="8">
        <v>170.9</v>
      </c>
      <c r="Q97" s="8">
        <v>0</v>
      </c>
      <c r="R97" s="8">
        <v>0</v>
      </c>
      <c r="S97" s="8">
        <v>0</v>
      </c>
      <c r="T97" s="8">
        <v>0</v>
      </c>
      <c r="U97" s="8">
        <v>0</v>
      </c>
      <c r="V97" s="8">
        <v>0</v>
      </c>
      <c r="W97" s="8">
        <v>0</v>
      </c>
      <c r="X97" s="8">
        <v>0</v>
      </c>
      <c r="Y97" s="8">
        <v>0</v>
      </c>
    </row>
    <row r="98" spans="1:25" x14ac:dyDescent="0.45">
      <c r="A98" t="s">
        <v>98</v>
      </c>
      <c r="B98" s="8">
        <v>0</v>
      </c>
      <c r="C98" s="8">
        <v>0</v>
      </c>
      <c r="D98" s="8">
        <v>3394.5</v>
      </c>
      <c r="E98" s="8">
        <v>0</v>
      </c>
      <c r="F98" s="8">
        <v>8264.14</v>
      </c>
      <c r="G98" s="8">
        <v>3970.4</v>
      </c>
      <c r="H98" s="8">
        <v>1051.7</v>
      </c>
      <c r="I98" s="8">
        <v>0</v>
      </c>
      <c r="J98" s="8">
        <v>85.6</v>
      </c>
      <c r="K98" s="8">
        <v>19.5</v>
      </c>
      <c r="L98" s="8">
        <v>0</v>
      </c>
      <c r="M98" s="8">
        <v>353.2</v>
      </c>
      <c r="N98" s="8">
        <v>0</v>
      </c>
      <c r="O98" s="8">
        <v>0</v>
      </c>
      <c r="P98" s="8">
        <v>219.1</v>
      </c>
      <c r="Q98" s="8">
        <v>0</v>
      </c>
      <c r="R98" s="8">
        <v>11.5</v>
      </c>
      <c r="S98" s="8">
        <v>0</v>
      </c>
      <c r="T98" s="8">
        <v>0</v>
      </c>
      <c r="U98" s="8">
        <v>0</v>
      </c>
      <c r="V98" s="8">
        <v>0</v>
      </c>
      <c r="W98" s="8">
        <v>0</v>
      </c>
      <c r="X98" s="8">
        <v>0</v>
      </c>
      <c r="Y98" s="8">
        <v>0</v>
      </c>
    </row>
    <row r="99" spans="1:25" x14ac:dyDescent="0.45">
      <c r="A99" t="s">
        <v>100</v>
      </c>
      <c r="B99" s="8">
        <v>5346.5</v>
      </c>
      <c r="C99" s="8">
        <v>5621.9000000000005</v>
      </c>
      <c r="D99" s="8">
        <v>18682.55</v>
      </c>
      <c r="E99" s="8">
        <v>9896</v>
      </c>
      <c r="F99" s="8">
        <v>929.5</v>
      </c>
      <c r="G99" s="8">
        <v>1552.6</v>
      </c>
      <c r="H99" s="8">
        <v>861</v>
      </c>
      <c r="I99" s="8">
        <v>0</v>
      </c>
      <c r="J99" s="8">
        <v>100.1</v>
      </c>
      <c r="K99" s="8">
        <v>0</v>
      </c>
      <c r="L99" s="8">
        <v>1319.2</v>
      </c>
      <c r="M99" s="8">
        <v>1933</v>
      </c>
      <c r="N99" s="8">
        <v>0</v>
      </c>
      <c r="O99" s="8">
        <v>0</v>
      </c>
      <c r="P99" s="8">
        <v>896.6</v>
      </c>
      <c r="Q99" s="8">
        <v>0</v>
      </c>
      <c r="R99" s="8">
        <v>170.6</v>
      </c>
      <c r="S99" s="8">
        <v>0</v>
      </c>
      <c r="T99" s="8">
        <v>0</v>
      </c>
      <c r="U99" s="8">
        <v>0</v>
      </c>
      <c r="V99" s="8">
        <v>0</v>
      </c>
      <c r="W99" s="8">
        <v>0</v>
      </c>
      <c r="X99" s="8">
        <v>0</v>
      </c>
      <c r="Y99" s="8">
        <v>0</v>
      </c>
    </row>
    <row r="100" spans="1:25" x14ac:dyDescent="0.45">
      <c r="A100" t="s">
        <v>102</v>
      </c>
      <c r="B100" s="8">
        <v>0</v>
      </c>
      <c r="C100" s="8">
        <v>0</v>
      </c>
      <c r="D100" s="8">
        <v>1735.2</v>
      </c>
      <c r="E100" s="8">
        <v>0</v>
      </c>
      <c r="F100" s="8">
        <v>2.7</v>
      </c>
      <c r="G100" s="8">
        <v>43.5</v>
      </c>
      <c r="H100" s="8">
        <v>418.5</v>
      </c>
      <c r="I100" s="8">
        <v>0</v>
      </c>
      <c r="J100" s="8">
        <v>40.1</v>
      </c>
      <c r="K100" s="8">
        <v>0</v>
      </c>
      <c r="L100" s="8">
        <v>7.1</v>
      </c>
      <c r="M100" s="8">
        <v>0</v>
      </c>
      <c r="N100" s="8">
        <v>0</v>
      </c>
      <c r="O100" s="8">
        <v>29.3</v>
      </c>
      <c r="P100" s="8">
        <v>42.3</v>
      </c>
      <c r="Q100" s="8">
        <v>0</v>
      </c>
      <c r="R100" s="8">
        <v>0</v>
      </c>
      <c r="S100" s="8">
        <v>0</v>
      </c>
      <c r="T100" s="8">
        <v>0</v>
      </c>
      <c r="U100" s="8">
        <v>0</v>
      </c>
      <c r="V100" s="8">
        <v>0</v>
      </c>
      <c r="W100" s="8">
        <v>0</v>
      </c>
      <c r="X100" s="8">
        <v>0</v>
      </c>
      <c r="Y100" s="8">
        <v>0</v>
      </c>
    </row>
    <row r="101" spans="1:25" x14ac:dyDescent="0.45">
      <c r="A101" t="s">
        <v>104</v>
      </c>
      <c r="B101" s="8">
        <v>4754</v>
      </c>
      <c r="C101" s="8">
        <v>760</v>
      </c>
      <c r="D101" s="8">
        <v>3252</v>
      </c>
      <c r="E101" s="8">
        <v>6600.2999999999993</v>
      </c>
      <c r="F101" s="8">
        <v>1293</v>
      </c>
      <c r="G101" s="8">
        <v>0</v>
      </c>
      <c r="H101" s="8">
        <v>1643.6</v>
      </c>
      <c r="I101" s="8">
        <v>0</v>
      </c>
      <c r="J101" s="8">
        <v>88.100000000000009</v>
      </c>
      <c r="K101" s="8">
        <v>0</v>
      </c>
      <c r="L101" s="8">
        <v>237.4</v>
      </c>
      <c r="M101" s="8">
        <v>2543.79</v>
      </c>
      <c r="N101" s="8">
        <v>0</v>
      </c>
      <c r="O101" s="8">
        <v>0</v>
      </c>
      <c r="P101" s="8">
        <v>409.3</v>
      </c>
      <c r="Q101" s="8">
        <v>0</v>
      </c>
      <c r="R101" s="8">
        <v>0</v>
      </c>
      <c r="S101" s="8">
        <v>0</v>
      </c>
      <c r="T101" s="8">
        <v>0</v>
      </c>
      <c r="U101" s="8">
        <v>0</v>
      </c>
      <c r="V101" s="8">
        <v>0</v>
      </c>
      <c r="W101" s="8">
        <v>0</v>
      </c>
      <c r="X101" s="8">
        <v>0</v>
      </c>
      <c r="Y101" s="8">
        <v>0</v>
      </c>
    </row>
    <row r="102" spans="1:25" x14ac:dyDescent="0.45">
      <c r="A102" t="s">
        <v>106</v>
      </c>
      <c r="B102" s="8">
        <v>477.28</v>
      </c>
      <c r="C102" s="8">
        <v>0</v>
      </c>
      <c r="D102" s="8">
        <v>295</v>
      </c>
      <c r="E102" s="8">
        <v>0</v>
      </c>
      <c r="F102" s="8">
        <v>1598</v>
      </c>
      <c r="G102" s="8">
        <v>3450.3</v>
      </c>
      <c r="H102" s="8">
        <v>209</v>
      </c>
      <c r="I102" s="8">
        <v>0</v>
      </c>
      <c r="J102" s="8">
        <v>0</v>
      </c>
      <c r="K102" s="8">
        <v>0</v>
      </c>
      <c r="L102" s="8">
        <v>207.35</v>
      </c>
      <c r="M102" s="8">
        <v>973.59000000000015</v>
      </c>
      <c r="N102" s="8">
        <v>0</v>
      </c>
      <c r="O102" s="8">
        <v>0</v>
      </c>
      <c r="P102" s="8">
        <v>14.6</v>
      </c>
      <c r="Q102" s="8">
        <v>0</v>
      </c>
      <c r="R102" s="8">
        <v>0</v>
      </c>
      <c r="S102" s="8">
        <v>0</v>
      </c>
      <c r="T102" s="8">
        <v>0</v>
      </c>
      <c r="U102" s="8">
        <v>0</v>
      </c>
      <c r="V102" s="8">
        <v>0</v>
      </c>
      <c r="W102" s="8">
        <v>0</v>
      </c>
      <c r="X102" s="8">
        <v>0</v>
      </c>
      <c r="Y102" s="8">
        <v>0</v>
      </c>
    </row>
    <row r="103" spans="1:25" x14ac:dyDescent="0.45">
      <c r="A103" t="s">
        <v>108</v>
      </c>
      <c r="B103" s="8">
        <v>4593</v>
      </c>
      <c r="C103" s="8">
        <v>0</v>
      </c>
      <c r="D103" s="8">
        <v>2455.1</v>
      </c>
      <c r="E103" s="8">
        <v>4522.7</v>
      </c>
      <c r="F103" s="8">
        <v>2608.6</v>
      </c>
      <c r="G103" s="8">
        <v>2.1</v>
      </c>
      <c r="H103" s="8">
        <v>594.95000000000005</v>
      </c>
      <c r="I103" s="8">
        <v>0</v>
      </c>
      <c r="J103" s="8">
        <v>14.2</v>
      </c>
      <c r="K103" s="8">
        <v>0</v>
      </c>
      <c r="L103" s="8">
        <v>470.4</v>
      </c>
      <c r="M103" s="8">
        <v>3325.599999999999</v>
      </c>
      <c r="N103" s="8">
        <v>0</v>
      </c>
      <c r="O103" s="8">
        <v>0</v>
      </c>
      <c r="P103" s="8">
        <v>402.2</v>
      </c>
      <c r="Q103" s="8">
        <v>0</v>
      </c>
      <c r="R103" s="8">
        <v>0</v>
      </c>
      <c r="S103" s="8">
        <v>0</v>
      </c>
      <c r="T103" s="8">
        <v>0</v>
      </c>
      <c r="U103" s="8">
        <v>0</v>
      </c>
      <c r="V103" s="8">
        <v>0</v>
      </c>
      <c r="W103" s="8">
        <v>0</v>
      </c>
      <c r="X103" s="8">
        <v>0</v>
      </c>
      <c r="Y103" s="8">
        <v>0</v>
      </c>
    </row>
    <row r="104" spans="1:25" x14ac:dyDescent="0.45">
      <c r="A104" t="s">
        <v>110</v>
      </c>
      <c r="B104" s="8">
        <v>13877.6</v>
      </c>
      <c r="C104" s="8">
        <v>15563.5</v>
      </c>
      <c r="D104" s="8">
        <v>39129.999999999993</v>
      </c>
      <c r="E104" s="8">
        <v>4980</v>
      </c>
      <c r="F104" s="8">
        <v>712.09999999999991</v>
      </c>
      <c r="G104" s="8">
        <v>41962.9</v>
      </c>
      <c r="H104" s="8">
        <v>22368.3</v>
      </c>
      <c r="I104" s="8">
        <v>0</v>
      </c>
      <c r="J104" s="8">
        <v>172.9</v>
      </c>
      <c r="K104" s="8">
        <v>0</v>
      </c>
      <c r="L104" s="8">
        <v>619.29999999999995</v>
      </c>
      <c r="M104" s="8">
        <v>10913.86</v>
      </c>
      <c r="N104" s="8">
        <v>2406</v>
      </c>
      <c r="O104" s="8">
        <v>0</v>
      </c>
      <c r="P104" s="8">
        <v>7686</v>
      </c>
      <c r="Q104" s="8">
        <v>0</v>
      </c>
      <c r="R104" s="8">
        <v>0</v>
      </c>
      <c r="S104" s="8">
        <v>0</v>
      </c>
      <c r="T104" s="8">
        <v>0</v>
      </c>
      <c r="U104" s="8">
        <v>0</v>
      </c>
      <c r="V104" s="8">
        <v>0</v>
      </c>
      <c r="W104" s="8">
        <v>0</v>
      </c>
      <c r="X104" s="8">
        <v>0</v>
      </c>
      <c r="Y104" s="8">
        <v>0</v>
      </c>
    </row>
    <row r="105" spans="1:25" x14ac:dyDescent="0.45">
      <c r="A105" t="s">
        <v>112</v>
      </c>
      <c r="B105" s="8">
        <v>4581</v>
      </c>
      <c r="C105" s="8">
        <v>237.5</v>
      </c>
      <c r="D105" s="8">
        <v>1830</v>
      </c>
      <c r="E105" s="8">
        <v>0</v>
      </c>
      <c r="F105" s="8">
        <v>246.7</v>
      </c>
      <c r="G105" s="8">
        <v>389.7</v>
      </c>
      <c r="H105" s="8">
        <v>2185.6999999999998</v>
      </c>
      <c r="I105" s="8">
        <v>0.1</v>
      </c>
      <c r="J105" s="8">
        <v>10.6</v>
      </c>
      <c r="K105" s="8">
        <v>70.7</v>
      </c>
      <c r="L105" s="8">
        <v>27.8</v>
      </c>
      <c r="M105" s="8">
        <v>552.20000000000005</v>
      </c>
      <c r="N105" s="8">
        <v>0</v>
      </c>
      <c r="O105" s="8">
        <v>0</v>
      </c>
      <c r="P105" s="8">
        <v>135.78</v>
      </c>
      <c r="Q105" s="8">
        <v>0</v>
      </c>
      <c r="R105" s="8">
        <v>0</v>
      </c>
      <c r="S105" s="8">
        <v>0</v>
      </c>
      <c r="T105" s="8">
        <v>0</v>
      </c>
      <c r="U105" s="8">
        <v>0</v>
      </c>
      <c r="V105" s="8">
        <v>0</v>
      </c>
      <c r="W105" s="8">
        <v>0</v>
      </c>
      <c r="X105" s="8">
        <v>0</v>
      </c>
      <c r="Y105" s="8">
        <v>0</v>
      </c>
    </row>
    <row r="106" spans="1:25" x14ac:dyDescent="0.45">
      <c r="A106" t="s">
        <v>116</v>
      </c>
      <c r="B106" s="8">
        <v>1487.1</v>
      </c>
      <c r="C106" s="8">
        <v>515</v>
      </c>
      <c r="D106" s="8">
        <v>8910.1</v>
      </c>
      <c r="E106" s="8">
        <v>3568</v>
      </c>
      <c r="F106" s="8">
        <v>864.1</v>
      </c>
      <c r="G106" s="8">
        <v>0</v>
      </c>
      <c r="H106" s="8">
        <v>4677.41</v>
      </c>
      <c r="I106" s="8">
        <v>0</v>
      </c>
      <c r="J106" s="8">
        <v>291.60000000000002</v>
      </c>
      <c r="K106" s="8">
        <v>0</v>
      </c>
      <c r="L106" s="8">
        <v>737.59999999999991</v>
      </c>
      <c r="M106" s="8">
        <v>4198</v>
      </c>
      <c r="N106" s="8">
        <v>0</v>
      </c>
      <c r="O106" s="8">
        <v>12</v>
      </c>
      <c r="P106" s="8">
        <v>561.93999999999994</v>
      </c>
      <c r="Q106" s="8">
        <v>0</v>
      </c>
      <c r="R106" s="8">
        <v>0</v>
      </c>
      <c r="S106" s="8">
        <v>0</v>
      </c>
      <c r="T106" s="8">
        <v>0</v>
      </c>
      <c r="U106" s="8">
        <v>0</v>
      </c>
      <c r="V106" s="8">
        <v>0</v>
      </c>
      <c r="W106" s="8">
        <v>0</v>
      </c>
      <c r="X106" s="8">
        <v>0</v>
      </c>
      <c r="Y106" s="8">
        <v>0</v>
      </c>
    </row>
    <row r="107" spans="1:25" x14ac:dyDescent="0.45">
      <c r="A107" t="s">
        <v>114</v>
      </c>
      <c r="B107" s="8">
        <v>0</v>
      </c>
      <c r="C107" s="8">
        <v>0</v>
      </c>
      <c r="D107" s="8">
        <v>0</v>
      </c>
      <c r="E107" s="8">
        <v>0</v>
      </c>
      <c r="F107" s="8">
        <v>330.99999999999989</v>
      </c>
      <c r="G107" s="8">
        <v>150.19999999999999</v>
      </c>
      <c r="H107" s="8">
        <v>155.19999999999999</v>
      </c>
      <c r="I107" s="8">
        <v>0</v>
      </c>
      <c r="J107" s="8">
        <v>79.5</v>
      </c>
      <c r="K107" s="8">
        <v>0</v>
      </c>
      <c r="L107" s="8">
        <v>126</v>
      </c>
      <c r="M107" s="8">
        <v>0</v>
      </c>
      <c r="N107" s="8">
        <v>0</v>
      </c>
      <c r="O107" s="8">
        <v>0</v>
      </c>
      <c r="P107" s="8">
        <v>0.7</v>
      </c>
      <c r="Q107" s="8">
        <v>0</v>
      </c>
      <c r="R107" s="8">
        <v>0</v>
      </c>
      <c r="S107" s="8">
        <v>0</v>
      </c>
      <c r="T107" s="8">
        <v>0</v>
      </c>
      <c r="U107" s="8">
        <v>0</v>
      </c>
      <c r="V107" s="8">
        <v>0</v>
      </c>
      <c r="W107" s="8">
        <v>0</v>
      </c>
      <c r="X107" s="8">
        <v>0</v>
      </c>
      <c r="Y107" s="8">
        <v>0</v>
      </c>
    </row>
    <row r="108" spans="1:25" x14ac:dyDescent="0.45">
      <c r="A108" t="s">
        <v>118</v>
      </c>
      <c r="B108" s="8">
        <v>670</v>
      </c>
      <c r="C108" s="8">
        <v>0</v>
      </c>
      <c r="D108" s="8">
        <v>2636.6</v>
      </c>
      <c r="E108" s="8">
        <v>1151</v>
      </c>
      <c r="F108" s="8">
        <v>21513</v>
      </c>
      <c r="G108" s="8">
        <v>3374.900000000001</v>
      </c>
      <c r="H108" s="8">
        <v>268.3</v>
      </c>
      <c r="I108" s="8">
        <v>0</v>
      </c>
      <c r="J108" s="8">
        <v>54.5</v>
      </c>
      <c r="K108" s="8">
        <v>0</v>
      </c>
      <c r="L108" s="8">
        <v>7.9</v>
      </c>
      <c r="M108" s="8">
        <v>623.79999999999995</v>
      </c>
      <c r="N108" s="8">
        <v>0</v>
      </c>
      <c r="O108" s="8">
        <v>0</v>
      </c>
      <c r="P108" s="8">
        <v>332.6</v>
      </c>
      <c r="Q108" s="8">
        <v>0</v>
      </c>
      <c r="R108" s="8">
        <v>22.7</v>
      </c>
      <c r="S108" s="8">
        <v>0</v>
      </c>
      <c r="T108" s="8">
        <v>0</v>
      </c>
      <c r="U108" s="8">
        <v>0</v>
      </c>
      <c r="V108" s="8">
        <v>0</v>
      </c>
      <c r="W108" s="8">
        <v>0</v>
      </c>
      <c r="X108" s="8">
        <v>0</v>
      </c>
      <c r="Y108" s="8">
        <v>0</v>
      </c>
    </row>
    <row r="109" spans="1:25" x14ac:dyDescent="0.45">
      <c r="A109" t="s">
        <v>122</v>
      </c>
      <c r="B109" s="8">
        <v>4701.8</v>
      </c>
      <c r="C109" s="8">
        <v>382.6</v>
      </c>
      <c r="D109" s="8">
        <v>3426.8</v>
      </c>
      <c r="E109" s="8">
        <v>1185.3</v>
      </c>
      <c r="F109" s="8">
        <v>391.99999999999977</v>
      </c>
      <c r="G109" s="8">
        <v>813.25</v>
      </c>
      <c r="H109" s="8">
        <v>2100.6</v>
      </c>
      <c r="I109" s="8">
        <v>0</v>
      </c>
      <c r="J109" s="8">
        <v>169.1</v>
      </c>
      <c r="K109" s="8">
        <v>0</v>
      </c>
      <c r="L109" s="8">
        <v>515.39999999999986</v>
      </c>
      <c r="M109" s="8">
        <v>3308.95</v>
      </c>
      <c r="N109" s="8">
        <v>0</v>
      </c>
      <c r="O109" s="8">
        <v>0</v>
      </c>
      <c r="P109" s="8">
        <v>412.58999999999992</v>
      </c>
      <c r="Q109" s="8">
        <v>0</v>
      </c>
      <c r="R109" s="8">
        <v>16</v>
      </c>
      <c r="S109" s="8">
        <v>0</v>
      </c>
      <c r="T109" s="8">
        <v>0</v>
      </c>
      <c r="U109" s="8">
        <v>0</v>
      </c>
      <c r="V109" s="8">
        <v>0</v>
      </c>
      <c r="W109" s="8">
        <v>0</v>
      </c>
      <c r="X109" s="8">
        <v>0</v>
      </c>
      <c r="Y109" s="8">
        <v>0</v>
      </c>
    </row>
    <row r="110" spans="1:25" x14ac:dyDescent="0.45">
      <c r="A110" t="s">
        <v>120</v>
      </c>
      <c r="B110" s="8">
        <v>12542.5</v>
      </c>
      <c r="C110" s="8">
        <v>0</v>
      </c>
      <c r="D110" s="8">
        <v>0</v>
      </c>
      <c r="E110" s="8">
        <v>0</v>
      </c>
      <c r="F110" s="8">
        <v>237.8</v>
      </c>
      <c r="G110" s="8">
        <v>855.2</v>
      </c>
      <c r="H110" s="8">
        <v>124.4</v>
      </c>
      <c r="I110" s="8">
        <v>0</v>
      </c>
      <c r="J110" s="8">
        <v>3.2</v>
      </c>
      <c r="K110" s="8">
        <v>0</v>
      </c>
      <c r="L110" s="8">
        <v>11</v>
      </c>
      <c r="M110" s="8">
        <v>1088.3</v>
      </c>
      <c r="N110" s="8">
        <v>0</v>
      </c>
      <c r="O110" s="8">
        <v>0</v>
      </c>
      <c r="P110" s="8">
        <v>218.5</v>
      </c>
      <c r="Q110" s="8">
        <v>0</v>
      </c>
      <c r="R110" s="8">
        <v>0</v>
      </c>
      <c r="S110" s="8">
        <v>0</v>
      </c>
      <c r="T110" s="8">
        <v>0</v>
      </c>
      <c r="U110" s="8">
        <v>0</v>
      </c>
      <c r="V110" s="8">
        <v>0</v>
      </c>
      <c r="W110" s="8">
        <v>0</v>
      </c>
      <c r="X110" s="8">
        <v>0</v>
      </c>
      <c r="Y110" s="8">
        <v>0</v>
      </c>
    </row>
    <row r="111" spans="1:25" x14ac:dyDescent="0.45">
      <c r="A111" t="s">
        <v>124</v>
      </c>
      <c r="B111" s="8">
        <v>4928</v>
      </c>
      <c r="C111" s="8">
        <v>1317</v>
      </c>
      <c r="D111" s="8">
        <v>94</v>
      </c>
      <c r="E111" s="8">
        <v>0</v>
      </c>
      <c r="F111" s="8">
        <v>307.10000000000002</v>
      </c>
      <c r="G111" s="8">
        <v>3603.9</v>
      </c>
      <c r="H111" s="8">
        <v>242</v>
      </c>
      <c r="I111" s="8">
        <v>0</v>
      </c>
      <c r="J111" s="8">
        <v>0</v>
      </c>
      <c r="K111" s="8">
        <v>0</v>
      </c>
      <c r="L111" s="8">
        <v>4.7</v>
      </c>
      <c r="M111" s="8">
        <v>145</v>
      </c>
      <c r="N111" s="8">
        <v>0</v>
      </c>
      <c r="O111" s="8">
        <v>0</v>
      </c>
      <c r="P111" s="8">
        <v>203.8</v>
      </c>
      <c r="Q111" s="8">
        <v>0</v>
      </c>
      <c r="R111" s="8">
        <v>0</v>
      </c>
      <c r="S111" s="8">
        <v>0</v>
      </c>
      <c r="T111" s="8">
        <v>0</v>
      </c>
      <c r="U111" s="8">
        <v>0</v>
      </c>
      <c r="V111" s="8">
        <v>0</v>
      </c>
      <c r="W111" s="8">
        <v>0</v>
      </c>
      <c r="X111" s="8">
        <v>0</v>
      </c>
      <c r="Y111" s="8">
        <v>0</v>
      </c>
    </row>
    <row r="113" spans="1:25" x14ac:dyDescent="0.45">
      <c r="A113" s="4" t="s">
        <v>424</v>
      </c>
    </row>
    <row r="114" spans="1:25" x14ac:dyDescent="0.45">
      <c r="A114" t="s">
        <v>425</v>
      </c>
      <c r="B114" s="9">
        <f t="shared" ref="B114:Y114" si="0">SUM(B64:B111)</f>
        <v>167137.15999999997</v>
      </c>
      <c r="C114" s="9">
        <f t="shared" si="0"/>
        <v>71978.44</v>
      </c>
      <c r="D114" s="9">
        <f t="shared" si="0"/>
        <v>283151.06</v>
      </c>
      <c r="E114" s="9">
        <f t="shared" si="0"/>
        <v>98391.2</v>
      </c>
      <c r="F114" s="9">
        <f t="shared" si="0"/>
        <v>79169.280000000013</v>
      </c>
      <c r="G114" s="9">
        <f t="shared" si="0"/>
        <v>151487.37000000005</v>
      </c>
      <c r="H114" s="9">
        <f t="shared" si="0"/>
        <v>120824.10999999999</v>
      </c>
      <c r="I114" s="9">
        <f t="shared" si="0"/>
        <v>1392</v>
      </c>
      <c r="J114" s="9">
        <f t="shared" si="0"/>
        <v>3846.1499999999996</v>
      </c>
      <c r="K114" s="9">
        <f t="shared" si="0"/>
        <v>2652.5</v>
      </c>
      <c r="L114" s="9">
        <f t="shared" si="0"/>
        <v>24502.870000000006</v>
      </c>
      <c r="M114" s="9">
        <f t="shared" si="0"/>
        <v>131180.47</v>
      </c>
      <c r="N114" s="9">
        <f t="shared" si="0"/>
        <v>5516.4</v>
      </c>
      <c r="O114" s="9">
        <f t="shared" si="0"/>
        <v>171.3</v>
      </c>
      <c r="P114" s="9">
        <f t="shared" si="0"/>
        <v>31349.389999999989</v>
      </c>
      <c r="Q114" s="9">
        <f t="shared" si="0"/>
        <v>0</v>
      </c>
      <c r="R114" s="9">
        <f t="shared" si="0"/>
        <v>979.10000000000014</v>
      </c>
      <c r="S114" s="9">
        <f t="shared" si="0"/>
        <v>0</v>
      </c>
      <c r="T114" s="9">
        <f t="shared" si="0"/>
        <v>0</v>
      </c>
      <c r="U114" s="9">
        <f t="shared" si="0"/>
        <v>0</v>
      </c>
      <c r="V114" s="9">
        <f t="shared" si="0"/>
        <v>0</v>
      </c>
      <c r="W114" s="9">
        <f t="shared" si="0"/>
        <v>0</v>
      </c>
      <c r="X114" s="9">
        <f t="shared" si="0"/>
        <v>0</v>
      </c>
      <c r="Y114" s="9">
        <f t="shared" si="0"/>
        <v>0</v>
      </c>
    </row>
    <row r="116" spans="1:25" x14ac:dyDescent="0.45">
      <c r="A116" s="4" t="s">
        <v>426</v>
      </c>
    </row>
    <row r="117" spans="1:25" x14ac:dyDescent="0.45">
      <c r="A117" s="4" t="s">
        <v>160</v>
      </c>
      <c r="B117" s="4" t="s">
        <v>427</v>
      </c>
      <c r="C117" s="4" t="s">
        <v>428</v>
      </c>
    </row>
    <row r="118" spans="1:25" x14ac:dyDescent="0.45">
      <c r="A118" t="s">
        <v>163</v>
      </c>
      <c r="B118" s="8">
        <f>INDEX($B$64:$B$111,MATCH(About!$B$2,$A$64:$A$111,0))</f>
        <v>1540</v>
      </c>
      <c r="C118" s="10">
        <f t="shared" ref="C118:C141" si="1">IF(B118&gt;0,1,0)</f>
        <v>1</v>
      </c>
    </row>
    <row r="119" spans="1:25" x14ac:dyDescent="0.45">
      <c r="A119" t="s">
        <v>165</v>
      </c>
      <c r="B119" s="8">
        <f>INDEX($C$64:$C$111,MATCH(About!$B$2,$A$64:$A$111,0))</f>
        <v>721</v>
      </c>
      <c r="C119" s="10">
        <f t="shared" si="1"/>
        <v>1</v>
      </c>
    </row>
    <row r="120" spans="1:25" x14ac:dyDescent="0.45">
      <c r="A120" t="s">
        <v>167</v>
      </c>
      <c r="B120" s="8">
        <f>INDEX($D$64:$D$111,MATCH(About!$B$2,$A$64:$A$111,0))</f>
        <v>1429.4</v>
      </c>
      <c r="C120" s="10">
        <f t="shared" si="1"/>
        <v>1</v>
      </c>
    </row>
    <row r="121" spans="1:25" x14ac:dyDescent="0.45">
      <c r="A121" t="s">
        <v>169</v>
      </c>
      <c r="B121" s="8">
        <f>INDEX($E$64:$E$111,MATCH(About!$B$2,$A$64:$A$111,0))</f>
        <v>0</v>
      </c>
      <c r="C121" s="10">
        <f t="shared" si="1"/>
        <v>0</v>
      </c>
    </row>
    <row r="122" spans="1:25" x14ac:dyDescent="0.45">
      <c r="A122" t="s">
        <v>171</v>
      </c>
      <c r="B122" s="8">
        <f>INDEX($F$64:$F$111,MATCH(About!$B$2,$A$64:$A$111,0))</f>
        <v>82.699999999999989</v>
      </c>
      <c r="C122" s="10">
        <f t="shared" si="1"/>
        <v>1</v>
      </c>
    </row>
    <row r="123" spans="1:25" x14ac:dyDescent="0.45">
      <c r="A123" t="s">
        <v>173</v>
      </c>
      <c r="B123" s="8">
        <f>INDEX($G$64:$G$111,MATCH(About!$B$2,$A$64:$A$111,0))</f>
        <v>3995.5</v>
      </c>
      <c r="C123" s="10">
        <f t="shared" si="1"/>
        <v>1</v>
      </c>
    </row>
    <row r="124" spans="1:25" x14ac:dyDescent="0.45">
      <c r="A124" t="s">
        <v>175</v>
      </c>
      <c r="B124" s="8">
        <f>INDEX($H$64:$H$111,MATCH(About!$B$2,$A$64:$A$111,0))</f>
        <v>2321.9</v>
      </c>
      <c r="C124" s="10">
        <f t="shared" si="1"/>
        <v>1</v>
      </c>
    </row>
    <row r="125" spans="1:25" x14ac:dyDescent="0.45">
      <c r="A125" t="s">
        <v>176</v>
      </c>
      <c r="B125" s="8">
        <f>INDEX($I$64:$I$111,MATCH(About!$B$2,$A$64:$A$111,0))</f>
        <v>0</v>
      </c>
      <c r="C125" s="10">
        <f t="shared" si="1"/>
        <v>0</v>
      </c>
    </row>
    <row r="126" spans="1:25" x14ac:dyDescent="0.45">
      <c r="A126" t="s">
        <v>177</v>
      </c>
      <c r="B126" s="8">
        <f>INDEX($J$64:$J$111,MATCH(About!$B$2,$A$64:$A$111,0))</f>
        <v>6.4</v>
      </c>
      <c r="C126" s="10">
        <f t="shared" si="1"/>
        <v>1</v>
      </c>
    </row>
    <row r="127" spans="1:25" x14ac:dyDescent="0.45">
      <c r="A127" t="s">
        <v>179</v>
      </c>
      <c r="B127" s="8">
        <f>INDEX($K$64:$K$111,MATCH(About!$B$2,$A$64:$A$111,0))</f>
        <v>8.6</v>
      </c>
      <c r="C127" s="10">
        <f t="shared" si="1"/>
        <v>1</v>
      </c>
    </row>
    <row r="128" spans="1:25" x14ac:dyDescent="0.45">
      <c r="A128" t="s">
        <v>180</v>
      </c>
      <c r="B128" s="8">
        <f>INDEX($L$64:$L$111,MATCH(About!$B$2,$A$64:$A$111,0))</f>
        <v>17</v>
      </c>
      <c r="C128" s="10">
        <f t="shared" si="1"/>
        <v>1</v>
      </c>
    </row>
    <row r="129" spans="1:3" x14ac:dyDescent="0.45">
      <c r="A129" t="s">
        <v>182</v>
      </c>
      <c r="B129" s="8">
        <f>INDEX($M$64:$M$111,MATCH(About!$B$2,$A$64:$A$111,0))</f>
        <v>977.6</v>
      </c>
      <c r="C129" s="10">
        <f t="shared" si="1"/>
        <v>1</v>
      </c>
    </row>
    <row r="130" spans="1:3" x14ac:dyDescent="0.45">
      <c r="A130" t="s">
        <v>184</v>
      </c>
      <c r="B130" s="8">
        <f>INDEX($N$64:$N$111,MATCH(About!$B$2,$A$64:$A$111,0))</f>
        <v>0</v>
      </c>
      <c r="C130" s="10">
        <f t="shared" si="1"/>
        <v>0</v>
      </c>
    </row>
    <row r="131" spans="1:3" x14ac:dyDescent="0.45">
      <c r="A131" t="s">
        <v>186</v>
      </c>
      <c r="B131" s="8">
        <f>INDEX($O$64:$O$111,MATCH(About!$B$2,$A$64:$A$111,0))</f>
        <v>0</v>
      </c>
      <c r="C131" s="10">
        <f t="shared" si="1"/>
        <v>0</v>
      </c>
    </row>
    <row r="132" spans="1:3" x14ac:dyDescent="0.45">
      <c r="A132" t="s">
        <v>187</v>
      </c>
      <c r="B132" s="8">
        <f>INDEX($P$64:$P$111,MATCH(About!$B$2,$A$64:$A$111,0))</f>
        <v>98.300000000000011</v>
      </c>
      <c r="C132" s="10">
        <f t="shared" si="1"/>
        <v>1</v>
      </c>
    </row>
    <row r="133" spans="1:3" x14ac:dyDescent="0.45">
      <c r="A133" t="s">
        <v>188</v>
      </c>
      <c r="B133" s="8">
        <f>INDEX($Q$64:$Q$111,MATCH(About!$B$2,$A$64:$A$111,0))</f>
        <v>0</v>
      </c>
      <c r="C133" s="10">
        <f t="shared" si="1"/>
        <v>0</v>
      </c>
    </row>
    <row r="134" spans="1:3" x14ac:dyDescent="0.45">
      <c r="A134" t="s">
        <v>190</v>
      </c>
      <c r="B134" s="8">
        <f>INDEX($R$64:$R$111,MATCH(About!$B$2,$A$64:$A$111,0))</f>
        <v>0</v>
      </c>
      <c r="C134" s="10">
        <f t="shared" si="1"/>
        <v>0</v>
      </c>
    </row>
    <row r="135" spans="1:3" x14ac:dyDescent="0.45">
      <c r="A135" t="s">
        <v>191</v>
      </c>
      <c r="B135" s="8">
        <f>INDEX($S$64:$S$111,MATCH(About!$B$2,$A$64:$A$111,0))</f>
        <v>0</v>
      </c>
      <c r="C135" s="10">
        <f t="shared" si="1"/>
        <v>0</v>
      </c>
    </row>
    <row r="136" spans="1:3" x14ac:dyDescent="0.45">
      <c r="A136" t="s">
        <v>193</v>
      </c>
      <c r="B136" s="8">
        <f>INDEX($T$64:$T$111,MATCH(About!$B$2,$A$64:$A$111,0))</f>
        <v>0</v>
      </c>
      <c r="C136" s="10">
        <f t="shared" si="1"/>
        <v>0</v>
      </c>
    </row>
    <row r="137" spans="1:3" x14ac:dyDescent="0.45">
      <c r="A137" t="s">
        <v>194</v>
      </c>
      <c r="B137" s="8">
        <f>INDEX($U$64:$U$111,MATCH(About!$B$2,$A$64:$A$111,0))</f>
        <v>0</v>
      </c>
      <c r="C137" s="10">
        <f t="shared" si="1"/>
        <v>0</v>
      </c>
    </row>
    <row r="138" spans="1:3" x14ac:dyDescent="0.45">
      <c r="A138" t="s">
        <v>196</v>
      </c>
      <c r="B138" s="8">
        <f>INDEX($V$64:$V$111,MATCH(About!$B$2,$A$64:$A$111,0))</f>
        <v>0</v>
      </c>
      <c r="C138" s="10">
        <f t="shared" si="1"/>
        <v>0</v>
      </c>
    </row>
    <row r="139" spans="1:3" x14ac:dyDescent="0.45">
      <c r="A139" t="s">
        <v>197</v>
      </c>
      <c r="B139" s="8">
        <f>INDEX($W$64:$W$111,MATCH(About!$B$2,$A$64:$A$111,0))</f>
        <v>0</v>
      </c>
      <c r="C139" s="10">
        <f t="shared" si="1"/>
        <v>0</v>
      </c>
    </row>
    <row r="140" spans="1:3" x14ac:dyDescent="0.45">
      <c r="A140" t="s">
        <v>199</v>
      </c>
      <c r="B140" s="8">
        <f>INDEX($X$64:$X$111,MATCH(About!$B$2,$A$64:$A$111,0))</f>
        <v>0</v>
      </c>
      <c r="C140" s="10">
        <f t="shared" si="1"/>
        <v>0</v>
      </c>
    </row>
    <row r="141" spans="1:3" x14ac:dyDescent="0.45">
      <c r="A141" t="s">
        <v>201</v>
      </c>
      <c r="B141" s="8">
        <f>INDEX($Y$64:$Y$111,MATCH(About!$B$2,$A$64:$A$111,0))</f>
        <v>0</v>
      </c>
      <c r="C141" s="10">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25"/>
  <sheetViews>
    <sheetView workbookViewId="0">
      <pane xSplit="1" ySplit="1" topLeftCell="B2" activePane="bottomRight" state="frozen"/>
      <selection pane="topRight"/>
      <selection pane="bottomLeft"/>
      <selection pane="bottomRight"/>
    </sheetView>
  </sheetViews>
  <sheetFormatPr defaultRowHeight="14.25" x14ac:dyDescent="0.45"/>
  <cols>
    <col min="1" max="1" width="34" customWidth="1"/>
  </cols>
  <sheetData>
    <row r="1" spans="1:31" x14ac:dyDescent="0.45">
      <c r="A1" t="s">
        <v>429</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45">
      <c r="A2" t="s">
        <v>163</v>
      </c>
      <c r="B2" s="11">
        <v>0</v>
      </c>
      <c r="C2" s="11">
        <v>0</v>
      </c>
      <c r="D2" s="11">
        <v>0</v>
      </c>
      <c r="E2" s="11">
        <v>0</v>
      </c>
      <c r="F2" s="12">
        <f>IFERROR(INDEX(Keys!$J$2:$J$21,MATCH(About!$B$2&amp;"|"&amp;$A2,Keys!$I$2:$I$21,0)),IFERROR(INDEX(Tuned!$C$2:$C$100,MATCH(About!$B$2&amp;"|"&amp;$A2,Tuned!$D$2:$D$100,0)),INDEX(Defaults!$B$2:$B$25,MATCH($A2,Defaults!$A$2:$A$25,0))))*INDEX(Fleet!$C$118:$C$141,MATCH($A2,Fleet!$A$118:$A$141,0))</f>
        <v>0.95341200000000004</v>
      </c>
      <c r="G2" s="11">
        <v>0</v>
      </c>
      <c r="H2" s="11">
        <v>0</v>
      </c>
      <c r="I2" s="11">
        <v>0</v>
      </c>
      <c r="J2" s="11">
        <v>0</v>
      </c>
      <c r="K2" s="11">
        <v>0</v>
      </c>
      <c r="L2" s="11">
        <v>0</v>
      </c>
      <c r="M2" s="11">
        <v>0</v>
      </c>
      <c r="N2" s="11">
        <v>0</v>
      </c>
      <c r="O2" s="11">
        <v>0</v>
      </c>
      <c r="P2" s="11">
        <v>0</v>
      </c>
      <c r="Q2" s="11">
        <v>0</v>
      </c>
      <c r="R2" s="11">
        <v>0</v>
      </c>
      <c r="S2" s="11">
        <v>0</v>
      </c>
      <c r="T2" s="11">
        <v>0</v>
      </c>
      <c r="U2" s="11">
        <v>0</v>
      </c>
      <c r="V2" s="11">
        <v>0</v>
      </c>
      <c r="W2" s="11">
        <v>0</v>
      </c>
      <c r="X2" s="11">
        <v>0</v>
      </c>
      <c r="Y2" s="11">
        <v>0</v>
      </c>
      <c r="Z2" s="11">
        <v>0</v>
      </c>
      <c r="AA2" s="11">
        <v>0</v>
      </c>
      <c r="AB2" s="11">
        <v>0</v>
      </c>
      <c r="AC2" s="11">
        <v>0</v>
      </c>
      <c r="AD2" s="11">
        <v>0</v>
      </c>
      <c r="AE2" s="11">
        <v>0</v>
      </c>
    </row>
    <row r="3" spans="1:31" x14ac:dyDescent="0.45">
      <c r="A3" t="s">
        <v>165</v>
      </c>
      <c r="B3" s="11">
        <v>0</v>
      </c>
      <c r="C3" s="11">
        <v>0</v>
      </c>
      <c r="D3" s="11">
        <v>0</v>
      </c>
      <c r="E3" s="11">
        <v>0</v>
      </c>
      <c r="F3" s="12">
        <f>IFERROR(INDEX(Keys!$J$2:$J$21,MATCH(About!$B$2&amp;"|"&amp;$A3,Keys!$I$2:$I$21,0)),IFERROR(INDEX(Tuned!$C$2:$C$100,MATCH(About!$B$2&amp;"|"&amp;$A3,Tuned!$D$2:$D$100,0)),INDEX(Defaults!$B$2:$B$25,MATCH($A3,Defaults!$A$2:$A$25,0))))*INDEX(Fleet!$C$118:$C$141,MATCH($A3,Fleet!$A$118:$A$141,0))</f>
        <v>0</v>
      </c>
      <c r="G3" s="11">
        <v>0</v>
      </c>
      <c r="H3" s="11">
        <v>0</v>
      </c>
      <c r="I3" s="11">
        <v>0</v>
      </c>
      <c r="J3" s="11">
        <v>0</v>
      </c>
      <c r="K3" s="11">
        <v>0</v>
      </c>
      <c r="L3" s="11">
        <v>0</v>
      </c>
      <c r="M3" s="11">
        <v>0</v>
      </c>
      <c r="N3" s="11">
        <v>0</v>
      </c>
      <c r="O3" s="11">
        <v>0</v>
      </c>
      <c r="P3" s="11">
        <v>0</v>
      </c>
      <c r="Q3" s="11">
        <v>0</v>
      </c>
      <c r="R3" s="11">
        <v>0</v>
      </c>
      <c r="S3" s="11">
        <v>0</v>
      </c>
      <c r="T3" s="11">
        <v>0</v>
      </c>
      <c r="U3" s="11">
        <v>0</v>
      </c>
      <c r="V3" s="11">
        <v>0</v>
      </c>
      <c r="W3" s="11">
        <v>0</v>
      </c>
      <c r="X3" s="11">
        <v>0</v>
      </c>
      <c r="Y3" s="11">
        <v>0</v>
      </c>
      <c r="Z3" s="11">
        <v>0</v>
      </c>
      <c r="AA3" s="11">
        <v>0</v>
      </c>
      <c r="AB3" s="11">
        <v>0</v>
      </c>
      <c r="AC3" s="11">
        <v>0</v>
      </c>
      <c r="AD3" s="11">
        <v>0</v>
      </c>
      <c r="AE3" s="11">
        <v>0</v>
      </c>
    </row>
    <row r="4" spans="1:31" x14ac:dyDescent="0.45">
      <c r="A4" t="s">
        <v>167</v>
      </c>
      <c r="B4" s="11">
        <v>0</v>
      </c>
      <c r="C4" s="11">
        <v>0</v>
      </c>
      <c r="D4" s="11">
        <v>0</v>
      </c>
      <c r="E4" s="11">
        <v>0</v>
      </c>
      <c r="F4" s="12">
        <f>IFERROR(INDEX(Keys!$J$2:$J$21,MATCH(About!$B$2&amp;"|"&amp;$A4,Keys!$I$2:$I$21,0)),IFERROR(INDEX(Tuned!$C$2:$C$100,MATCH(About!$B$2&amp;"|"&amp;$A4,Tuned!$D$2:$D$100,0)),INDEX(Defaults!$B$2:$B$25,MATCH($A4,Defaults!$A$2:$A$25,0))))*INDEX(Fleet!$C$118:$C$141,MATCH($A4,Fleet!$A$118:$A$141,0))</f>
        <v>0</v>
      </c>
      <c r="G4" s="11">
        <v>0</v>
      </c>
      <c r="H4" s="11">
        <v>0</v>
      </c>
      <c r="I4" s="11">
        <v>0</v>
      </c>
      <c r="J4" s="11">
        <v>0</v>
      </c>
      <c r="K4" s="11">
        <v>0</v>
      </c>
      <c r="L4" s="11">
        <v>0</v>
      </c>
      <c r="M4" s="11">
        <v>0</v>
      </c>
      <c r="N4" s="11">
        <v>0</v>
      </c>
      <c r="O4" s="11">
        <v>0</v>
      </c>
      <c r="P4" s="11">
        <v>0</v>
      </c>
      <c r="Q4" s="11">
        <v>0</v>
      </c>
      <c r="R4" s="11">
        <v>0</v>
      </c>
      <c r="S4" s="11">
        <v>0</v>
      </c>
      <c r="T4" s="11">
        <v>0</v>
      </c>
      <c r="U4" s="11">
        <v>0</v>
      </c>
      <c r="V4" s="11">
        <v>0</v>
      </c>
      <c r="W4" s="11">
        <v>0</v>
      </c>
      <c r="X4" s="11">
        <v>0</v>
      </c>
      <c r="Y4" s="11">
        <v>0</v>
      </c>
      <c r="Z4" s="11">
        <v>0</v>
      </c>
      <c r="AA4" s="11">
        <v>0</v>
      </c>
      <c r="AB4" s="11">
        <v>0</v>
      </c>
      <c r="AC4" s="11">
        <v>0</v>
      </c>
      <c r="AD4" s="11">
        <v>0</v>
      </c>
      <c r="AE4" s="11">
        <v>0</v>
      </c>
    </row>
    <row r="5" spans="1:31" x14ac:dyDescent="0.45">
      <c r="A5" t="s">
        <v>169</v>
      </c>
      <c r="B5" s="11">
        <f>IFERROR(INDEX(Tuned!$C$2:$C$100,MATCH(About!$B$2&amp;"|"&amp;$A5,Tuned!$D$2:$D$100,0)),INDEX(Defaults!$B$2:$B$25,MATCH($A5,Defaults!$A$2:$A$25,0)))</f>
        <v>1</v>
      </c>
      <c r="C5" s="11">
        <f t="shared" ref="C5:AE5" si="0">$B5</f>
        <v>1</v>
      </c>
      <c r="D5" s="11">
        <f t="shared" si="0"/>
        <v>1</v>
      </c>
      <c r="E5" s="11">
        <f t="shared" si="0"/>
        <v>1</v>
      </c>
      <c r="F5" s="11">
        <f t="shared" si="0"/>
        <v>1</v>
      </c>
      <c r="G5" s="11">
        <f t="shared" si="0"/>
        <v>1</v>
      </c>
      <c r="H5" s="11">
        <f t="shared" si="0"/>
        <v>1</v>
      </c>
      <c r="I5" s="11">
        <f t="shared" si="0"/>
        <v>1</v>
      </c>
      <c r="J5" s="11">
        <f t="shared" si="0"/>
        <v>1</v>
      </c>
      <c r="K5" s="11">
        <f t="shared" si="0"/>
        <v>1</v>
      </c>
      <c r="L5" s="11">
        <f t="shared" si="0"/>
        <v>1</v>
      </c>
      <c r="M5" s="11">
        <f t="shared" si="0"/>
        <v>1</v>
      </c>
      <c r="N5" s="11">
        <f t="shared" si="0"/>
        <v>1</v>
      </c>
      <c r="O5" s="11">
        <f t="shared" si="0"/>
        <v>1</v>
      </c>
      <c r="P5" s="11">
        <f t="shared" si="0"/>
        <v>1</v>
      </c>
      <c r="Q5" s="11">
        <f t="shared" si="0"/>
        <v>1</v>
      </c>
      <c r="R5" s="11">
        <f t="shared" si="0"/>
        <v>1</v>
      </c>
      <c r="S5" s="11">
        <f t="shared" si="0"/>
        <v>1</v>
      </c>
      <c r="T5" s="11">
        <f t="shared" si="0"/>
        <v>1</v>
      </c>
      <c r="U5" s="11">
        <f t="shared" si="0"/>
        <v>1</v>
      </c>
      <c r="V5" s="11">
        <f t="shared" si="0"/>
        <v>1</v>
      </c>
      <c r="W5" s="11">
        <f t="shared" si="0"/>
        <v>1</v>
      </c>
      <c r="X5" s="11">
        <f t="shared" si="0"/>
        <v>1</v>
      </c>
      <c r="Y5" s="11">
        <f t="shared" si="0"/>
        <v>1</v>
      </c>
      <c r="Z5" s="11">
        <f t="shared" si="0"/>
        <v>1</v>
      </c>
      <c r="AA5" s="11">
        <f t="shared" si="0"/>
        <v>1</v>
      </c>
      <c r="AB5" s="11">
        <f t="shared" si="0"/>
        <v>1</v>
      </c>
      <c r="AC5" s="11">
        <f t="shared" si="0"/>
        <v>1</v>
      </c>
      <c r="AD5" s="11">
        <f t="shared" si="0"/>
        <v>1</v>
      </c>
      <c r="AE5" s="11">
        <f t="shared" si="0"/>
        <v>1</v>
      </c>
    </row>
    <row r="6" spans="1:31" x14ac:dyDescent="0.45">
      <c r="A6" t="s">
        <v>171</v>
      </c>
      <c r="B6" s="11">
        <f>IF(About!$B$2=Keys!$C$2,INDEX(Keys!$G$2:$G$31,MATCH(B$1,Keys!$F$2:$F$31,0)),MIN(IFERROR(INDEX(Tuned!$C$2:$C$100,MATCH(About!$B$2&amp;"|"&amp;$A6,Tuned!$D$2:$D$100,0)),INDEX(Defaults!$B$2:$B$25,MATCH($A6,Defaults!$A$2:$A$25,0))),Keys!$C$3))</f>
        <v>0.9</v>
      </c>
      <c r="C6" s="12">
        <f>IF(About!$B$2=Keys!$C$2,INDEX(Keys!$G$2:$G$31,MATCH(C$1,Keys!$F$2:$F$31,0)),IF(C$1=Keys!$C$4,IFERROR(INDEX(Keys!$J$2:$J$21,MATCH(About!$B$2&amp;"|"&amp;$A6,Keys!$I$2:$I$21,0)),$B6),$B6))</f>
        <v>0.9</v>
      </c>
      <c r="D6" s="12">
        <f>IF(About!$B$2=Keys!$C$2,INDEX(Keys!$G$2:$G$31,MATCH(D$1,Keys!$F$2:$F$31,0)),IF(D$1=Keys!$C$4,IFERROR(INDEX(Keys!$J$2:$J$21,MATCH(About!$B$2&amp;"|"&amp;$A6,Keys!$I$2:$I$21,0)),$B6),$B6))</f>
        <v>0.9</v>
      </c>
      <c r="E6" s="12">
        <f>IF(About!$B$2=Keys!$C$2,INDEX(Keys!$G$2:$G$31,MATCH(E$1,Keys!$F$2:$F$31,0)),IF(E$1=Keys!$C$4,IFERROR(INDEX(Keys!$J$2:$J$21,MATCH(About!$B$2&amp;"|"&amp;$A6,Keys!$I$2:$I$21,0)),$B6),$B6))</f>
        <v>0.9</v>
      </c>
      <c r="F6" s="12">
        <f>IF(About!$B$2=Keys!$C$2,INDEX(Keys!$G$2:$G$31,MATCH(F$1,Keys!$F$2:$F$31,0)),IF(F$1=Keys!$C$4,IFERROR(INDEX(Keys!$J$2:$J$21,MATCH(About!$B$2&amp;"|"&amp;$A6,Keys!$I$2:$I$21,0)),$B6),$B6))</f>
        <v>0.9</v>
      </c>
      <c r="G6" s="12">
        <f>IF(About!$B$2=Keys!$C$2,INDEX(Keys!$G$2:$G$31,MATCH(G$1,Keys!$F$2:$F$31,0)),IF(G$1=Keys!$C$4,IFERROR(INDEX(Keys!$J$2:$J$21,MATCH(About!$B$2&amp;"|"&amp;$A6,Keys!$I$2:$I$21,0)),$B6),$B6))</f>
        <v>0.9</v>
      </c>
      <c r="H6" s="12">
        <f>IF(About!$B$2=Keys!$C$2,INDEX(Keys!$G$2:$G$31,MATCH(H$1,Keys!$F$2:$F$31,0)),IF(H$1=Keys!$C$4,IFERROR(INDEX(Keys!$J$2:$J$21,MATCH(About!$B$2&amp;"|"&amp;$A6,Keys!$I$2:$I$21,0)),$B6),$B6))</f>
        <v>0.9</v>
      </c>
      <c r="I6" s="12">
        <f>IF(About!$B$2=Keys!$C$2,INDEX(Keys!$G$2:$G$31,MATCH(I$1,Keys!$F$2:$F$31,0)),IF(I$1=Keys!$C$4,IFERROR(INDEX(Keys!$J$2:$J$21,MATCH(About!$B$2&amp;"|"&amp;$A6,Keys!$I$2:$I$21,0)),$B6),$B6))</f>
        <v>0.9</v>
      </c>
      <c r="J6" s="12">
        <f>IF(About!$B$2=Keys!$C$2,INDEX(Keys!$G$2:$G$31,MATCH(J$1,Keys!$F$2:$F$31,0)),IF(J$1=Keys!$C$4,IFERROR(INDEX(Keys!$J$2:$J$21,MATCH(About!$B$2&amp;"|"&amp;$A6,Keys!$I$2:$I$21,0)),$B6),$B6))</f>
        <v>0.9</v>
      </c>
      <c r="K6" s="12">
        <f>IF(About!$B$2=Keys!$C$2,INDEX(Keys!$G$2:$G$31,MATCH(K$1,Keys!$F$2:$F$31,0)),IF(K$1=Keys!$C$4,IFERROR(INDEX(Keys!$J$2:$J$21,MATCH(About!$B$2&amp;"|"&amp;$A6,Keys!$I$2:$I$21,0)),$B6),$B6))</f>
        <v>0.9</v>
      </c>
      <c r="L6" s="12">
        <f>IF(About!$B$2=Keys!$C$2,INDEX(Keys!$G$2:$G$31,MATCH(L$1,Keys!$F$2:$F$31,0)),IF(L$1=Keys!$C$4,IFERROR(INDEX(Keys!$J$2:$J$21,MATCH(About!$B$2&amp;"|"&amp;$A6,Keys!$I$2:$I$21,0)),$B6),$B6))</f>
        <v>0.9</v>
      </c>
      <c r="M6" s="12">
        <f>IF(About!$B$2=Keys!$C$2,INDEX(Keys!$G$2:$G$31,MATCH(M$1,Keys!$F$2:$F$31,0)),IF(M$1=Keys!$C$4,IFERROR(INDEX(Keys!$J$2:$J$21,MATCH(About!$B$2&amp;"|"&amp;$A6,Keys!$I$2:$I$21,0)),$B6),$B6))</f>
        <v>0.9</v>
      </c>
      <c r="N6" s="12">
        <f>IF(About!$B$2=Keys!$C$2,INDEX(Keys!$G$2:$G$31,MATCH(N$1,Keys!$F$2:$F$31,0)),IF(N$1=Keys!$C$4,IFERROR(INDEX(Keys!$J$2:$J$21,MATCH(About!$B$2&amp;"|"&amp;$A6,Keys!$I$2:$I$21,0)),$B6),$B6))</f>
        <v>0.9</v>
      </c>
      <c r="O6" s="12">
        <f>IF(About!$B$2=Keys!$C$2,INDEX(Keys!$G$2:$G$31,MATCH(O$1,Keys!$F$2:$F$31,0)),IF(O$1=Keys!$C$4,IFERROR(INDEX(Keys!$J$2:$J$21,MATCH(About!$B$2&amp;"|"&amp;$A6,Keys!$I$2:$I$21,0)),$B6),$B6))</f>
        <v>0.9</v>
      </c>
      <c r="P6" s="12">
        <f>IF(About!$B$2=Keys!$C$2,INDEX(Keys!$G$2:$G$31,MATCH(P$1,Keys!$F$2:$F$31,0)),IF(P$1=Keys!$C$4,IFERROR(INDEX(Keys!$J$2:$J$21,MATCH(About!$B$2&amp;"|"&amp;$A6,Keys!$I$2:$I$21,0)),$B6),$B6))</f>
        <v>0.9</v>
      </c>
      <c r="Q6" s="12">
        <f>IF(About!$B$2=Keys!$C$2,INDEX(Keys!$G$2:$G$31,MATCH(Q$1,Keys!$F$2:$F$31,0)),IF(Q$1=Keys!$C$4,IFERROR(INDEX(Keys!$J$2:$J$21,MATCH(About!$B$2&amp;"|"&amp;$A6,Keys!$I$2:$I$21,0)),$B6),$B6))</f>
        <v>0.9</v>
      </c>
      <c r="R6" s="12">
        <f>IF(About!$B$2=Keys!$C$2,INDEX(Keys!$G$2:$G$31,MATCH(R$1,Keys!$F$2:$F$31,0)),IF(R$1=Keys!$C$4,IFERROR(INDEX(Keys!$J$2:$J$21,MATCH(About!$B$2&amp;"|"&amp;$A6,Keys!$I$2:$I$21,0)),$B6),$B6))</f>
        <v>0.9</v>
      </c>
      <c r="S6" s="12">
        <f>IF(About!$B$2=Keys!$C$2,INDEX(Keys!$G$2:$G$31,MATCH(S$1,Keys!$F$2:$F$31,0)),IF(S$1=Keys!$C$4,IFERROR(INDEX(Keys!$J$2:$J$21,MATCH(About!$B$2&amp;"|"&amp;$A6,Keys!$I$2:$I$21,0)),$B6),$B6))</f>
        <v>0.9</v>
      </c>
      <c r="T6" s="12">
        <f>IF(About!$B$2=Keys!$C$2,INDEX(Keys!$G$2:$G$31,MATCH(T$1,Keys!$F$2:$F$31,0)),IF(T$1=Keys!$C$4,IFERROR(INDEX(Keys!$J$2:$J$21,MATCH(About!$B$2&amp;"|"&amp;$A6,Keys!$I$2:$I$21,0)),$B6),$B6))</f>
        <v>0.9</v>
      </c>
      <c r="U6" s="12">
        <f>IF(About!$B$2=Keys!$C$2,INDEX(Keys!$G$2:$G$31,MATCH(U$1,Keys!$F$2:$F$31,0)),IF(U$1=Keys!$C$4,IFERROR(INDEX(Keys!$J$2:$J$21,MATCH(About!$B$2&amp;"|"&amp;$A6,Keys!$I$2:$I$21,0)),$B6),$B6))</f>
        <v>0.9</v>
      </c>
      <c r="V6" s="12">
        <f>IF(About!$B$2=Keys!$C$2,INDEX(Keys!$G$2:$G$31,MATCH(V$1,Keys!$F$2:$F$31,0)),IF(V$1=Keys!$C$4,IFERROR(INDEX(Keys!$J$2:$J$21,MATCH(About!$B$2&amp;"|"&amp;$A6,Keys!$I$2:$I$21,0)),$B6),$B6))</f>
        <v>0.9</v>
      </c>
      <c r="W6" s="12">
        <f>IF(About!$B$2=Keys!$C$2,INDEX(Keys!$G$2:$G$31,MATCH(W$1,Keys!$F$2:$F$31,0)),IF(W$1=Keys!$C$4,IFERROR(INDEX(Keys!$J$2:$J$21,MATCH(About!$B$2&amp;"|"&amp;$A6,Keys!$I$2:$I$21,0)),$B6),$B6))</f>
        <v>0.9</v>
      </c>
      <c r="X6" s="12">
        <f>IF(About!$B$2=Keys!$C$2,INDEX(Keys!$G$2:$G$31,MATCH(X$1,Keys!$F$2:$F$31,0)),IF(X$1=Keys!$C$4,IFERROR(INDEX(Keys!$J$2:$J$21,MATCH(About!$B$2&amp;"|"&amp;$A6,Keys!$I$2:$I$21,0)),$B6),$B6))</f>
        <v>0.9</v>
      </c>
      <c r="Y6" s="12">
        <f>IF(About!$B$2=Keys!$C$2,INDEX(Keys!$G$2:$G$31,MATCH(Y$1,Keys!$F$2:$F$31,0)),IF(Y$1=Keys!$C$4,IFERROR(INDEX(Keys!$J$2:$J$21,MATCH(About!$B$2&amp;"|"&amp;$A6,Keys!$I$2:$I$21,0)),$B6),$B6))</f>
        <v>0.9</v>
      </c>
      <c r="Z6" s="12">
        <f>IF(About!$B$2=Keys!$C$2,INDEX(Keys!$G$2:$G$31,MATCH(Z$1,Keys!$F$2:$F$31,0)),IF(Z$1=Keys!$C$4,IFERROR(INDEX(Keys!$J$2:$J$21,MATCH(About!$B$2&amp;"|"&amp;$A6,Keys!$I$2:$I$21,0)),$B6),$B6))</f>
        <v>0.9</v>
      </c>
      <c r="AA6" s="12">
        <f>IF(About!$B$2=Keys!$C$2,INDEX(Keys!$G$2:$G$31,MATCH(AA$1,Keys!$F$2:$F$31,0)),IF(AA$1=Keys!$C$4,IFERROR(INDEX(Keys!$J$2:$J$21,MATCH(About!$B$2&amp;"|"&amp;$A6,Keys!$I$2:$I$21,0)),$B6),$B6))</f>
        <v>0.9</v>
      </c>
      <c r="AB6" s="12">
        <f>IF(About!$B$2=Keys!$C$2,INDEX(Keys!$G$2:$G$31,MATCH(AB$1,Keys!$F$2:$F$31,0)),IF(AB$1=Keys!$C$4,IFERROR(INDEX(Keys!$J$2:$J$21,MATCH(About!$B$2&amp;"|"&amp;$A6,Keys!$I$2:$I$21,0)),$B6),$B6))</f>
        <v>0.9</v>
      </c>
      <c r="AC6" s="12">
        <f>IF(About!$B$2=Keys!$C$2,INDEX(Keys!$G$2:$G$31,MATCH(AC$1,Keys!$F$2:$F$31,0)),IF(AC$1=Keys!$C$4,IFERROR(INDEX(Keys!$J$2:$J$21,MATCH(About!$B$2&amp;"|"&amp;$A6,Keys!$I$2:$I$21,0)),$B6),$B6))</f>
        <v>0.9</v>
      </c>
      <c r="AD6" s="12">
        <f>IF(About!$B$2=Keys!$C$2,INDEX(Keys!$G$2:$G$31,MATCH(AD$1,Keys!$F$2:$F$31,0)),IF(AD$1=Keys!$C$4,IFERROR(INDEX(Keys!$J$2:$J$21,MATCH(About!$B$2&amp;"|"&amp;$A6,Keys!$I$2:$I$21,0)),$B6),$B6))</f>
        <v>0.9</v>
      </c>
      <c r="AE6" s="12">
        <f>IF(About!$B$2=Keys!$C$2,INDEX(Keys!$G$2:$G$31,MATCH(AE$1,Keys!$F$2:$F$31,0)),IF(AE$1=Keys!$C$4,IFERROR(INDEX(Keys!$J$2:$J$21,MATCH(About!$B$2&amp;"|"&amp;$A6,Keys!$I$2:$I$21,0)),$B6),$B6))</f>
        <v>0.9</v>
      </c>
    </row>
    <row r="7" spans="1:31" x14ac:dyDescent="0.45">
      <c r="A7" t="s">
        <v>173</v>
      </c>
      <c r="B7" s="11">
        <f>IFERROR(INDEX(Tuned!$C$2:$C$100,MATCH(About!$B$2&amp;"|"&amp;$A7,Tuned!$D$2:$D$100,0)),INDEX(Defaults!$B$2:$B$25,MATCH($A7,Defaults!$A$2:$A$25,0)))</f>
        <v>0</v>
      </c>
      <c r="C7" s="12">
        <f>IF(C$1=Keys!$C$4,IFERROR(INDEX(Keys!$J$2:$J$21,MATCH(About!$B$2&amp;"|"&amp;$A7,Keys!$I$2:$I$21,0)),$B7),$B7)</f>
        <v>0</v>
      </c>
      <c r="D7" s="12">
        <f>IF(D$1=Keys!$C$4,IFERROR(INDEX(Keys!$J$2:$J$21,MATCH(About!$B$2&amp;"|"&amp;$A7,Keys!$I$2:$I$21,0)),$B7),$B7)</f>
        <v>0</v>
      </c>
      <c r="E7" s="12">
        <f>IF(E$1=Keys!$C$4,IFERROR(INDEX(Keys!$J$2:$J$21,MATCH(About!$B$2&amp;"|"&amp;$A7,Keys!$I$2:$I$21,0)),$B7),$B7)</f>
        <v>0</v>
      </c>
      <c r="F7" s="12">
        <f>IF(F$1=Keys!$C$4,IFERROR(INDEX(Keys!$J$2:$J$21,MATCH(About!$B$2&amp;"|"&amp;$A7,Keys!$I$2:$I$21,0)),$B7),$B7)</f>
        <v>0</v>
      </c>
      <c r="G7" s="12">
        <f>IF(G$1=Keys!$C$4,IFERROR(INDEX(Keys!$J$2:$J$21,MATCH(About!$B$2&amp;"|"&amp;$A7,Keys!$I$2:$I$21,0)),$B7),$B7)</f>
        <v>0</v>
      </c>
      <c r="H7" s="12">
        <f>IF(H$1=Keys!$C$4,IFERROR(INDEX(Keys!$J$2:$J$21,MATCH(About!$B$2&amp;"|"&amp;$A7,Keys!$I$2:$I$21,0)),$B7),$B7)</f>
        <v>0</v>
      </c>
      <c r="I7" s="12">
        <f>IF(I$1=Keys!$C$4,IFERROR(INDEX(Keys!$J$2:$J$21,MATCH(About!$B$2&amp;"|"&amp;$A7,Keys!$I$2:$I$21,0)),$B7),$B7)</f>
        <v>0</v>
      </c>
      <c r="J7" s="12">
        <f>IF(J$1=Keys!$C$4,IFERROR(INDEX(Keys!$J$2:$J$21,MATCH(About!$B$2&amp;"|"&amp;$A7,Keys!$I$2:$I$21,0)),$B7),$B7)</f>
        <v>0</v>
      </c>
      <c r="K7" s="12">
        <f>IF(K$1=Keys!$C$4,IFERROR(INDEX(Keys!$J$2:$J$21,MATCH(About!$B$2&amp;"|"&amp;$A7,Keys!$I$2:$I$21,0)),$B7),$B7)</f>
        <v>0</v>
      </c>
      <c r="L7" s="12">
        <f>IF(L$1=Keys!$C$4,IFERROR(INDEX(Keys!$J$2:$J$21,MATCH(About!$B$2&amp;"|"&amp;$A7,Keys!$I$2:$I$21,0)),$B7),$B7)</f>
        <v>0</v>
      </c>
      <c r="M7" s="12">
        <f>IF(M$1=Keys!$C$4,IFERROR(INDEX(Keys!$J$2:$J$21,MATCH(About!$B$2&amp;"|"&amp;$A7,Keys!$I$2:$I$21,0)),$B7),$B7)</f>
        <v>0</v>
      </c>
      <c r="N7" s="12">
        <f>IF(N$1=Keys!$C$4,IFERROR(INDEX(Keys!$J$2:$J$21,MATCH(About!$B$2&amp;"|"&amp;$A7,Keys!$I$2:$I$21,0)),$B7),$B7)</f>
        <v>0</v>
      </c>
      <c r="O7" s="12">
        <f>IF(O$1=Keys!$C$4,IFERROR(INDEX(Keys!$J$2:$J$21,MATCH(About!$B$2&amp;"|"&amp;$A7,Keys!$I$2:$I$21,0)),$B7),$B7)</f>
        <v>0</v>
      </c>
      <c r="P7" s="12">
        <f>IF(P$1=Keys!$C$4,IFERROR(INDEX(Keys!$J$2:$J$21,MATCH(About!$B$2&amp;"|"&amp;$A7,Keys!$I$2:$I$21,0)),$B7),$B7)</f>
        <v>0</v>
      </c>
      <c r="Q7" s="12">
        <f>IF(Q$1=Keys!$C$4,IFERROR(INDEX(Keys!$J$2:$J$21,MATCH(About!$B$2&amp;"|"&amp;$A7,Keys!$I$2:$I$21,0)),$B7),$B7)</f>
        <v>0</v>
      </c>
      <c r="R7" s="12">
        <f>IF(R$1=Keys!$C$4,IFERROR(INDEX(Keys!$J$2:$J$21,MATCH(About!$B$2&amp;"|"&amp;$A7,Keys!$I$2:$I$21,0)),$B7),$B7)</f>
        <v>0</v>
      </c>
      <c r="S7" s="12">
        <f>IF(S$1=Keys!$C$4,IFERROR(INDEX(Keys!$J$2:$J$21,MATCH(About!$B$2&amp;"|"&amp;$A7,Keys!$I$2:$I$21,0)),$B7),$B7)</f>
        <v>0</v>
      </c>
      <c r="T7" s="12">
        <f>IF(T$1=Keys!$C$4,IFERROR(INDEX(Keys!$J$2:$J$21,MATCH(About!$B$2&amp;"|"&amp;$A7,Keys!$I$2:$I$21,0)),$B7),$B7)</f>
        <v>0</v>
      </c>
      <c r="U7" s="12">
        <f>IF(U$1=Keys!$C$4,IFERROR(INDEX(Keys!$J$2:$J$21,MATCH(About!$B$2&amp;"|"&amp;$A7,Keys!$I$2:$I$21,0)),$B7),$B7)</f>
        <v>0</v>
      </c>
      <c r="V7" s="12">
        <f>IF(V$1=Keys!$C$4,IFERROR(INDEX(Keys!$J$2:$J$21,MATCH(About!$B$2&amp;"|"&amp;$A7,Keys!$I$2:$I$21,0)),$B7),$B7)</f>
        <v>0</v>
      </c>
      <c r="W7" s="12">
        <f>IF(W$1=Keys!$C$4,IFERROR(INDEX(Keys!$J$2:$J$21,MATCH(About!$B$2&amp;"|"&amp;$A7,Keys!$I$2:$I$21,0)),$B7),$B7)</f>
        <v>0</v>
      </c>
      <c r="X7" s="12">
        <f>IF(X$1=Keys!$C$4,IFERROR(INDEX(Keys!$J$2:$J$21,MATCH(About!$B$2&amp;"|"&amp;$A7,Keys!$I$2:$I$21,0)),$B7),$B7)</f>
        <v>0</v>
      </c>
      <c r="Y7" s="12">
        <f>IF(Y$1=Keys!$C$4,IFERROR(INDEX(Keys!$J$2:$J$21,MATCH(About!$B$2&amp;"|"&amp;$A7,Keys!$I$2:$I$21,0)),$B7),$B7)</f>
        <v>0</v>
      </c>
      <c r="Z7" s="12">
        <f>IF(Z$1=Keys!$C$4,IFERROR(INDEX(Keys!$J$2:$J$21,MATCH(About!$B$2&amp;"|"&amp;$A7,Keys!$I$2:$I$21,0)),$B7),$B7)</f>
        <v>0</v>
      </c>
      <c r="AA7" s="12">
        <f>IF(AA$1=Keys!$C$4,IFERROR(INDEX(Keys!$J$2:$J$21,MATCH(About!$B$2&amp;"|"&amp;$A7,Keys!$I$2:$I$21,0)),$B7),$B7)</f>
        <v>0</v>
      </c>
      <c r="AB7" s="12">
        <f>IF(AB$1=Keys!$C$4,IFERROR(INDEX(Keys!$J$2:$J$21,MATCH(About!$B$2&amp;"|"&amp;$A7,Keys!$I$2:$I$21,0)),$B7),$B7)</f>
        <v>0</v>
      </c>
      <c r="AC7" s="12">
        <f>IF(AC$1=Keys!$C$4,IFERROR(INDEX(Keys!$J$2:$J$21,MATCH(About!$B$2&amp;"|"&amp;$A7,Keys!$I$2:$I$21,0)),$B7),$B7)</f>
        <v>0</v>
      </c>
      <c r="AD7" s="12">
        <f>IF(AD$1=Keys!$C$4,IFERROR(INDEX(Keys!$J$2:$J$21,MATCH(About!$B$2&amp;"|"&amp;$A7,Keys!$I$2:$I$21,0)),$B7),$B7)</f>
        <v>0</v>
      </c>
      <c r="AE7" s="12">
        <f>IF(AE$1=Keys!$C$4,IFERROR(INDEX(Keys!$J$2:$J$21,MATCH(About!$B$2&amp;"|"&amp;$A7,Keys!$I$2:$I$21,0)),$B7),$B7)</f>
        <v>0</v>
      </c>
    </row>
    <row r="8" spans="1:31" x14ac:dyDescent="0.45">
      <c r="A8" t="s">
        <v>175</v>
      </c>
      <c r="B8" s="11">
        <f>IFERROR(INDEX(Tuned!$C$2:$C$100,MATCH(About!$B$2&amp;"|"&amp;$A8,Tuned!$D$2:$D$100,0)),INDEX(Defaults!$B$2:$B$25,MATCH($A8,Defaults!$A$2:$A$25,0)))</f>
        <v>0</v>
      </c>
      <c r="C8" s="12">
        <f>IF(C$1=Keys!$C$4,IFERROR(INDEX(Keys!$J$2:$J$21,MATCH(About!$B$2&amp;"|"&amp;$A8,Keys!$I$2:$I$21,0)),$B8),$B8)</f>
        <v>0</v>
      </c>
      <c r="D8" s="12">
        <f>IF(D$1=Keys!$C$4,IFERROR(INDEX(Keys!$J$2:$J$21,MATCH(About!$B$2&amp;"|"&amp;$A8,Keys!$I$2:$I$21,0)),$B8),$B8)</f>
        <v>0</v>
      </c>
      <c r="E8" s="12">
        <f>IF(E$1=Keys!$C$4,IFERROR(INDEX(Keys!$J$2:$J$21,MATCH(About!$B$2&amp;"|"&amp;$A8,Keys!$I$2:$I$21,0)),$B8),$B8)</f>
        <v>0</v>
      </c>
      <c r="F8" s="12">
        <f>IF(F$1=Keys!$C$4,IFERROR(INDEX(Keys!$J$2:$J$21,MATCH(About!$B$2&amp;"|"&amp;$A8,Keys!$I$2:$I$21,0)),$B8),$B8)</f>
        <v>0</v>
      </c>
      <c r="G8" s="12">
        <f>IF(G$1=Keys!$C$4,IFERROR(INDEX(Keys!$J$2:$J$21,MATCH(About!$B$2&amp;"|"&amp;$A8,Keys!$I$2:$I$21,0)),$B8),$B8)</f>
        <v>0</v>
      </c>
      <c r="H8" s="12">
        <f>IF(H$1=Keys!$C$4,IFERROR(INDEX(Keys!$J$2:$J$21,MATCH(About!$B$2&amp;"|"&amp;$A8,Keys!$I$2:$I$21,0)),$B8),$B8)</f>
        <v>0</v>
      </c>
      <c r="I8" s="12">
        <f>IF(I$1=Keys!$C$4,IFERROR(INDEX(Keys!$J$2:$J$21,MATCH(About!$B$2&amp;"|"&amp;$A8,Keys!$I$2:$I$21,0)),$B8),$B8)</f>
        <v>0</v>
      </c>
      <c r="J8" s="12">
        <f>IF(J$1=Keys!$C$4,IFERROR(INDEX(Keys!$J$2:$J$21,MATCH(About!$B$2&amp;"|"&amp;$A8,Keys!$I$2:$I$21,0)),$B8),$B8)</f>
        <v>0</v>
      </c>
      <c r="K8" s="12">
        <f>IF(K$1=Keys!$C$4,IFERROR(INDEX(Keys!$J$2:$J$21,MATCH(About!$B$2&amp;"|"&amp;$A8,Keys!$I$2:$I$21,0)),$B8),$B8)</f>
        <v>0</v>
      </c>
      <c r="L8" s="12">
        <f>IF(L$1=Keys!$C$4,IFERROR(INDEX(Keys!$J$2:$J$21,MATCH(About!$B$2&amp;"|"&amp;$A8,Keys!$I$2:$I$21,0)),$B8),$B8)</f>
        <v>0</v>
      </c>
      <c r="M8" s="12">
        <f>IF(M$1=Keys!$C$4,IFERROR(INDEX(Keys!$J$2:$J$21,MATCH(About!$B$2&amp;"|"&amp;$A8,Keys!$I$2:$I$21,0)),$B8),$B8)</f>
        <v>0</v>
      </c>
      <c r="N8" s="12">
        <f>IF(N$1=Keys!$C$4,IFERROR(INDEX(Keys!$J$2:$J$21,MATCH(About!$B$2&amp;"|"&amp;$A8,Keys!$I$2:$I$21,0)),$B8),$B8)</f>
        <v>0</v>
      </c>
      <c r="O8" s="12">
        <f>IF(O$1=Keys!$C$4,IFERROR(INDEX(Keys!$J$2:$J$21,MATCH(About!$B$2&amp;"|"&amp;$A8,Keys!$I$2:$I$21,0)),$B8),$B8)</f>
        <v>0</v>
      </c>
      <c r="P8" s="12">
        <f>IF(P$1=Keys!$C$4,IFERROR(INDEX(Keys!$J$2:$J$21,MATCH(About!$B$2&amp;"|"&amp;$A8,Keys!$I$2:$I$21,0)),$B8),$B8)</f>
        <v>0</v>
      </c>
      <c r="Q8" s="12">
        <f>IF(Q$1=Keys!$C$4,IFERROR(INDEX(Keys!$J$2:$J$21,MATCH(About!$B$2&amp;"|"&amp;$A8,Keys!$I$2:$I$21,0)),$B8),$B8)</f>
        <v>0</v>
      </c>
      <c r="R8" s="12">
        <f>IF(R$1=Keys!$C$4,IFERROR(INDEX(Keys!$J$2:$J$21,MATCH(About!$B$2&amp;"|"&amp;$A8,Keys!$I$2:$I$21,0)),$B8),$B8)</f>
        <v>0</v>
      </c>
      <c r="S8" s="12">
        <f>IF(S$1=Keys!$C$4,IFERROR(INDEX(Keys!$J$2:$J$21,MATCH(About!$B$2&amp;"|"&amp;$A8,Keys!$I$2:$I$21,0)),$B8),$B8)</f>
        <v>0</v>
      </c>
      <c r="T8" s="12">
        <f>IF(T$1=Keys!$C$4,IFERROR(INDEX(Keys!$J$2:$J$21,MATCH(About!$B$2&amp;"|"&amp;$A8,Keys!$I$2:$I$21,0)),$B8),$B8)</f>
        <v>0</v>
      </c>
      <c r="U8" s="12">
        <f>IF(U$1=Keys!$C$4,IFERROR(INDEX(Keys!$J$2:$J$21,MATCH(About!$B$2&amp;"|"&amp;$A8,Keys!$I$2:$I$21,0)),$B8),$B8)</f>
        <v>0</v>
      </c>
      <c r="V8" s="12">
        <f>IF(V$1=Keys!$C$4,IFERROR(INDEX(Keys!$J$2:$J$21,MATCH(About!$B$2&amp;"|"&amp;$A8,Keys!$I$2:$I$21,0)),$B8),$B8)</f>
        <v>0</v>
      </c>
      <c r="W8" s="12">
        <f>IF(W$1=Keys!$C$4,IFERROR(INDEX(Keys!$J$2:$J$21,MATCH(About!$B$2&amp;"|"&amp;$A8,Keys!$I$2:$I$21,0)),$B8),$B8)</f>
        <v>0</v>
      </c>
      <c r="X8" s="12">
        <f>IF(X$1=Keys!$C$4,IFERROR(INDEX(Keys!$J$2:$J$21,MATCH(About!$B$2&amp;"|"&amp;$A8,Keys!$I$2:$I$21,0)),$B8),$B8)</f>
        <v>0</v>
      </c>
      <c r="Y8" s="12">
        <f>IF(Y$1=Keys!$C$4,IFERROR(INDEX(Keys!$J$2:$J$21,MATCH(About!$B$2&amp;"|"&amp;$A8,Keys!$I$2:$I$21,0)),$B8),$B8)</f>
        <v>0</v>
      </c>
      <c r="Z8" s="12">
        <f>IF(Z$1=Keys!$C$4,IFERROR(INDEX(Keys!$J$2:$J$21,MATCH(About!$B$2&amp;"|"&amp;$A8,Keys!$I$2:$I$21,0)),$B8),$B8)</f>
        <v>0</v>
      </c>
      <c r="AA8" s="12">
        <f>IF(AA$1=Keys!$C$4,IFERROR(INDEX(Keys!$J$2:$J$21,MATCH(About!$B$2&amp;"|"&amp;$A8,Keys!$I$2:$I$21,0)),$B8),$B8)</f>
        <v>0</v>
      </c>
      <c r="AB8" s="12">
        <f>IF(AB$1=Keys!$C$4,IFERROR(INDEX(Keys!$J$2:$J$21,MATCH(About!$B$2&amp;"|"&amp;$A8,Keys!$I$2:$I$21,0)),$B8),$B8)</f>
        <v>0</v>
      </c>
      <c r="AC8" s="12">
        <f>IF(AC$1=Keys!$C$4,IFERROR(INDEX(Keys!$J$2:$J$21,MATCH(About!$B$2&amp;"|"&amp;$A8,Keys!$I$2:$I$21,0)),$B8),$B8)</f>
        <v>0</v>
      </c>
      <c r="AD8" s="12">
        <f>IF(AD$1=Keys!$C$4,IFERROR(INDEX(Keys!$J$2:$J$21,MATCH(About!$B$2&amp;"|"&amp;$A8,Keys!$I$2:$I$21,0)),$B8),$B8)</f>
        <v>0</v>
      </c>
      <c r="AE8" s="12">
        <f>IF(AE$1=Keys!$C$4,IFERROR(INDEX(Keys!$J$2:$J$21,MATCH(About!$B$2&amp;"|"&amp;$A8,Keys!$I$2:$I$21,0)),$B8),$B8)</f>
        <v>0</v>
      </c>
    </row>
    <row r="9" spans="1:31" x14ac:dyDescent="0.45">
      <c r="A9" t="s">
        <v>176</v>
      </c>
      <c r="B9" s="11">
        <f>IFERROR(INDEX(Tuned!$C$2:$C$100,MATCH(About!$B$2&amp;"|"&amp;$A9,Tuned!$D$2:$D$100,0)),INDEX(Defaults!$B$2:$B$25,MATCH($A9,Defaults!$A$2:$A$25,0)))</f>
        <v>0</v>
      </c>
      <c r="C9" s="11">
        <f t="shared" ref="C9:L12" si="1">$B9</f>
        <v>0</v>
      </c>
      <c r="D9" s="11">
        <f t="shared" si="1"/>
        <v>0</v>
      </c>
      <c r="E9" s="11">
        <f t="shared" si="1"/>
        <v>0</v>
      </c>
      <c r="F9" s="11">
        <f t="shared" si="1"/>
        <v>0</v>
      </c>
      <c r="G9" s="11">
        <f t="shared" si="1"/>
        <v>0</v>
      </c>
      <c r="H9" s="11">
        <f t="shared" si="1"/>
        <v>0</v>
      </c>
      <c r="I9" s="11">
        <f t="shared" si="1"/>
        <v>0</v>
      </c>
      <c r="J9" s="11">
        <f t="shared" si="1"/>
        <v>0</v>
      </c>
      <c r="K9" s="11">
        <f t="shared" si="1"/>
        <v>0</v>
      </c>
      <c r="L9" s="11">
        <f t="shared" si="1"/>
        <v>0</v>
      </c>
      <c r="M9" s="11">
        <f t="shared" ref="M9:V12" si="2">$B9</f>
        <v>0</v>
      </c>
      <c r="N9" s="11">
        <f t="shared" si="2"/>
        <v>0</v>
      </c>
      <c r="O9" s="11">
        <f t="shared" si="2"/>
        <v>0</v>
      </c>
      <c r="P9" s="11">
        <f t="shared" si="2"/>
        <v>0</v>
      </c>
      <c r="Q9" s="11">
        <f t="shared" si="2"/>
        <v>0</v>
      </c>
      <c r="R9" s="11">
        <f t="shared" si="2"/>
        <v>0</v>
      </c>
      <c r="S9" s="11">
        <f t="shared" si="2"/>
        <v>0</v>
      </c>
      <c r="T9" s="11">
        <f t="shared" si="2"/>
        <v>0</v>
      </c>
      <c r="U9" s="11">
        <f t="shared" si="2"/>
        <v>0</v>
      </c>
      <c r="V9" s="11">
        <f t="shared" si="2"/>
        <v>0</v>
      </c>
      <c r="W9" s="11">
        <f t="shared" ref="W9:AE12" si="3">$B9</f>
        <v>0</v>
      </c>
      <c r="X9" s="11">
        <f t="shared" si="3"/>
        <v>0</v>
      </c>
      <c r="Y9" s="11">
        <f t="shared" si="3"/>
        <v>0</v>
      </c>
      <c r="Z9" s="11">
        <f t="shared" si="3"/>
        <v>0</v>
      </c>
      <c r="AA9" s="11">
        <f t="shared" si="3"/>
        <v>0</v>
      </c>
      <c r="AB9" s="11">
        <f t="shared" si="3"/>
        <v>0</v>
      </c>
      <c r="AC9" s="11">
        <f t="shared" si="3"/>
        <v>0</v>
      </c>
      <c r="AD9" s="11">
        <f t="shared" si="3"/>
        <v>0</v>
      </c>
      <c r="AE9" s="11">
        <f t="shared" si="3"/>
        <v>0</v>
      </c>
    </row>
    <row r="10" spans="1:31" x14ac:dyDescent="0.45">
      <c r="A10" t="s">
        <v>177</v>
      </c>
      <c r="B10" s="11">
        <f>IFERROR(INDEX(Tuned!$C$2:$C$100,MATCH(About!$B$2&amp;"|"&amp;$A10,Tuned!$D$2:$D$100,0)),INDEX(Defaults!$B$2:$B$25,MATCH($A10,Defaults!$A$2:$A$25,0)))</f>
        <v>1</v>
      </c>
      <c r="C10" s="11">
        <f t="shared" si="1"/>
        <v>1</v>
      </c>
      <c r="D10" s="11">
        <f t="shared" si="1"/>
        <v>1</v>
      </c>
      <c r="E10" s="11">
        <f t="shared" si="1"/>
        <v>1</v>
      </c>
      <c r="F10" s="11">
        <f t="shared" si="1"/>
        <v>1</v>
      </c>
      <c r="G10" s="11">
        <f t="shared" si="1"/>
        <v>1</v>
      </c>
      <c r="H10" s="11">
        <f t="shared" si="1"/>
        <v>1</v>
      </c>
      <c r="I10" s="11">
        <f t="shared" si="1"/>
        <v>1</v>
      </c>
      <c r="J10" s="11">
        <f t="shared" si="1"/>
        <v>1</v>
      </c>
      <c r="K10" s="11">
        <f t="shared" si="1"/>
        <v>1</v>
      </c>
      <c r="L10" s="11">
        <f t="shared" si="1"/>
        <v>1</v>
      </c>
      <c r="M10" s="11">
        <f t="shared" si="2"/>
        <v>1</v>
      </c>
      <c r="N10" s="11">
        <f t="shared" si="2"/>
        <v>1</v>
      </c>
      <c r="O10" s="11">
        <f t="shared" si="2"/>
        <v>1</v>
      </c>
      <c r="P10" s="11">
        <f t="shared" si="2"/>
        <v>1</v>
      </c>
      <c r="Q10" s="11">
        <f t="shared" si="2"/>
        <v>1</v>
      </c>
      <c r="R10" s="11">
        <f t="shared" si="2"/>
        <v>1</v>
      </c>
      <c r="S10" s="11">
        <f t="shared" si="2"/>
        <v>1</v>
      </c>
      <c r="T10" s="11">
        <f t="shared" si="2"/>
        <v>1</v>
      </c>
      <c r="U10" s="11">
        <f t="shared" si="2"/>
        <v>1</v>
      </c>
      <c r="V10" s="11">
        <f t="shared" si="2"/>
        <v>1</v>
      </c>
      <c r="W10" s="11">
        <f t="shared" si="3"/>
        <v>1</v>
      </c>
      <c r="X10" s="11">
        <f t="shared" si="3"/>
        <v>1</v>
      </c>
      <c r="Y10" s="11">
        <f t="shared" si="3"/>
        <v>1</v>
      </c>
      <c r="Z10" s="11">
        <f t="shared" si="3"/>
        <v>1</v>
      </c>
      <c r="AA10" s="11">
        <f t="shared" si="3"/>
        <v>1</v>
      </c>
      <c r="AB10" s="11">
        <f t="shared" si="3"/>
        <v>1</v>
      </c>
      <c r="AC10" s="11">
        <f t="shared" si="3"/>
        <v>1</v>
      </c>
      <c r="AD10" s="11">
        <f t="shared" si="3"/>
        <v>1</v>
      </c>
      <c r="AE10" s="11">
        <f t="shared" si="3"/>
        <v>1</v>
      </c>
    </row>
    <row r="11" spans="1:31" x14ac:dyDescent="0.45">
      <c r="A11" t="s">
        <v>179</v>
      </c>
      <c r="B11" s="11">
        <f>IFERROR(INDEX(Tuned!$C$2:$C$100,MATCH(About!$B$2&amp;"|"&amp;$A11,Tuned!$D$2:$D$100,0)),INDEX(Defaults!$B$2:$B$25,MATCH($A11,Defaults!$A$2:$A$25,0)))</f>
        <v>1</v>
      </c>
      <c r="C11" s="11">
        <f t="shared" si="1"/>
        <v>1</v>
      </c>
      <c r="D11" s="11">
        <f t="shared" si="1"/>
        <v>1</v>
      </c>
      <c r="E11" s="11">
        <f t="shared" si="1"/>
        <v>1</v>
      </c>
      <c r="F11" s="11">
        <f t="shared" si="1"/>
        <v>1</v>
      </c>
      <c r="G11" s="11">
        <f t="shared" si="1"/>
        <v>1</v>
      </c>
      <c r="H11" s="11">
        <f t="shared" si="1"/>
        <v>1</v>
      </c>
      <c r="I11" s="11">
        <f t="shared" si="1"/>
        <v>1</v>
      </c>
      <c r="J11" s="11">
        <f t="shared" si="1"/>
        <v>1</v>
      </c>
      <c r="K11" s="11">
        <f t="shared" si="1"/>
        <v>1</v>
      </c>
      <c r="L11" s="11">
        <f t="shared" si="1"/>
        <v>1</v>
      </c>
      <c r="M11" s="11">
        <f t="shared" si="2"/>
        <v>1</v>
      </c>
      <c r="N11" s="11">
        <f t="shared" si="2"/>
        <v>1</v>
      </c>
      <c r="O11" s="11">
        <f t="shared" si="2"/>
        <v>1</v>
      </c>
      <c r="P11" s="11">
        <f t="shared" si="2"/>
        <v>1</v>
      </c>
      <c r="Q11" s="11">
        <f t="shared" si="2"/>
        <v>1</v>
      </c>
      <c r="R11" s="11">
        <f t="shared" si="2"/>
        <v>1</v>
      </c>
      <c r="S11" s="11">
        <f t="shared" si="2"/>
        <v>1</v>
      </c>
      <c r="T11" s="11">
        <f t="shared" si="2"/>
        <v>1</v>
      </c>
      <c r="U11" s="11">
        <f t="shared" si="2"/>
        <v>1</v>
      </c>
      <c r="V11" s="11">
        <f t="shared" si="2"/>
        <v>1</v>
      </c>
      <c r="W11" s="11">
        <f t="shared" si="3"/>
        <v>1</v>
      </c>
      <c r="X11" s="11">
        <f t="shared" si="3"/>
        <v>1</v>
      </c>
      <c r="Y11" s="11">
        <f t="shared" si="3"/>
        <v>1</v>
      </c>
      <c r="Z11" s="11">
        <f t="shared" si="3"/>
        <v>1</v>
      </c>
      <c r="AA11" s="11">
        <f t="shared" si="3"/>
        <v>1</v>
      </c>
      <c r="AB11" s="11">
        <f t="shared" si="3"/>
        <v>1</v>
      </c>
      <c r="AC11" s="11">
        <f t="shared" si="3"/>
        <v>1</v>
      </c>
      <c r="AD11" s="11">
        <f t="shared" si="3"/>
        <v>1</v>
      </c>
      <c r="AE11" s="11">
        <f t="shared" si="3"/>
        <v>1</v>
      </c>
    </row>
    <row r="12" spans="1:31" x14ac:dyDescent="0.45">
      <c r="A12" t="s">
        <v>180</v>
      </c>
      <c r="B12" s="11">
        <f>IFERROR(INDEX(Tuned!$C$2:$C$100,MATCH(About!$B$2&amp;"|"&amp;$A12,Tuned!$D$2:$D$100,0)),INDEX(Defaults!$B$2:$B$25,MATCH($A12,Defaults!$A$2:$A$25,0)))</f>
        <v>1.37E-2</v>
      </c>
      <c r="C12" s="11">
        <f t="shared" si="1"/>
        <v>1.37E-2</v>
      </c>
      <c r="D12" s="11">
        <f t="shared" si="1"/>
        <v>1.37E-2</v>
      </c>
      <c r="E12" s="11">
        <f t="shared" si="1"/>
        <v>1.37E-2</v>
      </c>
      <c r="F12" s="11">
        <f t="shared" si="1"/>
        <v>1.37E-2</v>
      </c>
      <c r="G12" s="11">
        <f t="shared" si="1"/>
        <v>1.37E-2</v>
      </c>
      <c r="H12" s="11">
        <f t="shared" si="1"/>
        <v>1.37E-2</v>
      </c>
      <c r="I12" s="11">
        <f t="shared" si="1"/>
        <v>1.37E-2</v>
      </c>
      <c r="J12" s="11">
        <f t="shared" si="1"/>
        <v>1.37E-2</v>
      </c>
      <c r="K12" s="11">
        <f t="shared" si="1"/>
        <v>1.37E-2</v>
      </c>
      <c r="L12" s="11">
        <f t="shared" si="1"/>
        <v>1.37E-2</v>
      </c>
      <c r="M12" s="11">
        <f t="shared" si="2"/>
        <v>1.37E-2</v>
      </c>
      <c r="N12" s="11">
        <f t="shared" si="2"/>
        <v>1.37E-2</v>
      </c>
      <c r="O12" s="11">
        <f t="shared" si="2"/>
        <v>1.37E-2</v>
      </c>
      <c r="P12" s="11">
        <f t="shared" si="2"/>
        <v>1.37E-2</v>
      </c>
      <c r="Q12" s="11">
        <f t="shared" si="2"/>
        <v>1.37E-2</v>
      </c>
      <c r="R12" s="11">
        <f t="shared" si="2"/>
        <v>1.37E-2</v>
      </c>
      <c r="S12" s="11">
        <f t="shared" si="2"/>
        <v>1.37E-2</v>
      </c>
      <c r="T12" s="11">
        <f t="shared" si="2"/>
        <v>1.37E-2</v>
      </c>
      <c r="U12" s="11">
        <f t="shared" si="2"/>
        <v>1.37E-2</v>
      </c>
      <c r="V12" s="11">
        <f t="shared" si="2"/>
        <v>1.37E-2</v>
      </c>
      <c r="W12" s="11">
        <f t="shared" si="3"/>
        <v>1.37E-2</v>
      </c>
      <c r="X12" s="11">
        <f t="shared" si="3"/>
        <v>1.37E-2</v>
      </c>
      <c r="Y12" s="11">
        <f t="shared" si="3"/>
        <v>1.37E-2</v>
      </c>
      <c r="Z12" s="11">
        <f t="shared" si="3"/>
        <v>1.37E-2</v>
      </c>
      <c r="AA12" s="11">
        <f t="shared" si="3"/>
        <v>1.37E-2</v>
      </c>
      <c r="AB12" s="11">
        <f t="shared" si="3"/>
        <v>1.37E-2</v>
      </c>
      <c r="AC12" s="11">
        <f t="shared" si="3"/>
        <v>1.37E-2</v>
      </c>
      <c r="AD12" s="11">
        <f t="shared" si="3"/>
        <v>1.37E-2</v>
      </c>
      <c r="AE12" s="11">
        <f t="shared" si="3"/>
        <v>1.37E-2</v>
      </c>
    </row>
    <row r="13" spans="1:31" x14ac:dyDescent="0.45">
      <c r="A13" t="s">
        <v>182</v>
      </c>
      <c r="B13" s="11">
        <f>INDEX(Defaults!$B$2:$B$25,MATCH($A13,Defaults!$A$2:$A$25,0))</f>
        <v>1</v>
      </c>
      <c r="C13" s="11">
        <f>INDEX(Defaults!$B$2:$B$25,MATCH($A13,Defaults!$A$2:$A$25,0))</f>
        <v>1</v>
      </c>
      <c r="D13" s="11">
        <f>INDEX(Defaults!$B$2:$B$25,MATCH($A13,Defaults!$A$2:$A$25,0))</f>
        <v>1</v>
      </c>
      <c r="E13" s="11">
        <f>INDEX(Defaults!$B$2:$B$25,MATCH($A13,Defaults!$A$2:$A$25,0))</f>
        <v>1</v>
      </c>
      <c r="F13" s="11">
        <f>IFERROR(INDEX(Tuned!$C$2:$C$100,MATCH(About!$B$2&amp;"|"&amp;$A13,Tuned!$D$2:$D$100,0)),INDEX(Defaults!$B$2:$B$25,MATCH($A13,Defaults!$A$2:$A$25,0)))</f>
        <v>1</v>
      </c>
      <c r="G13" s="11">
        <f>INDEX(Defaults!$B$2:$B$25,MATCH($A13,Defaults!$A$2:$A$25,0))</f>
        <v>1</v>
      </c>
      <c r="H13" s="11">
        <f>INDEX(Defaults!$B$2:$B$25,MATCH($A13,Defaults!$A$2:$A$25,0))</f>
        <v>1</v>
      </c>
      <c r="I13" s="11">
        <f>INDEX(Defaults!$B$2:$B$25,MATCH($A13,Defaults!$A$2:$A$25,0))</f>
        <v>1</v>
      </c>
      <c r="J13" s="11">
        <f>INDEX(Defaults!$B$2:$B$25,MATCH($A13,Defaults!$A$2:$A$25,0))</f>
        <v>1</v>
      </c>
      <c r="K13" s="11">
        <f>INDEX(Defaults!$B$2:$B$25,MATCH($A13,Defaults!$A$2:$A$25,0))</f>
        <v>1</v>
      </c>
      <c r="L13" s="11">
        <f>INDEX(Defaults!$B$2:$B$25,MATCH($A13,Defaults!$A$2:$A$25,0))</f>
        <v>1</v>
      </c>
      <c r="M13" s="11">
        <f>INDEX(Defaults!$B$2:$B$25,MATCH($A13,Defaults!$A$2:$A$25,0))</f>
        <v>1</v>
      </c>
      <c r="N13" s="11">
        <f>INDEX(Defaults!$B$2:$B$25,MATCH($A13,Defaults!$A$2:$A$25,0))</f>
        <v>1</v>
      </c>
      <c r="O13" s="11">
        <f>INDEX(Defaults!$B$2:$B$25,MATCH($A13,Defaults!$A$2:$A$25,0))</f>
        <v>1</v>
      </c>
      <c r="P13" s="11">
        <f>INDEX(Defaults!$B$2:$B$25,MATCH($A13,Defaults!$A$2:$A$25,0))</f>
        <v>1</v>
      </c>
      <c r="Q13" s="11">
        <f>INDEX(Defaults!$B$2:$B$25,MATCH($A13,Defaults!$A$2:$A$25,0))</f>
        <v>1</v>
      </c>
      <c r="R13" s="11">
        <f>INDEX(Defaults!$B$2:$B$25,MATCH($A13,Defaults!$A$2:$A$25,0))</f>
        <v>1</v>
      </c>
      <c r="S13" s="11">
        <f>INDEX(Defaults!$B$2:$B$25,MATCH($A13,Defaults!$A$2:$A$25,0))</f>
        <v>1</v>
      </c>
      <c r="T13" s="11">
        <f>INDEX(Defaults!$B$2:$B$25,MATCH($A13,Defaults!$A$2:$A$25,0))</f>
        <v>1</v>
      </c>
      <c r="U13" s="11">
        <f>INDEX(Defaults!$B$2:$B$25,MATCH($A13,Defaults!$A$2:$A$25,0))</f>
        <v>1</v>
      </c>
      <c r="V13" s="11">
        <f>INDEX(Defaults!$B$2:$B$25,MATCH($A13,Defaults!$A$2:$A$25,0))</f>
        <v>1</v>
      </c>
      <c r="W13" s="11">
        <f>INDEX(Defaults!$B$2:$B$25,MATCH($A13,Defaults!$A$2:$A$25,0))</f>
        <v>1</v>
      </c>
      <c r="X13" s="11">
        <f>INDEX(Defaults!$B$2:$B$25,MATCH($A13,Defaults!$A$2:$A$25,0))</f>
        <v>1</v>
      </c>
      <c r="Y13" s="11">
        <f>INDEX(Defaults!$B$2:$B$25,MATCH($A13,Defaults!$A$2:$A$25,0))</f>
        <v>1</v>
      </c>
      <c r="Z13" s="11">
        <f>INDEX(Defaults!$B$2:$B$25,MATCH($A13,Defaults!$A$2:$A$25,0))</f>
        <v>1</v>
      </c>
      <c r="AA13" s="11">
        <f>INDEX(Defaults!$B$2:$B$25,MATCH($A13,Defaults!$A$2:$A$25,0))</f>
        <v>1</v>
      </c>
      <c r="AB13" s="11">
        <f>INDEX(Defaults!$B$2:$B$25,MATCH($A13,Defaults!$A$2:$A$25,0))</f>
        <v>1</v>
      </c>
      <c r="AC13" s="11">
        <f>INDEX(Defaults!$B$2:$B$25,MATCH($A13,Defaults!$A$2:$A$25,0))</f>
        <v>1</v>
      </c>
      <c r="AD13" s="11">
        <f>INDEX(Defaults!$B$2:$B$25,MATCH($A13,Defaults!$A$2:$A$25,0))</f>
        <v>1</v>
      </c>
      <c r="AE13" s="11">
        <f>INDEX(Defaults!$B$2:$B$25,MATCH($A13,Defaults!$A$2:$A$25,0))</f>
        <v>1</v>
      </c>
    </row>
    <row r="14" spans="1:31" x14ac:dyDescent="0.45">
      <c r="A14" t="s">
        <v>184</v>
      </c>
      <c r="B14" s="11">
        <v>0</v>
      </c>
      <c r="C14" s="11">
        <v>0</v>
      </c>
      <c r="D14" s="11">
        <v>0</v>
      </c>
      <c r="E14" s="11">
        <v>0</v>
      </c>
      <c r="F14" s="12">
        <f>IFERROR(INDEX(Keys!$J$2:$J$21,MATCH(About!$B$2&amp;"|"&amp;$A14,Keys!$I$2:$I$21,0)),IFERROR(INDEX(Tuned!$C$2:$C$100,MATCH(About!$B$2&amp;"|"&amp;$A14,Tuned!$D$2:$D$100,0)),INDEX(Defaults!$B$2:$B$25,MATCH($A14,Defaults!$A$2:$A$25,0))))*INDEX(Fleet!$C$118:$C$141,MATCH($A14,Fleet!$A$118:$A$141,0))</f>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row>
    <row r="15" spans="1:31" x14ac:dyDescent="0.45">
      <c r="A15" t="s">
        <v>186</v>
      </c>
      <c r="B15" s="11">
        <f>IFERROR(INDEX(Tuned!$C$2:$C$100,MATCH(About!$B$2&amp;"|"&amp;$A15,Tuned!$D$2:$D$100,0)),INDEX(Defaults!$B$2:$B$25,MATCH($A15,Defaults!$A$2:$A$25,0)))</f>
        <v>0</v>
      </c>
      <c r="C15" s="11">
        <f t="shared" ref="C15:L25" si="4">$B15</f>
        <v>0</v>
      </c>
      <c r="D15" s="11">
        <f t="shared" si="4"/>
        <v>0</v>
      </c>
      <c r="E15" s="11">
        <f t="shared" si="4"/>
        <v>0</v>
      </c>
      <c r="F15" s="11">
        <f t="shared" si="4"/>
        <v>0</v>
      </c>
      <c r="G15" s="11">
        <f t="shared" si="4"/>
        <v>0</v>
      </c>
      <c r="H15" s="11">
        <f t="shared" si="4"/>
        <v>0</v>
      </c>
      <c r="I15" s="11">
        <f t="shared" si="4"/>
        <v>0</v>
      </c>
      <c r="J15" s="11">
        <f t="shared" si="4"/>
        <v>0</v>
      </c>
      <c r="K15" s="11">
        <f t="shared" si="4"/>
        <v>0</v>
      </c>
      <c r="L15" s="11">
        <f t="shared" si="4"/>
        <v>0</v>
      </c>
      <c r="M15" s="11">
        <f t="shared" ref="M15:V25" si="5">$B15</f>
        <v>0</v>
      </c>
      <c r="N15" s="11">
        <f t="shared" si="5"/>
        <v>0</v>
      </c>
      <c r="O15" s="11">
        <f t="shared" si="5"/>
        <v>0</v>
      </c>
      <c r="P15" s="11">
        <f t="shared" si="5"/>
        <v>0</v>
      </c>
      <c r="Q15" s="11">
        <f t="shared" si="5"/>
        <v>0</v>
      </c>
      <c r="R15" s="11">
        <f t="shared" si="5"/>
        <v>0</v>
      </c>
      <c r="S15" s="11">
        <f t="shared" si="5"/>
        <v>0</v>
      </c>
      <c r="T15" s="11">
        <f t="shared" si="5"/>
        <v>0</v>
      </c>
      <c r="U15" s="11">
        <f t="shared" si="5"/>
        <v>0</v>
      </c>
      <c r="V15" s="11">
        <f t="shared" si="5"/>
        <v>0</v>
      </c>
      <c r="W15" s="11">
        <f t="shared" ref="W15:AE25" si="6">$B15</f>
        <v>0</v>
      </c>
      <c r="X15" s="11">
        <f t="shared" si="6"/>
        <v>0</v>
      </c>
      <c r="Y15" s="11">
        <f t="shared" si="6"/>
        <v>0</v>
      </c>
      <c r="Z15" s="11">
        <f t="shared" si="6"/>
        <v>0</v>
      </c>
      <c r="AA15" s="11">
        <f t="shared" si="6"/>
        <v>0</v>
      </c>
      <c r="AB15" s="11">
        <f t="shared" si="6"/>
        <v>0</v>
      </c>
      <c r="AC15" s="11">
        <f t="shared" si="6"/>
        <v>0</v>
      </c>
      <c r="AD15" s="11">
        <f t="shared" si="6"/>
        <v>0</v>
      </c>
      <c r="AE15" s="11">
        <f t="shared" si="6"/>
        <v>0</v>
      </c>
    </row>
    <row r="16" spans="1:31" x14ac:dyDescent="0.45">
      <c r="A16" t="s">
        <v>187</v>
      </c>
      <c r="B16" s="11">
        <f>IFERROR(INDEX(Tuned!$C$2:$C$100,MATCH(About!$B$2&amp;"|"&amp;$A16,Tuned!$D$2:$D$100,0)),INDEX(Defaults!$B$2:$B$25,MATCH($A16,Defaults!$A$2:$A$25,0)))</f>
        <v>1</v>
      </c>
      <c r="C16" s="11">
        <f t="shared" si="4"/>
        <v>1</v>
      </c>
      <c r="D16" s="11">
        <f t="shared" si="4"/>
        <v>1</v>
      </c>
      <c r="E16" s="11">
        <f t="shared" si="4"/>
        <v>1</v>
      </c>
      <c r="F16" s="11">
        <f t="shared" si="4"/>
        <v>1</v>
      </c>
      <c r="G16" s="11">
        <f t="shared" si="4"/>
        <v>1</v>
      </c>
      <c r="H16" s="11">
        <f t="shared" si="4"/>
        <v>1</v>
      </c>
      <c r="I16" s="11">
        <f t="shared" si="4"/>
        <v>1</v>
      </c>
      <c r="J16" s="11">
        <f t="shared" si="4"/>
        <v>1</v>
      </c>
      <c r="K16" s="11">
        <f t="shared" si="4"/>
        <v>1</v>
      </c>
      <c r="L16" s="11">
        <f t="shared" si="4"/>
        <v>1</v>
      </c>
      <c r="M16" s="11">
        <f t="shared" si="5"/>
        <v>1</v>
      </c>
      <c r="N16" s="11">
        <f t="shared" si="5"/>
        <v>1</v>
      </c>
      <c r="O16" s="11">
        <f t="shared" si="5"/>
        <v>1</v>
      </c>
      <c r="P16" s="11">
        <f t="shared" si="5"/>
        <v>1</v>
      </c>
      <c r="Q16" s="11">
        <f t="shared" si="5"/>
        <v>1</v>
      </c>
      <c r="R16" s="11">
        <f t="shared" si="5"/>
        <v>1</v>
      </c>
      <c r="S16" s="11">
        <f t="shared" si="5"/>
        <v>1</v>
      </c>
      <c r="T16" s="11">
        <f t="shared" si="5"/>
        <v>1</v>
      </c>
      <c r="U16" s="11">
        <f t="shared" si="5"/>
        <v>1</v>
      </c>
      <c r="V16" s="11">
        <f t="shared" si="5"/>
        <v>1</v>
      </c>
      <c r="W16" s="11">
        <f t="shared" si="6"/>
        <v>1</v>
      </c>
      <c r="X16" s="11">
        <f t="shared" si="6"/>
        <v>1</v>
      </c>
      <c r="Y16" s="11">
        <f t="shared" si="6"/>
        <v>1</v>
      </c>
      <c r="Z16" s="11">
        <f t="shared" si="6"/>
        <v>1</v>
      </c>
      <c r="AA16" s="11">
        <f t="shared" si="6"/>
        <v>1</v>
      </c>
      <c r="AB16" s="11">
        <f t="shared" si="6"/>
        <v>1</v>
      </c>
      <c r="AC16" s="11">
        <f t="shared" si="6"/>
        <v>1</v>
      </c>
      <c r="AD16" s="11">
        <f t="shared" si="6"/>
        <v>1</v>
      </c>
      <c r="AE16" s="11">
        <f t="shared" si="6"/>
        <v>1</v>
      </c>
    </row>
    <row r="17" spans="1:31" x14ac:dyDescent="0.45">
      <c r="A17" t="s">
        <v>188</v>
      </c>
      <c r="B17" s="11">
        <f>IFERROR(INDEX(Tuned!$C$2:$C$100,MATCH(About!$B$2&amp;"|"&amp;$A17,Tuned!$D$2:$D$100,0)),INDEX(Defaults!$B$2:$B$25,MATCH($A17,Defaults!$A$2:$A$25,0)))</f>
        <v>0</v>
      </c>
      <c r="C17" s="11">
        <f t="shared" si="4"/>
        <v>0</v>
      </c>
      <c r="D17" s="11">
        <f t="shared" si="4"/>
        <v>0</v>
      </c>
      <c r="E17" s="11">
        <f t="shared" si="4"/>
        <v>0</v>
      </c>
      <c r="F17" s="11">
        <f t="shared" si="4"/>
        <v>0</v>
      </c>
      <c r="G17" s="11">
        <f t="shared" si="4"/>
        <v>0</v>
      </c>
      <c r="H17" s="11">
        <f t="shared" si="4"/>
        <v>0</v>
      </c>
      <c r="I17" s="11">
        <f t="shared" si="4"/>
        <v>0</v>
      </c>
      <c r="J17" s="11">
        <f t="shared" si="4"/>
        <v>0</v>
      </c>
      <c r="K17" s="11">
        <f t="shared" si="4"/>
        <v>0</v>
      </c>
      <c r="L17" s="11">
        <f t="shared" si="4"/>
        <v>0</v>
      </c>
      <c r="M17" s="11">
        <f t="shared" si="5"/>
        <v>0</v>
      </c>
      <c r="N17" s="11">
        <f t="shared" si="5"/>
        <v>0</v>
      </c>
      <c r="O17" s="11">
        <f t="shared" si="5"/>
        <v>0</v>
      </c>
      <c r="P17" s="11">
        <f t="shared" si="5"/>
        <v>0</v>
      </c>
      <c r="Q17" s="11">
        <f t="shared" si="5"/>
        <v>0</v>
      </c>
      <c r="R17" s="11">
        <f t="shared" si="5"/>
        <v>0</v>
      </c>
      <c r="S17" s="11">
        <f t="shared" si="5"/>
        <v>0</v>
      </c>
      <c r="T17" s="11">
        <f t="shared" si="5"/>
        <v>0</v>
      </c>
      <c r="U17" s="11">
        <f t="shared" si="5"/>
        <v>0</v>
      </c>
      <c r="V17" s="11">
        <f t="shared" si="5"/>
        <v>0</v>
      </c>
      <c r="W17" s="11">
        <f t="shared" si="6"/>
        <v>0</v>
      </c>
      <c r="X17" s="11">
        <f t="shared" si="6"/>
        <v>0</v>
      </c>
      <c r="Y17" s="11">
        <f t="shared" si="6"/>
        <v>0</v>
      </c>
      <c r="Z17" s="11">
        <f t="shared" si="6"/>
        <v>0</v>
      </c>
      <c r="AA17" s="11">
        <f t="shared" si="6"/>
        <v>0</v>
      </c>
      <c r="AB17" s="11">
        <f t="shared" si="6"/>
        <v>0</v>
      </c>
      <c r="AC17" s="11">
        <f t="shared" si="6"/>
        <v>0</v>
      </c>
      <c r="AD17" s="11">
        <f t="shared" si="6"/>
        <v>0</v>
      </c>
      <c r="AE17" s="11">
        <f t="shared" si="6"/>
        <v>0</v>
      </c>
    </row>
    <row r="18" spans="1:31" x14ac:dyDescent="0.45">
      <c r="A18" t="s">
        <v>190</v>
      </c>
      <c r="B18" s="11">
        <f>IFERROR(INDEX(Tuned!$C$2:$C$100,MATCH(About!$B$2&amp;"|"&amp;$A18,Tuned!$D$2:$D$100,0)),INDEX(Defaults!$B$2:$B$25,MATCH($A18,Defaults!$A$2:$A$25,0)))</f>
        <v>0</v>
      </c>
      <c r="C18" s="11">
        <f t="shared" si="4"/>
        <v>0</v>
      </c>
      <c r="D18" s="11">
        <f t="shared" si="4"/>
        <v>0</v>
      </c>
      <c r="E18" s="11">
        <f t="shared" si="4"/>
        <v>0</v>
      </c>
      <c r="F18" s="11">
        <f t="shared" si="4"/>
        <v>0</v>
      </c>
      <c r="G18" s="11">
        <f t="shared" si="4"/>
        <v>0</v>
      </c>
      <c r="H18" s="11">
        <f t="shared" si="4"/>
        <v>0</v>
      </c>
      <c r="I18" s="11">
        <f t="shared" si="4"/>
        <v>0</v>
      </c>
      <c r="J18" s="11">
        <f t="shared" si="4"/>
        <v>0</v>
      </c>
      <c r="K18" s="11">
        <f t="shared" si="4"/>
        <v>0</v>
      </c>
      <c r="L18" s="11">
        <f t="shared" si="4"/>
        <v>0</v>
      </c>
      <c r="M18" s="11">
        <f t="shared" si="5"/>
        <v>0</v>
      </c>
      <c r="N18" s="11">
        <f t="shared" si="5"/>
        <v>0</v>
      </c>
      <c r="O18" s="11">
        <f t="shared" si="5"/>
        <v>0</v>
      </c>
      <c r="P18" s="11">
        <f t="shared" si="5"/>
        <v>0</v>
      </c>
      <c r="Q18" s="11">
        <f t="shared" si="5"/>
        <v>0</v>
      </c>
      <c r="R18" s="11">
        <f t="shared" si="5"/>
        <v>0</v>
      </c>
      <c r="S18" s="11">
        <f t="shared" si="5"/>
        <v>0</v>
      </c>
      <c r="T18" s="11">
        <f t="shared" si="5"/>
        <v>0</v>
      </c>
      <c r="U18" s="11">
        <f t="shared" si="5"/>
        <v>0</v>
      </c>
      <c r="V18" s="11">
        <f t="shared" si="5"/>
        <v>0</v>
      </c>
      <c r="W18" s="11">
        <f t="shared" si="6"/>
        <v>0</v>
      </c>
      <c r="X18" s="11">
        <f t="shared" si="6"/>
        <v>0</v>
      </c>
      <c r="Y18" s="11">
        <f t="shared" si="6"/>
        <v>0</v>
      </c>
      <c r="Z18" s="11">
        <f t="shared" si="6"/>
        <v>0</v>
      </c>
      <c r="AA18" s="11">
        <f t="shared" si="6"/>
        <v>0</v>
      </c>
      <c r="AB18" s="11">
        <f t="shared" si="6"/>
        <v>0</v>
      </c>
      <c r="AC18" s="11">
        <f t="shared" si="6"/>
        <v>0</v>
      </c>
      <c r="AD18" s="11">
        <f t="shared" si="6"/>
        <v>0</v>
      </c>
      <c r="AE18" s="11">
        <f t="shared" si="6"/>
        <v>0</v>
      </c>
    </row>
    <row r="19" spans="1:31" x14ac:dyDescent="0.45">
      <c r="A19" t="s">
        <v>191</v>
      </c>
      <c r="B19" s="11">
        <f>IFERROR(INDEX(Tuned!$C$2:$C$100,MATCH(About!$B$2&amp;"|"&amp;$A19,Tuned!$D$2:$D$100,0)),INDEX(Defaults!$B$2:$B$25,MATCH($A19,Defaults!$A$2:$A$25,0)))</f>
        <v>0</v>
      </c>
      <c r="C19" s="11">
        <f t="shared" si="4"/>
        <v>0</v>
      </c>
      <c r="D19" s="11">
        <f t="shared" si="4"/>
        <v>0</v>
      </c>
      <c r="E19" s="11">
        <f t="shared" si="4"/>
        <v>0</v>
      </c>
      <c r="F19" s="11">
        <f t="shared" si="4"/>
        <v>0</v>
      </c>
      <c r="G19" s="11">
        <f t="shared" si="4"/>
        <v>0</v>
      </c>
      <c r="H19" s="11">
        <f t="shared" si="4"/>
        <v>0</v>
      </c>
      <c r="I19" s="11">
        <f t="shared" si="4"/>
        <v>0</v>
      </c>
      <c r="J19" s="11">
        <f t="shared" si="4"/>
        <v>0</v>
      </c>
      <c r="K19" s="11">
        <f t="shared" si="4"/>
        <v>0</v>
      </c>
      <c r="L19" s="11">
        <f t="shared" si="4"/>
        <v>0</v>
      </c>
      <c r="M19" s="11">
        <f t="shared" si="5"/>
        <v>0</v>
      </c>
      <c r="N19" s="11">
        <f t="shared" si="5"/>
        <v>0</v>
      </c>
      <c r="O19" s="11">
        <f t="shared" si="5"/>
        <v>0</v>
      </c>
      <c r="P19" s="11">
        <f t="shared" si="5"/>
        <v>0</v>
      </c>
      <c r="Q19" s="11">
        <f t="shared" si="5"/>
        <v>0</v>
      </c>
      <c r="R19" s="11">
        <f t="shared" si="5"/>
        <v>0</v>
      </c>
      <c r="S19" s="11">
        <f t="shared" si="5"/>
        <v>0</v>
      </c>
      <c r="T19" s="11">
        <f t="shared" si="5"/>
        <v>0</v>
      </c>
      <c r="U19" s="11">
        <f t="shared" si="5"/>
        <v>0</v>
      </c>
      <c r="V19" s="11">
        <f t="shared" si="5"/>
        <v>0</v>
      </c>
      <c r="W19" s="11">
        <f t="shared" si="6"/>
        <v>0</v>
      </c>
      <c r="X19" s="11">
        <f t="shared" si="6"/>
        <v>0</v>
      </c>
      <c r="Y19" s="11">
        <f t="shared" si="6"/>
        <v>0</v>
      </c>
      <c r="Z19" s="11">
        <f t="shared" si="6"/>
        <v>0</v>
      </c>
      <c r="AA19" s="11">
        <f t="shared" si="6"/>
        <v>0</v>
      </c>
      <c r="AB19" s="11">
        <f t="shared" si="6"/>
        <v>0</v>
      </c>
      <c r="AC19" s="11">
        <f t="shared" si="6"/>
        <v>0</v>
      </c>
      <c r="AD19" s="11">
        <f t="shared" si="6"/>
        <v>0</v>
      </c>
      <c r="AE19" s="11">
        <f t="shared" si="6"/>
        <v>0</v>
      </c>
    </row>
    <row r="20" spans="1:31" x14ac:dyDescent="0.45">
      <c r="A20" t="s">
        <v>193</v>
      </c>
      <c r="B20" s="11">
        <f>IFERROR(INDEX(Tuned!$C$2:$C$100,MATCH(About!$B$2&amp;"|"&amp;$A20,Tuned!$D$2:$D$100,0)),INDEX(Defaults!$B$2:$B$25,MATCH($A20,Defaults!$A$2:$A$25,0)))</f>
        <v>0</v>
      </c>
      <c r="C20" s="11">
        <f t="shared" si="4"/>
        <v>0</v>
      </c>
      <c r="D20" s="11">
        <f t="shared" si="4"/>
        <v>0</v>
      </c>
      <c r="E20" s="11">
        <f t="shared" si="4"/>
        <v>0</v>
      </c>
      <c r="F20" s="11">
        <f t="shared" si="4"/>
        <v>0</v>
      </c>
      <c r="G20" s="11">
        <f t="shared" si="4"/>
        <v>0</v>
      </c>
      <c r="H20" s="11">
        <f t="shared" si="4"/>
        <v>0</v>
      </c>
      <c r="I20" s="11">
        <f t="shared" si="4"/>
        <v>0</v>
      </c>
      <c r="J20" s="11">
        <f t="shared" si="4"/>
        <v>0</v>
      </c>
      <c r="K20" s="11">
        <f t="shared" si="4"/>
        <v>0</v>
      </c>
      <c r="L20" s="11">
        <f t="shared" si="4"/>
        <v>0</v>
      </c>
      <c r="M20" s="11">
        <f t="shared" si="5"/>
        <v>0</v>
      </c>
      <c r="N20" s="11">
        <f t="shared" si="5"/>
        <v>0</v>
      </c>
      <c r="O20" s="11">
        <f t="shared" si="5"/>
        <v>0</v>
      </c>
      <c r="P20" s="11">
        <f t="shared" si="5"/>
        <v>0</v>
      </c>
      <c r="Q20" s="11">
        <f t="shared" si="5"/>
        <v>0</v>
      </c>
      <c r="R20" s="11">
        <f t="shared" si="5"/>
        <v>0</v>
      </c>
      <c r="S20" s="11">
        <f t="shared" si="5"/>
        <v>0</v>
      </c>
      <c r="T20" s="11">
        <f t="shared" si="5"/>
        <v>0</v>
      </c>
      <c r="U20" s="11">
        <f t="shared" si="5"/>
        <v>0</v>
      </c>
      <c r="V20" s="11">
        <f t="shared" si="5"/>
        <v>0</v>
      </c>
      <c r="W20" s="11">
        <f t="shared" si="6"/>
        <v>0</v>
      </c>
      <c r="X20" s="11">
        <f t="shared" si="6"/>
        <v>0</v>
      </c>
      <c r="Y20" s="11">
        <f t="shared" si="6"/>
        <v>0</v>
      </c>
      <c r="Z20" s="11">
        <f t="shared" si="6"/>
        <v>0</v>
      </c>
      <c r="AA20" s="11">
        <f t="shared" si="6"/>
        <v>0</v>
      </c>
      <c r="AB20" s="11">
        <f t="shared" si="6"/>
        <v>0</v>
      </c>
      <c r="AC20" s="11">
        <f t="shared" si="6"/>
        <v>0</v>
      </c>
      <c r="AD20" s="11">
        <f t="shared" si="6"/>
        <v>0</v>
      </c>
      <c r="AE20" s="11">
        <f t="shared" si="6"/>
        <v>0</v>
      </c>
    </row>
    <row r="21" spans="1:31" x14ac:dyDescent="0.45">
      <c r="A21" t="s">
        <v>194</v>
      </c>
      <c r="B21" s="11">
        <f>IFERROR(INDEX(Tuned!$C$2:$C$100,MATCH(About!$B$2&amp;"|"&amp;$A21,Tuned!$D$2:$D$100,0)),INDEX(Defaults!$B$2:$B$25,MATCH($A21,Defaults!$A$2:$A$25,0)))</f>
        <v>0</v>
      </c>
      <c r="C21" s="11">
        <f t="shared" si="4"/>
        <v>0</v>
      </c>
      <c r="D21" s="11">
        <f t="shared" si="4"/>
        <v>0</v>
      </c>
      <c r="E21" s="11">
        <f t="shared" si="4"/>
        <v>0</v>
      </c>
      <c r="F21" s="11">
        <f t="shared" si="4"/>
        <v>0</v>
      </c>
      <c r="G21" s="11">
        <f t="shared" si="4"/>
        <v>0</v>
      </c>
      <c r="H21" s="11">
        <f t="shared" si="4"/>
        <v>0</v>
      </c>
      <c r="I21" s="11">
        <f t="shared" si="4"/>
        <v>0</v>
      </c>
      <c r="J21" s="11">
        <f t="shared" si="4"/>
        <v>0</v>
      </c>
      <c r="K21" s="11">
        <f t="shared" si="4"/>
        <v>0</v>
      </c>
      <c r="L21" s="11">
        <f t="shared" si="4"/>
        <v>0</v>
      </c>
      <c r="M21" s="11">
        <f t="shared" si="5"/>
        <v>0</v>
      </c>
      <c r="N21" s="11">
        <f t="shared" si="5"/>
        <v>0</v>
      </c>
      <c r="O21" s="11">
        <f t="shared" si="5"/>
        <v>0</v>
      </c>
      <c r="P21" s="11">
        <f t="shared" si="5"/>
        <v>0</v>
      </c>
      <c r="Q21" s="11">
        <f t="shared" si="5"/>
        <v>0</v>
      </c>
      <c r="R21" s="11">
        <f t="shared" si="5"/>
        <v>0</v>
      </c>
      <c r="S21" s="11">
        <f t="shared" si="5"/>
        <v>0</v>
      </c>
      <c r="T21" s="11">
        <f t="shared" si="5"/>
        <v>0</v>
      </c>
      <c r="U21" s="11">
        <f t="shared" si="5"/>
        <v>0</v>
      </c>
      <c r="V21" s="11">
        <f t="shared" si="5"/>
        <v>0</v>
      </c>
      <c r="W21" s="11">
        <f t="shared" si="6"/>
        <v>0</v>
      </c>
      <c r="X21" s="11">
        <f t="shared" si="6"/>
        <v>0</v>
      </c>
      <c r="Y21" s="11">
        <f t="shared" si="6"/>
        <v>0</v>
      </c>
      <c r="Z21" s="11">
        <f t="shared" si="6"/>
        <v>0</v>
      </c>
      <c r="AA21" s="11">
        <f t="shared" si="6"/>
        <v>0</v>
      </c>
      <c r="AB21" s="11">
        <f t="shared" si="6"/>
        <v>0</v>
      </c>
      <c r="AC21" s="11">
        <f t="shared" si="6"/>
        <v>0</v>
      </c>
      <c r="AD21" s="11">
        <f t="shared" si="6"/>
        <v>0</v>
      </c>
      <c r="AE21" s="11">
        <f t="shared" si="6"/>
        <v>0</v>
      </c>
    </row>
    <row r="22" spans="1:31" x14ac:dyDescent="0.45">
      <c r="A22" t="s">
        <v>196</v>
      </c>
      <c r="B22" s="11">
        <f>IFERROR(INDEX(Tuned!$C$2:$C$100,MATCH(About!$B$2&amp;"|"&amp;$A22,Tuned!$D$2:$D$100,0)),INDEX(Defaults!$B$2:$B$25,MATCH($A22,Defaults!$A$2:$A$25,0)))</f>
        <v>0</v>
      </c>
      <c r="C22" s="11">
        <f t="shared" si="4"/>
        <v>0</v>
      </c>
      <c r="D22" s="11">
        <f t="shared" si="4"/>
        <v>0</v>
      </c>
      <c r="E22" s="11">
        <f t="shared" si="4"/>
        <v>0</v>
      </c>
      <c r="F22" s="11">
        <f t="shared" si="4"/>
        <v>0</v>
      </c>
      <c r="G22" s="11">
        <f t="shared" si="4"/>
        <v>0</v>
      </c>
      <c r="H22" s="11">
        <f t="shared" si="4"/>
        <v>0</v>
      </c>
      <c r="I22" s="11">
        <f t="shared" si="4"/>
        <v>0</v>
      </c>
      <c r="J22" s="11">
        <f t="shared" si="4"/>
        <v>0</v>
      </c>
      <c r="K22" s="11">
        <f t="shared" si="4"/>
        <v>0</v>
      </c>
      <c r="L22" s="11">
        <f t="shared" si="4"/>
        <v>0</v>
      </c>
      <c r="M22" s="11">
        <f t="shared" si="5"/>
        <v>0</v>
      </c>
      <c r="N22" s="11">
        <f t="shared" si="5"/>
        <v>0</v>
      </c>
      <c r="O22" s="11">
        <f t="shared" si="5"/>
        <v>0</v>
      </c>
      <c r="P22" s="11">
        <f t="shared" si="5"/>
        <v>0</v>
      </c>
      <c r="Q22" s="11">
        <f t="shared" si="5"/>
        <v>0</v>
      </c>
      <c r="R22" s="11">
        <f t="shared" si="5"/>
        <v>0</v>
      </c>
      <c r="S22" s="11">
        <f t="shared" si="5"/>
        <v>0</v>
      </c>
      <c r="T22" s="11">
        <f t="shared" si="5"/>
        <v>0</v>
      </c>
      <c r="U22" s="11">
        <f t="shared" si="5"/>
        <v>0</v>
      </c>
      <c r="V22" s="11">
        <f t="shared" si="5"/>
        <v>0</v>
      </c>
      <c r="W22" s="11">
        <f t="shared" si="6"/>
        <v>0</v>
      </c>
      <c r="X22" s="11">
        <f t="shared" si="6"/>
        <v>0</v>
      </c>
      <c r="Y22" s="11">
        <f t="shared" si="6"/>
        <v>0</v>
      </c>
      <c r="Z22" s="11">
        <f t="shared" si="6"/>
        <v>0</v>
      </c>
      <c r="AA22" s="11">
        <f t="shared" si="6"/>
        <v>0</v>
      </c>
      <c r="AB22" s="11">
        <f t="shared" si="6"/>
        <v>0</v>
      </c>
      <c r="AC22" s="11">
        <f t="shared" si="6"/>
        <v>0</v>
      </c>
      <c r="AD22" s="11">
        <f t="shared" si="6"/>
        <v>0</v>
      </c>
      <c r="AE22" s="11">
        <f t="shared" si="6"/>
        <v>0</v>
      </c>
    </row>
    <row r="23" spans="1:31" x14ac:dyDescent="0.45">
      <c r="A23" t="s">
        <v>197</v>
      </c>
      <c r="B23" s="11">
        <f>IFERROR(INDEX(Tuned!$C$2:$C$100,MATCH(About!$B$2&amp;"|"&amp;$A23,Tuned!$D$2:$D$100,0)),INDEX(Defaults!$B$2:$B$25,MATCH($A23,Defaults!$A$2:$A$25,0)))</f>
        <v>0</v>
      </c>
      <c r="C23" s="11">
        <f t="shared" si="4"/>
        <v>0</v>
      </c>
      <c r="D23" s="11">
        <f t="shared" si="4"/>
        <v>0</v>
      </c>
      <c r="E23" s="11">
        <f t="shared" si="4"/>
        <v>0</v>
      </c>
      <c r="F23" s="11">
        <f t="shared" si="4"/>
        <v>0</v>
      </c>
      <c r="G23" s="11">
        <f t="shared" si="4"/>
        <v>0</v>
      </c>
      <c r="H23" s="11">
        <f t="shared" si="4"/>
        <v>0</v>
      </c>
      <c r="I23" s="11">
        <f t="shared" si="4"/>
        <v>0</v>
      </c>
      <c r="J23" s="11">
        <f t="shared" si="4"/>
        <v>0</v>
      </c>
      <c r="K23" s="11">
        <f t="shared" si="4"/>
        <v>0</v>
      </c>
      <c r="L23" s="11">
        <f t="shared" si="4"/>
        <v>0</v>
      </c>
      <c r="M23" s="11">
        <f t="shared" si="5"/>
        <v>0</v>
      </c>
      <c r="N23" s="11">
        <f t="shared" si="5"/>
        <v>0</v>
      </c>
      <c r="O23" s="11">
        <f t="shared" si="5"/>
        <v>0</v>
      </c>
      <c r="P23" s="11">
        <f t="shared" si="5"/>
        <v>0</v>
      </c>
      <c r="Q23" s="11">
        <f t="shared" si="5"/>
        <v>0</v>
      </c>
      <c r="R23" s="11">
        <f t="shared" si="5"/>
        <v>0</v>
      </c>
      <c r="S23" s="11">
        <f t="shared" si="5"/>
        <v>0</v>
      </c>
      <c r="T23" s="11">
        <f t="shared" si="5"/>
        <v>0</v>
      </c>
      <c r="U23" s="11">
        <f t="shared" si="5"/>
        <v>0</v>
      </c>
      <c r="V23" s="11">
        <f t="shared" si="5"/>
        <v>0</v>
      </c>
      <c r="W23" s="11">
        <f t="shared" si="6"/>
        <v>0</v>
      </c>
      <c r="X23" s="11">
        <f t="shared" si="6"/>
        <v>0</v>
      </c>
      <c r="Y23" s="11">
        <f t="shared" si="6"/>
        <v>0</v>
      </c>
      <c r="Z23" s="11">
        <f t="shared" si="6"/>
        <v>0</v>
      </c>
      <c r="AA23" s="11">
        <f t="shared" si="6"/>
        <v>0</v>
      </c>
      <c r="AB23" s="11">
        <f t="shared" si="6"/>
        <v>0</v>
      </c>
      <c r="AC23" s="11">
        <f t="shared" si="6"/>
        <v>0</v>
      </c>
      <c r="AD23" s="11">
        <f t="shared" si="6"/>
        <v>0</v>
      </c>
      <c r="AE23" s="11">
        <f t="shared" si="6"/>
        <v>0</v>
      </c>
    </row>
    <row r="24" spans="1:31" x14ac:dyDescent="0.45">
      <c r="A24" t="s">
        <v>199</v>
      </c>
      <c r="B24" s="11">
        <f>IFERROR(INDEX(Tuned!$C$2:$C$100,MATCH(About!$B$2&amp;"|"&amp;$A24,Tuned!$D$2:$D$100,0)),INDEX(Defaults!$B$2:$B$25,MATCH($A24,Defaults!$A$2:$A$25,0)))</f>
        <v>1</v>
      </c>
      <c r="C24" s="11">
        <f t="shared" si="4"/>
        <v>1</v>
      </c>
      <c r="D24" s="11">
        <f t="shared" si="4"/>
        <v>1</v>
      </c>
      <c r="E24" s="11">
        <f t="shared" si="4"/>
        <v>1</v>
      </c>
      <c r="F24" s="11">
        <f t="shared" si="4"/>
        <v>1</v>
      </c>
      <c r="G24" s="11">
        <f t="shared" si="4"/>
        <v>1</v>
      </c>
      <c r="H24" s="11">
        <f t="shared" si="4"/>
        <v>1</v>
      </c>
      <c r="I24" s="11">
        <f t="shared" si="4"/>
        <v>1</v>
      </c>
      <c r="J24" s="11">
        <f t="shared" si="4"/>
        <v>1</v>
      </c>
      <c r="K24" s="11">
        <f t="shared" si="4"/>
        <v>1</v>
      </c>
      <c r="L24" s="11">
        <f t="shared" si="4"/>
        <v>1</v>
      </c>
      <c r="M24" s="11">
        <f t="shared" si="5"/>
        <v>1</v>
      </c>
      <c r="N24" s="11">
        <f t="shared" si="5"/>
        <v>1</v>
      </c>
      <c r="O24" s="11">
        <f t="shared" si="5"/>
        <v>1</v>
      </c>
      <c r="P24" s="11">
        <f t="shared" si="5"/>
        <v>1</v>
      </c>
      <c r="Q24" s="11">
        <f t="shared" si="5"/>
        <v>1</v>
      </c>
      <c r="R24" s="11">
        <f t="shared" si="5"/>
        <v>1</v>
      </c>
      <c r="S24" s="11">
        <f t="shared" si="5"/>
        <v>1</v>
      </c>
      <c r="T24" s="11">
        <f t="shared" si="5"/>
        <v>1</v>
      </c>
      <c r="U24" s="11">
        <f t="shared" si="5"/>
        <v>1</v>
      </c>
      <c r="V24" s="11">
        <f t="shared" si="5"/>
        <v>1</v>
      </c>
      <c r="W24" s="11">
        <f t="shared" si="6"/>
        <v>1</v>
      </c>
      <c r="X24" s="11">
        <f t="shared" si="6"/>
        <v>1</v>
      </c>
      <c r="Y24" s="11">
        <f t="shared" si="6"/>
        <v>1</v>
      </c>
      <c r="Z24" s="11">
        <f t="shared" si="6"/>
        <v>1</v>
      </c>
      <c r="AA24" s="11">
        <f t="shared" si="6"/>
        <v>1</v>
      </c>
      <c r="AB24" s="11">
        <f t="shared" si="6"/>
        <v>1</v>
      </c>
      <c r="AC24" s="11">
        <f t="shared" si="6"/>
        <v>1</v>
      </c>
      <c r="AD24" s="11">
        <f t="shared" si="6"/>
        <v>1</v>
      </c>
      <c r="AE24" s="11">
        <f t="shared" si="6"/>
        <v>1</v>
      </c>
    </row>
    <row r="25" spans="1:31" x14ac:dyDescent="0.45">
      <c r="A25" t="s">
        <v>201</v>
      </c>
      <c r="B25" s="11">
        <f>IFERROR(INDEX(Tuned!$C$2:$C$100,MATCH(About!$B$2&amp;"|"&amp;$A25,Tuned!$D$2:$D$100,0)),INDEX(Defaults!$B$2:$B$25,MATCH($A25,Defaults!$A$2:$A$25,0)))</f>
        <v>0</v>
      </c>
      <c r="C25" s="11">
        <f t="shared" si="4"/>
        <v>0</v>
      </c>
      <c r="D25" s="11">
        <f t="shared" si="4"/>
        <v>0</v>
      </c>
      <c r="E25" s="11">
        <f t="shared" si="4"/>
        <v>0</v>
      </c>
      <c r="F25" s="11">
        <f t="shared" si="4"/>
        <v>0</v>
      </c>
      <c r="G25" s="11">
        <f t="shared" si="4"/>
        <v>0</v>
      </c>
      <c r="H25" s="11">
        <f t="shared" si="4"/>
        <v>0</v>
      </c>
      <c r="I25" s="11">
        <f t="shared" si="4"/>
        <v>0</v>
      </c>
      <c r="J25" s="11">
        <f t="shared" si="4"/>
        <v>0</v>
      </c>
      <c r="K25" s="11">
        <f t="shared" si="4"/>
        <v>0</v>
      </c>
      <c r="L25" s="11">
        <f t="shared" si="4"/>
        <v>0</v>
      </c>
      <c r="M25" s="11">
        <f t="shared" si="5"/>
        <v>0</v>
      </c>
      <c r="N25" s="11">
        <f t="shared" si="5"/>
        <v>0</v>
      </c>
      <c r="O25" s="11">
        <f t="shared" si="5"/>
        <v>0</v>
      </c>
      <c r="P25" s="11">
        <f t="shared" si="5"/>
        <v>0</v>
      </c>
      <c r="Q25" s="11">
        <f t="shared" si="5"/>
        <v>0</v>
      </c>
      <c r="R25" s="11">
        <f t="shared" si="5"/>
        <v>0</v>
      </c>
      <c r="S25" s="11">
        <f t="shared" si="5"/>
        <v>0</v>
      </c>
      <c r="T25" s="11">
        <f t="shared" si="5"/>
        <v>0</v>
      </c>
      <c r="U25" s="11">
        <f t="shared" si="5"/>
        <v>0</v>
      </c>
      <c r="V25" s="11">
        <f t="shared" si="5"/>
        <v>0</v>
      </c>
      <c r="W25" s="11">
        <f t="shared" si="6"/>
        <v>0</v>
      </c>
      <c r="X25" s="11">
        <f t="shared" si="6"/>
        <v>0</v>
      </c>
      <c r="Y25" s="11">
        <f t="shared" si="6"/>
        <v>0</v>
      </c>
      <c r="Z25" s="11">
        <f t="shared" si="6"/>
        <v>0</v>
      </c>
      <c r="AA25" s="11">
        <f t="shared" si="6"/>
        <v>0</v>
      </c>
      <c r="AB25" s="11">
        <f t="shared" si="6"/>
        <v>0</v>
      </c>
      <c r="AC25" s="11">
        <f t="shared" si="6"/>
        <v>0</v>
      </c>
      <c r="AD25" s="11">
        <f t="shared" si="6"/>
        <v>0</v>
      </c>
      <c r="AE25" s="11">
        <f t="shared" si="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Keys</vt:lpstr>
      <vt:lpstr>Defaults</vt:lpstr>
      <vt:lpstr>Tuned</vt:lpstr>
      <vt:lpstr>Fleet</vt:lpstr>
      <vt:lpstr>BGDPbES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2026-09-02T18:40:49Z</dcterms:created>
  <dcterms:modified xsi:type="dcterms:W3CDTF">2026-09-02T19:42:05Z</dcterms:modified>
</cp:coreProperties>
</file>